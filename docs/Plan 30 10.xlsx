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whpur\Desktop\"/>
    </mc:Choice>
  </mc:AlternateContent>
  <xr:revisionPtr revIDLastSave="0" documentId="13_ncr:1_{547B4E39-5DFF-41CC-983D-1F5D2A1CA231}" xr6:coauthVersionLast="47" xr6:coauthVersionMax="47" xr10:uidLastSave="{00000000-0000-0000-0000-000000000000}"/>
  <bookViews>
    <workbookView xWindow="-120" yWindow="-120" windowWidth="24240" windowHeight="13140" tabRatio="804" activeTab="3" xr2:uid="{00000000-000D-0000-FFFF-FFFF00000000}"/>
  </bookViews>
  <sheets>
    <sheet name="MIS" sheetId="44" r:id="rId1"/>
    <sheet name="APO" sheetId="33" r:id="rId2"/>
    <sheet name="PUSH" sheetId="178" r:id="rId3"/>
    <sheet name="Indent" sheetId="34" r:id="rId4"/>
    <sheet name="C042-1" sheetId="148" r:id="rId5"/>
    <sheet name="PONDY-1" sheetId="149" r:id="rId6"/>
    <sheet name="Indore-1" sheetId="150" r:id="rId7"/>
    <sheet name="C042-2" sheetId="151" r:id="rId8"/>
    <sheet name="C042-3" sheetId="152" r:id="rId9"/>
    <sheet name="C042-4" sheetId="153" r:id="rId10"/>
    <sheet name="AHMD-1" sheetId="154" r:id="rId11"/>
    <sheet name="AHMD-2" sheetId="155" r:id="rId12"/>
    <sheet name="Tepla-1" sheetId="156" r:id="rId13"/>
    <sheet name="PUNE-1" sheetId="157" r:id="rId14"/>
    <sheet name="PUNE-2" sheetId="158" r:id="rId15"/>
    <sheet name="PUNE-3" sheetId="159" r:id="rId16"/>
    <sheet name="PUNE-4" sheetId="160" r:id="rId17"/>
    <sheet name="PONDY-2" sheetId="161" r:id="rId18"/>
    <sheet name="KOLKATTA-1" sheetId="162" r:id="rId19"/>
    <sheet name="NAGPUR-1" sheetId="163" r:id="rId20"/>
    <sheet name="Sheet19" sheetId="164" r:id="rId21"/>
    <sheet name="Sheet20" sheetId="165" r:id="rId22"/>
    <sheet name="Sheet21" sheetId="166" r:id="rId23"/>
    <sheet name="Sheet22" sheetId="167" r:id="rId24"/>
    <sheet name="Sheet23" sheetId="168" r:id="rId25"/>
    <sheet name="Sheet24" sheetId="169" r:id="rId26"/>
    <sheet name="Sheet25" sheetId="170" r:id="rId27"/>
    <sheet name="Sheet26" sheetId="171" r:id="rId28"/>
    <sheet name="Sheet27" sheetId="172" r:id="rId29"/>
    <sheet name="Sheet28" sheetId="173" r:id="rId30"/>
    <sheet name="Sheet29" sheetId="174" r:id="rId31"/>
    <sheet name="Sheet30" sheetId="175" r:id="rId32"/>
  </sheets>
  <externalReferences>
    <externalReference r:id="rId33"/>
    <externalReference r:id="rId34"/>
  </externalReferences>
  <definedNames>
    <definedName name="_xlnm._FilterDatabase" localSheetId="11" hidden="1">'AHMD-2'!$A$12:$J$102</definedName>
    <definedName name="_xlnm._FilterDatabase" localSheetId="1" hidden="1">APO!$A$1:$G$1</definedName>
    <definedName name="_xlnm._FilterDatabase" localSheetId="7" hidden="1">'C042-2'!$A$12:$I$12</definedName>
    <definedName name="_xlnm._FilterDatabase" localSheetId="8" hidden="1">'C042-3'!$A$12:$K$51</definedName>
    <definedName name="_xlnm._FilterDatabase" localSheetId="9" hidden="1">'C042-4'!$A$12:$I$35</definedName>
    <definedName name="_xlnm._FilterDatabase" localSheetId="3" hidden="1">Indent!$F$1:$AD$16</definedName>
    <definedName name="_xlnm._FilterDatabase" localSheetId="18" hidden="1">'KOLKATTA-1'!$A$12:$J$12</definedName>
    <definedName name="_xlnm._FilterDatabase" localSheetId="19" hidden="1">'NAGPUR-1'!$A$12:$J$52</definedName>
    <definedName name="_xlnm._FilterDatabase" localSheetId="5" hidden="1">'PONDY-1'!$A$12:$J$12</definedName>
    <definedName name="_xlnm._FilterDatabase" localSheetId="17" hidden="1">'PONDY-2'!$A$12:$J$12</definedName>
    <definedName name="_xlnm._FilterDatabase" localSheetId="13" hidden="1">'PUNE-1'!$A$12:$J$56</definedName>
    <definedName name="_xlnm._FilterDatabase" localSheetId="14" hidden="1">'PUNE-2'!$A$12:$J$12</definedName>
    <definedName name="_xlnm._FilterDatabase" localSheetId="15" hidden="1">'PUNE-3'!$A$12:$J$71</definedName>
    <definedName name="_xlnm._FilterDatabase" localSheetId="16" hidden="1">'PUNE-4'!$A$12:$J$12</definedName>
    <definedName name="_xlnm._FilterDatabase" localSheetId="2" hidden="1">PUSH!$A$1:$S$1130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63" l="1"/>
  <c r="E54" i="163"/>
  <c r="E37" i="153"/>
  <c r="C69" i="163"/>
  <c r="E58" i="157" l="1"/>
  <c r="E53" i="152"/>
  <c r="E104" i="155"/>
  <c r="E73" i="159"/>
  <c r="C92" i="159"/>
  <c r="G27" i="158"/>
  <c r="AD2" i="34"/>
  <c r="AC2" i="34"/>
  <c r="Z2" i="34"/>
  <c r="C54" i="163"/>
  <c r="C34" i="162" l="1"/>
  <c r="C37" i="161"/>
  <c r="C24" i="160"/>
  <c r="C73" i="159" l="1"/>
  <c r="C27" i="158"/>
  <c r="C58" i="157"/>
  <c r="C28" i="156"/>
  <c r="C104" i="155"/>
  <c r="C43" i="154"/>
  <c r="C31" i="154"/>
  <c r="C46" i="151"/>
  <c r="C37" i="153"/>
  <c r="C53" i="152"/>
  <c r="C32" i="151"/>
  <c r="K14" i="152"/>
  <c r="K15" i="152"/>
  <c r="K16" i="152"/>
  <c r="K17" i="152"/>
  <c r="K18" i="152"/>
  <c r="K19" i="152"/>
  <c r="K13" i="152"/>
  <c r="A590" i="178"/>
  <c r="J590" i="178"/>
  <c r="B590" i="178" s="1"/>
  <c r="L590" i="178"/>
  <c r="N590" i="178"/>
  <c r="A540" i="178"/>
  <c r="J540" i="178"/>
  <c r="B540" i="178" s="1"/>
  <c r="L540" i="178"/>
  <c r="N540" i="178"/>
  <c r="A597" i="178"/>
  <c r="J597" i="178"/>
  <c r="B597" i="178" s="1"/>
  <c r="L597" i="178"/>
  <c r="N597" i="178"/>
  <c r="A591" i="178"/>
  <c r="J591" i="178"/>
  <c r="B591" i="178" s="1"/>
  <c r="L591" i="178"/>
  <c r="N591" i="178"/>
  <c r="A535" i="178"/>
  <c r="J535" i="178"/>
  <c r="B535" i="178" s="1"/>
  <c r="L535" i="178"/>
  <c r="N535" i="178"/>
  <c r="A675" i="178"/>
  <c r="J675" i="178"/>
  <c r="B675" i="178" s="1"/>
  <c r="L675" i="178"/>
  <c r="N675" i="178"/>
  <c r="A353" i="178"/>
  <c r="J353" i="178"/>
  <c r="B353" i="178" s="1"/>
  <c r="L353" i="178"/>
  <c r="N353" i="178"/>
  <c r="A463" i="178"/>
  <c r="J463" i="178"/>
  <c r="B463" i="178" s="1"/>
  <c r="L463" i="178"/>
  <c r="N463" i="178"/>
  <c r="C69" i="150"/>
  <c r="C55" i="150"/>
  <c r="J55" i="178"/>
  <c r="J458" i="178"/>
  <c r="J57" i="178"/>
  <c r="J341" i="178"/>
  <c r="J100" i="178"/>
  <c r="J406" i="178"/>
  <c r="J136" i="178"/>
  <c r="J444" i="178"/>
  <c r="J567" i="178"/>
  <c r="J36" i="178"/>
  <c r="J53" i="178"/>
  <c r="J186" i="178"/>
  <c r="J525" i="178"/>
  <c r="J86" i="178"/>
  <c r="J528" i="178"/>
  <c r="J557" i="178"/>
  <c r="J8" i="178"/>
  <c r="J51" i="178"/>
  <c r="J58" i="178"/>
  <c r="J519" i="178"/>
  <c r="J442" i="178"/>
  <c r="J60" i="178"/>
  <c r="J30" i="178"/>
  <c r="J31" i="178"/>
  <c r="J33" i="178"/>
  <c r="J3" i="178"/>
  <c r="J404" i="178"/>
  <c r="J5" i="178"/>
  <c r="J167" i="178"/>
  <c r="J23" i="178"/>
  <c r="J496" i="178"/>
  <c r="J24" i="178"/>
  <c r="J523" i="178"/>
  <c r="J217" i="178"/>
  <c r="J45" i="178"/>
  <c r="J502" i="178"/>
  <c r="J486" i="178"/>
  <c r="J524" i="178"/>
  <c r="J159" i="178"/>
  <c r="J4" i="178"/>
  <c r="J9" i="178"/>
  <c r="J127" i="178"/>
  <c r="J11" i="178"/>
  <c r="J12" i="178"/>
  <c r="J13" i="178"/>
  <c r="J14" i="178"/>
  <c r="J15" i="178"/>
  <c r="J16" i="178"/>
  <c r="J17" i="178"/>
  <c r="J18" i="178"/>
  <c r="J19" i="178"/>
  <c r="J20" i="178"/>
  <c r="J21" i="178"/>
  <c r="J22" i="178"/>
  <c r="J130" i="178"/>
  <c r="J27" i="178"/>
  <c r="J649" i="178"/>
  <c r="J32" i="178"/>
  <c r="J56" i="178"/>
  <c r="J138" i="178"/>
  <c r="J35" i="178"/>
  <c r="J291" i="178"/>
  <c r="J481" i="178"/>
  <c r="J39" i="178"/>
  <c r="J40" i="178"/>
  <c r="J509" i="178"/>
  <c r="J459" i="178"/>
  <c r="J43" i="178"/>
  <c r="J48" i="178"/>
  <c r="J533" i="178"/>
  <c r="J50" i="178"/>
  <c r="J336" i="178"/>
  <c r="J54" i="178"/>
  <c r="J61" i="178"/>
  <c r="J62" i="178"/>
  <c r="J63" i="178"/>
  <c r="J660" i="178"/>
  <c r="J65" i="178"/>
  <c r="J66" i="178"/>
  <c r="J67" i="178"/>
  <c r="J71" i="178"/>
  <c r="J73" i="178"/>
  <c r="J74" i="178"/>
  <c r="J554" i="178"/>
  <c r="J446" i="178"/>
  <c r="J447" i="178"/>
  <c r="J77" i="178"/>
  <c r="J78" i="178"/>
  <c r="J80" i="178"/>
  <c r="J448" i="178"/>
  <c r="J85" i="178"/>
  <c r="J466" i="178"/>
  <c r="J520" i="178"/>
  <c r="J95" i="178"/>
  <c r="J548" i="178"/>
  <c r="J97" i="178"/>
  <c r="J373" i="178"/>
  <c r="J403" i="178"/>
  <c r="J99" i="178"/>
  <c r="J398" i="178"/>
  <c r="J103" i="178"/>
  <c r="J506" i="178"/>
  <c r="J105" i="178"/>
  <c r="J106" i="178"/>
  <c r="J107" i="178"/>
  <c r="J470" i="178"/>
  <c r="J109" i="178"/>
  <c r="J482" i="178"/>
  <c r="J112" i="178"/>
  <c r="J115" i="178"/>
  <c r="J117" i="178"/>
  <c r="B117" i="178" s="1"/>
  <c r="J118" i="178"/>
  <c r="J429" i="178"/>
  <c r="J123" i="178"/>
  <c r="J126" i="178"/>
  <c r="J544" i="178"/>
  <c r="J537" i="178"/>
  <c r="J542" i="178"/>
  <c r="J131" i="178"/>
  <c r="J132" i="178"/>
  <c r="J547" i="178"/>
  <c r="J549" i="178"/>
  <c r="J133" i="178"/>
  <c r="J140" i="178"/>
  <c r="J405" i="178"/>
  <c r="J141" i="178"/>
  <c r="J142" i="178"/>
  <c r="J143" i="178"/>
  <c r="J144" i="178"/>
  <c r="J145" i="178"/>
  <c r="J146" i="178"/>
  <c r="J499" i="178"/>
  <c r="J452" i="178"/>
  <c r="J149" i="178"/>
  <c r="J150" i="178"/>
  <c r="J490" i="178"/>
  <c r="J467" i="178"/>
  <c r="J158" i="178"/>
  <c r="J706" i="178"/>
  <c r="J492" i="178"/>
  <c r="J170" i="178"/>
  <c r="J171" i="178"/>
  <c r="J363" i="178"/>
  <c r="J515" i="178"/>
  <c r="J681" i="178"/>
  <c r="J471" i="178"/>
  <c r="J717" i="178"/>
  <c r="J182" i="178"/>
  <c r="J183" i="178"/>
  <c r="J184" i="178"/>
  <c r="J185" i="178"/>
  <c r="J7" i="178"/>
  <c r="J189" i="178"/>
  <c r="J190" i="178"/>
  <c r="J191" i="178"/>
  <c r="J192" i="178"/>
  <c r="J193" i="178"/>
  <c r="J194" i="178"/>
  <c r="J121" i="178"/>
  <c r="J226" i="178"/>
  <c r="J197" i="178"/>
  <c r="J674" i="178"/>
  <c r="J198" i="178"/>
  <c r="J196" i="178"/>
  <c r="J236" i="178"/>
  <c r="J238" i="178"/>
  <c r="J243" i="178"/>
  <c r="J246" i="178"/>
  <c r="J128" i="178"/>
  <c r="J203" i="178"/>
  <c r="J621" i="178"/>
  <c r="J204" i="178"/>
  <c r="J558" i="178"/>
  <c r="J139" i="178"/>
  <c r="J206" i="178"/>
  <c r="J207" i="178"/>
  <c r="J208" i="178"/>
  <c r="J210" i="178"/>
  <c r="J211" i="178"/>
  <c r="J162" i="178"/>
  <c r="J46" i="178"/>
  <c r="J213" i="178"/>
  <c r="J214" i="178"/>
  <c r="J493" i="178"/>
  <c r="J269" i="178"/>
  <c r="J218" i="178"/>
  <c r="J219" i="178"/>
  <c r="J611" i="178"/>
  <c r="J221" i="178"/>
  <c r="J222" i="178"/>
  <c r="J281" i="178"/>
  <c r="J282" i="178"/>
  <c r="J556" i="178"/>
  <c r="J225" i="178"/>
  <c r="J309" i="178"/>
  <c r="J172" i="178"/>
  <c r="J588" i="178"/>
  <c r="J461" i="178"/>
  <c r="J364" i="178"/>
  <c r="J119" i="178"/>
  <c r="J426" i="178"/>
  <c r="J465" i="178"/>
  <c r="J464" i="178"/>
  <c r="J270" i="178"/>
  <c r="J233" i="178"/>
  <c r="J234" i="178"/>
  <c r="J195" i="178"/>
  <c r="J574" i="178"/>
  <c r="J199" i="178"/>
  <c r="J248" i="178"/>
  <c r="J294" i="178"/>
  <c r="J286" i="178"/>
  <c r="J129" i="178"/>
  <c r="J244" i="178"/>
  <c r="J325" i="178"/>
  <c r="J596" i="178"/>
  <c r="J278" i="178"/>
  <c r="J200" i="178"/>
  <c r="J249" i="178"/>
  <c r="J250" i="178"/>
  <c r="J251" i="178"/>
  <c r="J187" i="178"/>
  <c r="J332" i="178"/>
  <c r="J632" i="178"/>
  <c r="J626" i="178"/>
  <c r="J627" i="178"/>
  <c r="J629" i="178"/>
  <c r="J202" i="178"/>
  <c r="J331" i="178"/>
  <c r="J654" i="178"/>
  <c r="J652" i="178"/>
  <c r="J658" i="178"/>
  <c r="J667" i="178"/>
  <c r="J201" i="178"/>
  <c r="J273" i="178"/>
  <c r="J260" i="178"/>
  <c r="J261" i="178"/>
  <c r="J689" i="178"/>
  <c r="J690" i="178"/>
  <c r="J284" i="178"/>
  <c r="J265" i="178"/>
  <c r="J266" i="178"/>
  <c r="J361" i="178"/>
  <c r="J231" i="178"/>
  <c r="J69" i="178"/>
  <c r="J232" i="178"/>
  <c r="J271" i="178"/>
  <c r="J235" i="178"/>
  <c r="J274" i="178"/>
  <c r="J259" i="178"/>
  <c r="J276" i="178"/>
  <c r="J367" i="178"/>
  <c r="J277" i="178"/>
  <c r="J42" i="178"/>
  <c r="J279" i="178"/>
  <c r="J280" i="178"/>
  <c r="J468" i="178"/>
  <c r="J29" i="178"/>
  <c r="J10" i="178"/>
  <c r="J295" i="178"/>
  <c r="J296" i="178"/>
  <c r="J297" i="178"/>
  <c r="J298" i="178"/>
  <c r="J380" i="178"/>
  <c r="J44" i="178"/>
  <c r="J114" i="178"/>
  <c r="J302" i="178"/>
  <c r="J303" i="178"/>
  <c r="J304" i="178"/>
  <c r="J174" i="178"/>
  <c r="J306" i="178"/>
  <c r="J307" i="178"/>
  <c r="J163" i="178"/>
  <c r="J122" i="178"/>
  <c r="J165" i="178"/>
  <c r="J310" i="178"/>
  <c r="J311" i="178"/>
  <c r="J312" i="178"/>
  <c r="J313" i="178"/>
  <c r="J148" i="178"/>
  <c r="J164" i="178"/>
  <c r="J315" i="178"/>
  <c r="J316" i="178"/>
  <c r="J317" i="178"/>
  <c r="J318" i="178"/>
  <c r="J110" i="178"/>
  <c r="J151" i="178"/>
  <c r="J319" i="178"/>
  <c r="J320" i="178"/>
  <c r="J657" i="178"/>
  <c r="J75" i="178"/>
  <c r="J326" i="178"/>
  <c r="J327" i="178"/>
  <c r="J328" i="178"/>
  <c r="J329" i="178"/>
  <c r="J90" i="178"/>
  <c r="J79" i="178"/>
  <c r="J147" i="178"/>
  <c r="J333" i="178"/>
  <c r="J108" i="178"/>
  <c r="J216" i="178"/>
  <c r="J335" i="178"/>
  <c r="J224" i="178"/>
  <c r="J228" i="178"/>
  <c r="J662" i="178"/>
  <c r="J338" i="178"/>
  <c r="J104" i="178"/>
  <c r="J641" i="178"/>
  <c r="J157" i="178"/>
  <c r="J640" i="178"/>
  <c r="J340" i="178"/>
  <c r="J94" i="178"/>
  <c r="J84" i="178"/>
  <c r="J59" i="178"/>
  <c r="J630" i="178"/>
  <c r="J308" i="178"/>
  <c r="J292" i="178"/>
  <c r="J647" i="178"/>
  <c r="J337" i="178"/>
  <c r="J687" i="178"/>
  <c r="J691" i="178"/>
  <c r="J229" i="178"/>
  <c r="J223" i="178"/>
  <c r="J386" i="178"/>
  <c r="J168" i="178"/>
  <c r="J209" i="178"/>
  <c r="J346" i="178"/>
  <c r="J256" i="178"/>
  <c r="J258" i="178"/>
  <c r="J263" i="178"/>
  <c r="J359" i="178"/>
  <c r="J301" i="178"/>
  <c r="J694" i="178"/>
  <c r="J354" i="178"/>
  <c r="J355" i="178"/>
  <c r="J356" i="178"/>
  <c r="J352" i="178"/>
  <c r="J102" i="178"/>
  <c r="J370" i="178"/>
  <c r="J388" i="178"/>
  <c r="J348" i="178"/>
  <c r="J671" i="178"/>
  <c r="J679" i="178"/>
  <c r="J672" i="178"/>
  <c r="J339" i="178"/>
  <c r="J365" i="178"/>
  <c r="J366" i="178"/>
  <c r="J381" i="178"/>
  <c r="J299" i="178"/>
  <c r="J701" i="178"/>
  <c r="J707" i="178"/>
  <c r="J368" i="178"/>
  <c r="J374" i="178"/>
  <c r="J275" i="178"/>
  <c r="J372" i="178"/>
  <c r="J601" i="178"/>
  <c r="J605" i="178"/>
  <c r="J178" i="178"/>
  <c r="J385" i="178"/>
  <c r="J375" i="178"/>
  <c r="J685" i="178"/>
  <c r="J376" i="178"/>
  <c r="J612" i="178"/>
  <c r="J450" i="178"/>
  <c r="J351" i="178"/>
  <c r="J460" i="178"/>
  <c r="J451" i="178"/>
  <c r="J382" i="178"/>
  <c r="J396" i="178"/>
  <c r="J393" i="178"/>
  <c r="J530" i="178"/>
  <c r="J357" i="178"/>
  <c r="J387" i="178"/>
  <c r="J111" i="178"/>
  <c r="J239" i="178"/>
  <c r="J101" i="178"/>
  <c r="J469" i="178"/>
  <c r="J283" i="178"/>
  <c r="J237" i="178"/>
  <c r="J616" i="178"/>
  <c r="J394" i="178"/>
  <c r="J678" i="178"/>
  <c r="J180" i="178"/>
  <c r="J473" i="178"/>
  <c r="J407" i="178"/>
  <c r="J408" i="178"/>
  <c r="J409" i="178"/>
  <c r="J697" i="178"/>
  <c r="J411" i="178"/>
  <c r="J412" i="178"/>
  <c r="J413" i="178"/>
  <c r="J414" i="178"/>
  <c r="J124" i="178"/>
  <c r="J415" i="178"/>
  <c r="J38" i="178"/>
  <c r="J416" i="178"/>
  <c r="J417" i="178"/>
  <c r="J419" i="178"/>
  <c r="J324" i="178"/>
  <c r="J670" i="178"/>
  <c r="J422" i="178"/>
  <c r="J517" i="178"/>
  <c r="J424" i="178"/>
  <c r="J425" i="178"/>
  <c r="J494" i="178"/>
  <c r="J427" i="178"/>
  <c r="J516" i="178"/>
  <c r="J330" i="178"/>
  <c r="J430" i="178"/>
  <c r="J431" i="178"/>
  <c r="J432" i="178"/>
  <c r="J433" i="178"/>
  <c r="J434" i="178"/>
  <c r="J435" i="178"/>
  <c r="J423" i="178"/>
  <c r="J462" i="178"/>
  <c r="J445" i="178"/>
  <c r="J438" i="178"/>
  <c r="J577" i="178"/>
  <c r="J625" i="178"/>
  <c r="J268" i="178"/>
  <c r="J28" i="178"/>
  <c r="J161" i="178"/>
  <c r="J175" i="178"/>
  <c r="J264" i="178"/>
  <c r="J176" i="178"/>
  <c r="J321" i="178"/>
  <c r="J436" i="178"/>
  <c r="J437" i="178"/>
  <c r="J322" i="178"/>
  <c r="J498" i="178"/>
  <c r="J181" i="178"/>
  <c r="J483" i="178"/>
  <c r="J485" i="178"/>
  <c r="J188" i="178"/>
  <c r="J205" i="178"/>
  <c r="J449" i="178"/>
  <c r="J257" i="178"/>
  <c r="J215" i="178"/>
  <c r="J358" i="178"/>
  <c r="J453" i="178"/>
  <c r="J454" i="178"/>
  <c r="J455" i="178"/>
  <c r="J456" i="178"/>
  <c r="J680" i="178"/>
  <c r="J613" i="178"/>
  <c r="J571" i="178"/>
  <c r="J579" i="178"/>
  <c r="J89" i="178"/>
  <c r="J581" i="178"/>
  <c r="J582" i="178"/>
  <c r="J692" i="178"/>
  <c r="J719" i="178"/>
  <c r="J720" i="178"/>
  <c r="J560" i="178"/>
  <c r="J402" i="178"/>
  <c r="J410" i="178"/>
  <c r="J418" i="178"/>
  <c r="J420" i="178"/>
  <c r="J421" i="178"/>
  <c r="J477" i="178"/>
  <c r="J703" i="178"/>
  <c r="J708" i="178"/>
  <c r="J710" i="178"/>
  <c r="J711" i="178"/>
  <c r="J474" i="178"/>
  <c r="J475" i="178"/>
  <c r="J476" i="178"/>
  <c r="J541" i="178"/>
  <c r="J639" i="178"/>
  <c r="J644" i="178"/>
  <c r="J576" i="178"/>
  <c r="J135" i="178"/>
  <c r="J334" i="178"/>
  <c r="J212" i="178"/>
  <c r="J457" i="178"/>
  <c r="J497" i="178"/>
  <c r="J155" i="178"/>
  <c r="J240" i="178"/>
  <c r="J500" i="178"/>
  <c r="J501" i="178"/>
  <c r="J160" i="178"/>
  <c r="J242" i="178"/>
  <c r="J504" i="178"/>
  <c r="J505" i="178"/>
  <c r="J166" i="178"/>
  <c r="J245" i="178"/>
  <c r="J508" i="178"/>
  <c r="J169" i="178"/>
  <c r="J510" i="178"/>
  <c r="J511" i="178"/>
  <c r="J512" i="178"/>
  <c r="J513" i="178"/>
  <c r="J561" i="178"/>
  <c r="J70" i="178"/>
  <c r="J72" i="178"/>
  <c r="J76" i="178"/>
  <c r="J87" i="178"/>
  <c r="J252" i="178"/>
  <c r="J253" i="178"/>
  <c r="J254" i="178"/>
  <c r="J255" i="178"/>
  <c r="J522" i="178"/>
  <c r="J705" i="178"/>
  <c r="J64" i="178"/>
  <c r="J526" i="178"/>
  <c r="J527" i="178"/>
  <c r="J68" i="178"/>
  <c r="J559" i="178"/>
  <c r="J529" i="178"/>
  <c r="J531" i="178"/>
  <c r="J532" i="178"/>
  <c r="J26" i="178"/>
  <c r="J439" i="178"/>
  <c r="J441" i="178"/>
  <c r="J538" i="178"/>
  <c r="J539" i="178"/>
  <c r="J34" i="178"/>
  <c r="J37" i="178"/>
  <c r="J564" i="178"/>
  <c r="J562" i="178"/>
  <c r="J543" i="178"/>
  <c r="J545" i="178"/>
  <c r="J599" i="178"/>
  <c r="J602" i="178"/>
  <c r="J603" i="178"/>
  <c r="J610" i="178"/>
  <c r="J550" i="178"/>
  <c r="J551" i="178"/>
  <c r="J552" i="178"/>
  <c r="J553" i="178"/>
  <c r="J507" i="178"/>
  <c r="J323" i="178"/>
  <c r="J503" i="178"/>
  <c r="J113" i="178"/>
  <c r="J655" i="178"/>
  <c r="J314" i="178"/>
  <c r="J125" i="178"/>
  <c r="J272" i="178"/>
  <c r="J285" i="178"/>
  <c r="J290" i="178"/>
  <c r="J563" i="178"/>
  <c r="J220" i="178"/>
  <c r="J565" i="178"/>
  <c r="J566" i="178"/>
  <c r="J440" i="178"/>
  <c r="J568" i="178"/>
  <c r="J569" i="178"/>
  <c r="J570" i="178"/>
  <c r="J305" i="178"/>
  <c r="J700" i="178"/>
  <c r="J573" i="178"/>
  <c r="J575" i="178"/>
  <c r="J491" i="178"/>
  <c r="J583" i="178"/>
  <c r="J487" i="178"/>
  <c r="J536" i="178"/>
  <c r="J580" i="178"/>
  <c r="J534" i="178"/>
  <c r="J342" i="178"/>
  <c r="J584" i="178"/>
  <c r="J585" i="178"/>
  <c r="J371" i="178"/>
  <c r="J472" i="178"/>
  <c r="J443" i="178"/>
  <c r="J609" i="178"/>
  <c r="J607" i="178"/>
  <c r="J177" i="178"/>
  <c r="J25" i="178"/>
  <c r="J495" i="178"/>
  <c r="J134" i="178"/>
  <c r="J287" i="178"/>
  <c r="J343" i="178"/>
  <c r="J137" i="178"/>
  <c r="J615" i="178"/>
  <c r="J614" i="178"/>
  <c r="J546" i="178"/>
  <c r="J606" i="178"/>
  <c r="J604" i="178"/>
  <c r="J600" i="178"/>
  <c r="J488" i="178"/>
  <c r="J379" i="178"/>
  <c r="J384" i="178"/>
  <c r="J478" i="178"/>
  <c r="J484" i="178"/>
  <c r="J617" i="178"/>
  <c r="J572" i="178"/>
  <c r="J594" i="178"/>
  <c r="J593" i="178"/>
  <c r="J518" i="178"/>
  <c r="J262" i="178"/>
  <c r="J592" i="178"/>
  <c r="J608" i="178"/>
  <c r="J619" i="178"/>
  <c r="J631" i="178"/>
  <c r="J595" i="178"/>
  <c r="J623" i="178"/>
  <c r="J622" i="178"/>
  <c r="J635" i="178"/>
  <c r="J633" i="178"/>
  <c r="J586" i="178"/>
  <c r="J82" i="178"/>
  <c r="J637" i="178"/>
  <c r="J521" i="178"/>
  <c r="J378" i="178"/>
  <c r="J638" i="178"/>
  <c r="J642" i="178"/>
  <c r="J347" i="178"/>
  <c r="J643" i="178"/>
  <c r="J241" i="178"/>
  <c r="J389" i="178"/>
  <c r="J653" i="178"/>
  <c r="J650" i="178"/>
  <c r="J656" i="178"/>
  <c r="J683" i="178"/>
  <c r="J659" i="178"/>
  <c r="J693" i="178"/>
  <c r="J555" i="178"/>
  <c r="J645" i="178"/>
  <c r="J636" i="178"/>
  <c r="J712" i="178"/>
  <c r="J620" i="178"/>
  <c r="J514" i="178"/>
  <c r="J651" i="178"/>
  <c r="J489" i="178"/>
  <c r="J350" i="178"/>
  <c r="J288" i="178"/>
  <c r="J390" i="178"/>
  <c r="J116" i="178"/>
  <c r="J227" i="178"/>
  <c r="J230" i="178"/>
  <c r="J661" i="178"/>
  <c r="J646" i="178"/>
  <c r="J663" i="178"/>
  <c r="J664" i="178"/>
  <c r="J696" i="178"/>
  <c r="J665" i="178"/>
  <c r="J666" i="178"/>
  <c r="J684" i="178"/>
  <c r="J676" i="178"/>
  <c r="J668" i="178"/>
  <c r="J669" i="178"/>
  <c r="J634" i="178"/>
  <c r="J673" i="178"/>
  <c r="J395" i="178"/>
  <c r="J587" i="178"/>
  <c r="J589" i="178"/>
  <c r="J677" i="178"/>
  <c r="J344" i="178"/>
  <c r="J289" i="178"/>
  <c r="J392" i="178"/>
  <c r="J391" i="178"/>
  <c r="J81" i="178"/>
  <c r="J47" i="178"/>
  <c r="J598" i="178"/>
  <c r="J698" i="178"/>
  <c r="J83" i="178"/>
  <c r="J91" i="178"/>
  <c r="J648" i="178"/>
  <c r="J428" i="178"/>
  <c r="J247" i="178"/>
  <c r="J267" i="178"/>
  <c r="J618" i="178"/>
  <c r="J362" i="178"/>
  <c r="J41" i="178"/>
  <c r="J173" i="178"/>
  <c r="J96" i="178"/>
  <c r="J120" i="178"/>
  <c r="J397" i="178"/>
  <c r="J699" i="178"/>
  <c r="J92" i="178"/>
  <c r="J293" i="178"/>
  <c r="J49" i="178"/>
  <c r="J688" i="178"/>
  <c r="J369" i="178"/>
  <c r="J702" i="178"/>
  <c r="J383" i="178"/>
  <c r="J716" i="178"/>
  <c r="J715" i="178"/>
  <c r="J704" i="178"/>
  <c r="J624" i="178"/>
  <c r="J300" i="178"/>
  <c r="J179" i="178"/>
  <c r="J709" i="178"/>
  <c r="J399" i="178"/>
  <c r="J349" i="178"/>
  <c r="J360" i="178"/>
  <c r="J713" i="178"/>
  <c r="J714" i="178"/>
  <c r="J628" i="178"/>
  <c r="J400" i="178"/>
  <c r="J345" i="178"/>
  <c r="J718" i="178"/>
  <c r="J377" i="178"/>
  <c r="J401" i="178"/>
  <c r="J721" i="178"/>
  <c r="J722" i="178"/>
  <c r="J723" i="178"/>
  <c r="J724" i="178"/>
  <c r="J725" i="178"/>
  <c r="J726" i="178"/>
  <c r="J727" i="178"/>
  <c r="J728" i="178"/>
  <c r="J729" i="178"/>
  <c r="J730" i="178"/>
  <c r="J731" i="178"/>
  <c r="J732" i="178"/>
  <c r="J733" i="178"/>
  <c r="J734" i="178"/>
  <c r="J735" i="178"/>
  <c r="J736" i="178"/>
  <c r="J737" i="178"/>
  <c r="J738" i="178"/>
  <c r="J739" i="178"/>
  <c r="J740" i="178"/>
  <c r="J741" i="178"/>
  <c r="J742" i="178"/>
  <c r="J743" i="178"/>
  <c r="J744" i="178"/>
  <c r="J745" i="178"/>
  <c r="J746" i="178"/>
  <c r="J747" i="178"/>
  <c r="J748" i="178"/>
  <c r="J749" i="178"/>
  <c r="J750" i="178"/>
  <c r="J751" i="178"/>
  <c r="J752" i="178"/>
  <c r="J753" i="178"/>
  <c r="J754" i="178"/>
  <c r="J755" i="178"/>
  <c r="J756" i="178"/>
  <c r="J757" i="178"/>
  <c r="J758" i="178"/>
  <c r="J759" i="178"/>
  <c r="J760" i="178"/>
  <c r="J761" i="178"/>
  <c r="J762" i="178"/>
  <c r="J763" i="178"/>
  <c r="J764" i="178"/>
  <c r="J765" i="178"/>
  <c r="J766" i="178"/>
  <c r="J767" i="178"/>
  <c r="J768" i="178"/>
  <c r="J769" i="178"/>
  <c r="J770" i="178"/>
  <c r="J771" i="178"/>
  <c r="J772" i="178"/>
  <c r="J773" i="178"/>
  <c r="J774" i="178"/>
  <c r="J775" i="178"/>
  <c r="J776" i="178"/>
  <c r="J777" i="178"/>
  <c r="J778" i="178"/>
  <c r="J779" i="178"/>
  <c r="J780" i="178"/>
  <c r="J781" i="178"/>
  <c r="J782" i="178"/>
  <c r="J783" i="178"/>
  <c r="J784" i="178"/>
  <c r="J785" i="178"/>
  <c r="J786" i="178"/>
  <c r="J787" i="178"/>
  <c r="J788" i="178"/>
  <c r="J789" i="178"/>
  <c r="J790" i="178"/>
  <c r="J791" i="178"/>
  <c r="J792" i="178"/>
  <c r="J793" i="178"/>
  <c r="J794" i="178"/>
  <c r="J795" i="178"/>
  <c r="J796" i="178"/>
  <c r="J797" i="178"/>
  <c r="J798" i="178"/>
  <c r="J799" i="178"/>
  <c r="J800" i="178"/>
  <c r="J801" i="178"/>
  <c r="J802" i="178"/>
  <c r="J803" i="178"/>
  <c r="J804" i="178"/>
  <c r="J805" i="178"/>
  <c r="J806" i="178"/>
  <c r="J807" i="178"/>
  <c r="J808" i="178"/>
  <c r="J809" i="178"/>
  <c r="J810" i="178"/>
  <c r="J811" i="178"/>
  <c r="J812" i="178"/>
  <c r="J813" i="178"/>
  <c r="J814" i="178"/>
  <c r="J815" i="178"/>
  <c r="J816" i="178"/>
  <c r="J817" i="178"/>
  <c r="J818" i="178"/>
  <c r="J819" i="178"/>
  <c r="J820" i="178"/>
  <c r="J821" i="178"/>
  <c r="J822" i="178"/>
  <c r="J823" i="178"/>
  <c r="J824" i="178"/>
  <c r="J825" i="178"/>
  <c r="J826" i="178"/>
  <c r="J827" i="178"/>
  <c r="J828" i="178"/>
  <c r="J829" i="178"/>
  <c r="J830" i="178"/>
  <c r="J831" i="178"/>
  <c r="J832" i="178"/>
  <c r="J833" i="178"/>
  <c r="J834" i="178"/>
  <c r="J835" i="178"/>
  <c r="J836" i="178"/>
  <c r="J837" i="178"/>
  <c r="J838" i="178"/>
  <c r="J839" i="178"/>
  <c r="J840" i="178"/>
  <c r="J841" i="178"/>
  <c r="J842" i="178"/>
  <c r="J843" i="178"/>
  <c r="J844" i="178"/>
  <c r="J845" i="178"/>
  <c r="J846" i="178"/>
  <c r="J847" i="178"/>
  <c r="J848" i="178"/>
  <c r="J849" i="178"/>
  <c r="J850" i="178"/>
  <c r="J851" i="178"/>
  <c r="J852" i="178"/>
  <c r="J853" i="178"/>
  <c r="J854" i="178"/>
  <c r="J855" i="178"/>
  <c r="J856" i="178"/>
  <c r="J857" i="178"/>
  <c r="J858" i="178"/>
  <c r="J859" i="178"/>
  <c r="J860" i="178"/>
  <c r="J861" i="178"/>
  <c r="J862" i="178"/>
  <c r="J863" i="178"/>
  <c r="J864" i="178"/>
  <c r="J865" i="178"/>
  <c r="J866" i="178"/>
  <c r="J867" i="178"/>
  <c r="J868" i="178"/>
  <c r="J869" i="178"/>
  <c r="J870" i="178"/>
  <c r="J871" i="178"/>
  <c r="J872" i="178"/>
  <c r="J873" i="178"/>
  <c r="J874" i="178"/>
  <c r="J875" i="178"/>
  <c r="J876" i="178"/>
  <c r="J877" i="178"/>
  <c r="J878" i="178"/>
  <c r="J879" i="178"/>
  <c r="J880" i="178"/>
  <c r="J881" i="178"/>
  <c r="J882" i="178"/>
  <c r="J883" i="178"/>
  <c r="J884" i="178"/>
  <c r="J885" i="178"/>
  <c r="J886" i="178"/>
  <c r="J887" i="178"/>
  <c r="J888" i="178"/>
  <c r="J889" i="178"/>
  <c r="J890" i="178"/>
  <c r="J891" i="178"/>
  <c r="J892" i="178"/>
  <c r="J893" i="178"/>
  <c r="J894" i="178"/>
  <c r="J895" i="178"/>
  <c r="J896" i="178"/>
  <c r="J897" i="178"/>
  <c r="J898" i="178"/>
  <c r="J899" i="178"/>
  <c r="J900" i="178"/>
  <c r="J901" i="178"/>
  <c r="J902" i="178"/>
  <c r="J903" i="178"/>
  <c r="J904" i="178"/>
  <c r="J905" i="178"/>
  <c r="J906" i="178"/>
  <c r="J907" i="178"/>
  <c r="J908" i="178"/>
  <c r="J909" i="178"/>
  <c r="J910" i="178"/>
  <c r="J911" i="178"/>
  <c r="J912" i="178"/>
  <c r="J913" i="178"/>
  <c r="J914" i="178"/>
  <c r="J915" i="178"/>
  <c r="J916" i="178"/>
  <c r="J917" i="178"/>
  <c r="J918" i="178"/>
  <c r="J919" i="178"/>
  <c r="J920" i="178"/>
  <c r="J921" i="178"/>
  <c r="J922" i="178"/>
  <c r="J923" i="178"/>
  <c r="J924" i="178"/>
  <c r="J925" i="178"/>
  <c r="J926" i="178"/>
  <c r="J927" i="178"/>
  <c r="J928" i="178"/>
  <c r="J929" i="178"/>
  <c r="J930" i="178"/>
  <c r="J931" i="178"/>
  <c r="J932" i="178"/>
  <c r="J933" i="178"/>
  <c r="J934" i="178"/>
  <c r="J935" i="178"/>
  <c r="J936" i="178"/>
  <c r="J937" i="178"/>
  <c r="J938" i="178"/>
  <c r="J939" i="178"/>
  <c r="J940" i="178"/>
  <c r="J941" i="178"/>
  <c r="J942" i="178"/>
  <c r="J943" i="178"/>
  <c r="J944" i="178"/>
  <c r="J945" i="178"/>
  <c r="J946" i="178"/>
  <c r="J947" i="178"/>
  <c r="J948" i="178"/>
  <c r="J949" i="178"/>
  <c r="J950" i="178"/>
  <c r="J951" i="178"/>
  <c r="J952" i="178"/>
  <c r="J953" i="178"/>
  <c r="J954" i="178"/>
  <c r="J955" i="178"/>
  <c r="J956" i="178"/>
  <c r="J957" i="178"/>
  <c r="J958" i="178"/>
  <c r="J959" i="178"/>
  <c r="J960" i="178"/>
  <c r="J961" i="178"/>
  <c r="J962" i="178"/>
  <c r="J963" i="178"/>
  <c r="J964" i="178"/>
  <c r="J965" i="178"/>
  <c r="J966" i="178"/>
  <c r="J967" i="178"/>
  <c r="J968" i="178"/>
  <c r="J969" i="178"/>
  <c r="J970" i="178"/>
  <c r="J971" i="178"/>
  <c r="J972" i="178"/>
  <c r="J973" i="178"/>
  <c r="J974" i="178"/>
  <c r="J975" i="178"/>
  <c r="J976" i="178"/>
  <c r="J977" i="178"/>
  <c r="J978" i="178"/>
  <c r="J979" i="178"/>
  <c r="J980" i="178"/>
  <c r="J981" i="178"/>
  <c r="J982" i="178"/>
  <c r="J983" i="178"/>
  <c r="J984" i="178"/>
  <c r="J985" i="178"/>
  <c r="J986" i="178"/>
  <c r="J987" i="178"/>
  <c r="J988" i="178"/>
  <c r="J989" i="178"/>
  <c r="J990" i="178"/>
  <c r="J991" i="178"/>
  <c r="J992" i="178"/>
  <c r="J993" i="178"/>
  <c r="J994" i="178"/>
  <c r="J995" i="178"/>
  <c r="J996" i="178"/>
  <c r="J997" i="178"/>
  <c r="J998" i="178"/>
  <c r="J999" i="178"/>
  <c r="J1000" i="178"/>
  <c r="J1001" i="178"/>
  <c r="J1002" i="178"/>
  <c r="J1003" i="178"/>
  <c r="J1004" i="178"/>
  <c r="J1005" i="178"/>
  <c r="J1006" i="178"/>
  <c r="J1007" i="178"/>
  <c r="J1008" i="178"/>
  <c r="J1009" i="178"/>
  <c r="J1010" i="178"/>
  <c r="J1011" i="178"/>
  <c r="J1012" i="178"/>
  <c r="J1013" i="178"/>
  <c r="J1014" i="178"/>
  <c r="J1015" i="178"/>
  <c r="J1016" i="178"/>
  <c r="J1017" i="178"/>
  <c r="J1018" i="178"/>
  <c r="J1019" i="178"/>
  <c r="J1020" i="178"/>
  <c r="J1021" i="178"/>
  <c r="J1022" i="178"/>
  <c r="J1023" i="178"/>
  <c r="J1024" i="178"/>
  <c r="J1025" i="178"/>
  <c r="J1026" i="178"/>
  <c r="J1027" i="178"/>
  <c r="J1028" i="178"/>
  <c r="J1029" i="178"/>
  <c r="J1030" i="178"/>
  <c r="J1031" i="178"/>
  <c r="J1032" i="178"/>
  <c r="J1033" i="178"/>
  <c r="J1034" i="178"/>
  <c r="J1035" i="178"/>
  <c r="J1036" i="178"/>
  <c r="J1037" i="178"/>
  <c r="J1038" i="178"/>
  <c r="J1039" i="178"/>
  <c r="J1040" i="178"/>
  <c r="J1041" i="178"/>
  <c r="J1042" i="178"/>
  <c r="J1043" i="178"/>
  <c r="J1044" i="178"/>
  <c r="J1045" i="178"/>
  <c r="J1046" i="178"/>
  <c r="J1047" i="178"/>
  <c r="J1048" i="178"/>
  <c r="J1049" i="178"/>
  <c r="J1050" i="178"/>
  <c r="J1051" i="178"/>
  <c r="J1052" i="178"/>
  <c r="J1053" i="178"/>
  <c r="J1054" i="178"/>
  <c r="J1055" i="178"/>
  <c r="J1056" i="178"/>
  <c r="J1057" i="178"/>
  <c r="J1058" i="178"/>
  <c r="J1059" i="178"/>
  <c r="J1060" i="178"/>
  <c r="J1061" i="178"/>
  <c r="J1062" i="178"/>
  <c r="J1063" i="178"/>
  <c r="J1064" i="178"/>
  <c r="J1065" i="178"/>
  <c r="J1066" i="178"/>
  <c r="J1067" i="178"/>
  <c r="J1068" i="178"/>
  <c r="J1069" i="178"/>
  <c r="J1070" i="178"/>
  <c r="J1071" i="178"/>
  <c r="J1072" i="178"/>
  <c r="J1073" i="178"/>
  <c r="J1074" i="178"/>
  <c r="J1075" i="178"/>
  <c r="J1076" i="178"/>
  <c r="J1077" i="178"/>
  <c r="J1078" i="178"/>
  <c r="J1079" i="178"/>
  <c r="J1080" i="178"/>
  <c r="J1081" i="178"/>
  <c r="J1082" i="178"/>
  <c r="J1083" i="178"/>
  <c r="J1084" i="178"/>
  <c r="J1085" i="178"/>
  <c r="J1086" i="178"/>
  <c r="J1087" i="178"/>
  <c r="J1088" i="178"/>
  <c r="J1089" i="178"/>
  <c r="J1090" i="178"/>
  <c r="J1091" i="178"/>
  <c r="J1092" i="178"/>
  <c r="J1093" i="178"/>
  <c r="J1094" i="178"/>
  <c r="J1095" i="178"/>
  <c r="J1096" i="178"/>
  <c r="J1097" i="178"/>
  <c r="J1098" i="178"/>
  <c r="J1099" i="178"/>
  <c r="J1100" i="178"/>
  <c r="J1101" i="178"/>
  <c r="J1102" i="178"/>
  <c r="J1103" i="178"/>
  <c r="J1104" i="178"/>
  <c r="J1105" i="178"/>
  <c r="J1106" i="178"/>
  <c r="J1107" i="178"/>
  <c r="J1108" i="178"/>
  <c r="J1109" i="178"/>
  <c r="J1110" i="178"/>
  <c r="J1111" i="178"/>
  <c r="J1112" i="178"/>
  <c r="J1113" i="178"/>
  <c r="J1114" i="178"/>
  <c r="J1115" i="178"/>
  <c r="J1116" i="178"/>
  <c r="J1117" i="178"/>
  <c r="J1118" i="178"/>
  <c r="J1119" i="178"/>
  <c r="J1120" i="178"/>
  <c r="J1121" i="178"/>
  <c r="J1122" i="178"/>
  <c r="J1123" i="178"/>
  <c r="J1124" i="178"/>
  <c r="J1125" i="178"/>
  <c r="J1126" i="178"/>
  <c r="J1127" i="178"/>
  <c r="J1128" i="178"/>
  <c r="J1129" i="178"/>
  <c r="J1130" i="178"/>
  <c r="J2" i="178"/>
  <c r="A117" i="178"/>
  <c r="L117" i="178"/>
  <c r="N117" i="178"/>
  <c r="C24" i="149"/>
  <c r="C20" i="148"/>
  <c r="K463" i="178" l="1"/>
  <c r="P463" i="178"/>
  <c r="Q463" i="178" s="1"/>
  <c r="O463" i="178"/>
  <c r="K675" i="178"/>
  <c r="P675" i="178"/>
  <c r="Q675" i="178" s="1"/>
  <c r="O675" i="178"/>
  <c r="K591" i="178"/>
  <c r="P591" i="178"/>
  <c r="Q591" i="178" s="1"/>
  <c r="O591" i="178"/>
  <c r="K540" i="178"/>
  <c r="P540" i="178"/>
  <c r="Q540" i="178" s="1"/>
  <c r="O540" i="178"/>
  <c r="K117" i="178"/>
  <c r="P117" i="178"/>
  <c r="Q117" i="178" s="1"/>
  <c r="O117" i="178"/>
  <c r="K353" i="178"/>
  <c r="P353" i="178"/>
  <c r="Q353" i="178" s="1"/>
  <c r="O353" i="178"/>
  <c r="K535" i="178"/>
  <c r="P535" i="178"/>
  <c r="Q535" i="178" s="1"/>
  <c r="O535" i="178"/>
  <c r="K597" i="178"/>
  <c r="P597" i="178"/>
  <c r="Q597" i="178" s="1"/>
  <c r="O597" i="178"/>
  <c r="K590" i="178"/>
  <c r="P590" i="178"/>
  <c r="Q590" i="178" s="1"/>
  <c r="O590" i="178"/>
  <c r="M590" i="178"/>
  <c r="M540" i="178"/>
  <c r="M597" i="178"/>
  <c r="M591" i="178"/>
  <c r="M535" i="178"/>
  <c r="M675" i="178"/>
  <c r="M353" i="178"/>
  <c r="M463" i="178"/>
  <c r="J695" i="178"/>
  <c r="J156" i="178"/>
  <c r="J578" i="178"/>
  <c r="J152" i="178"/>
  <c r="J153" i="178"/>
  <c r="J154" i="178"/>
  <c r="J88" i="178"/>
  <c r="J98" i="178"/>
  <c r="J93" i="178"/>
  <c r="J479" i="178"/>
  <c r="J480" i="178"/>
  <c r="J686" i="178"/>
  <c r="J682" i="178"/>
  <c r="J52" i="178"/>
  <c r="J6" i="178"/>
  <c r="M117" i="178" l="1"/>
  <c r="C37" i="148" l="1"/>
  <c r="N3" i="178"/>
  <c r="N4" i="178"/>
  <c r="N5" i="178"/>
  <c r="N6" i="178"/>
  <c r="N8" i="178"/>
  <c r="N9" i="178"/>
  <c r="N13" i="178"/>
  <c r="N14" i="178"/>
  <c r="N15" i="178"/>
  <c r="N11" i="178"/>
  <c r="N22" i="178"/>
  <c r="N23" i="178"/>
  <c r="N24" i="178"/>
  <c r="N17" i="178"/>
  <c r="N30" i="178"/>
  <c r="N31" i="178"/>
  <c r="N32" i="178"/>
  <c r="N33" i="178"/>
  <c r="N35" i="178"/>
  <c r="N18" i="178"/>
  <c r="N45" i="178"/>
  <c r="N48" i="178"/>
  <c r="N50" i="178"/>
  <c r="N39" i="178"/>
  <c r="N62" i="178"/>
  <c r="N71" i="178"/>
  <c r="N19" i="178"/>
  <c r="N85" i="178"/>
  <c r="N86" i="178"/>
  <c r="N51" i="178"/>
  <c r="N55" i="178"/>
  <c r="N112" i="178"/>
  <c r="N115" i="178"/>
  <c r="N61" i="178"/>
  <c r="N123" i="178"/>
  <c r="N126" i="178"/>
  <c r="N131" i="178"/>
  <c r="N132" i="178"/>
  <c r="N63" i="178"/>
  <c r="N140" i="178"/>
  <c r="N144" i="178"/>
  <c r="N21" i="178"/>
  <c r="N182" i="178"/>
  <c r="N183" i="178"/>
  <c r="N184" i="178"/>
  <c r="N143" i="178"/>
  <c r="N159" i="178"/>
  <c r="N27" i="178"/>
  <c r="N217" i="178"/>
  <c r="N118" i="178"/>
  <c r="N133" i="178"/>
  <c r="N158" i="178"/>
  <c r="N341" i="178"/>
  <c r="N681" i="178"/>
  <c r="N429" i="178"/>
  <c r="N660" i="178"/>
  <c r="N65" i="178"/>
  <c r="N470" i="178"/>
  <c r="N482" i="178"/>
  <c r="N496" i="178"/>
  <c r="N717" i="178"/>
  <c r="N67" i="178"/>
  <c r="N444" i="178"/>
  <c r="N78" i="178"/>
  <c r="N502" i="178"/>
  <c r="N506" i="178"/>
  <c r="N442" i="178"/>
  <c r="N509" i="178"/>
  <c r="N519" i="178"/>
  <c r="N520" i="178"/>
  <c r="N523" i="178"/>
  <c r="N40" i="178"/>
  <c r="N74" i="178"/>
  <c r="N446" i="178"/>
  <c r="N525" i="178"/>
  <c r="N528" i="178"/>
  <c r="N533" i="178"/>
  <c r="N548" i="178"/>
  <c r="N452" i="178"/>
  <c r="N149" i="178"/>
  <c r="N578" i="178"/>
  <c r="N152" i="178"/>
  <c r="N153" i="178"/>
  <c r="N154" i="178"/>
  <c r="N93" i="178"/>
  <c r="N459" i="178"/>
  <c r="N95" i="178"/>
  <c r="N549" i="178"/>
  <c r="N97" i="178"/>
  <c r="N58" i="178"/>
  <c r="N100" i="178"/>
  <c r="N695" i="178"/>
  <c r="N567" i="178"/>
  <c r="N103" i="178"/>
  <c r="N53" i="178"/>
  <c r="N109" i="178"/>
  <c r="N156" i="178"/>
  <c r="N99" i="178"/>
  <c r="N136" i="178"/>
  <c r="N43" i="178"/>
  <c r="N142" i="178"/>
  <c r="N105" i="178"/>
  <c r="N145" i="178"/>
  <c r="N706" i="178"/>
  <c r="N60" i="178"/>
  <c r="N167" i="178"/>
  <c r="N336" i="178"/>
  <c r="N185" i="178"/>
  <c r="N186" i="178"/>
  <c r="N77" i="178"/>
  <c r="N146" i="178"/>
  <c r="N150" i="178"/>
  <c r="N499" i="178"/>
  <c r="N127" i="178"/>
  <c r="N171" i="178"/>
  <c r="N557" i="178"/>
  <c r="N170" i="178"/>
  <c r="N471" i="178"/>
  <c r="N492" i="178"/>
  <c r="N448" i="178"/>
  <c r="N544" i="178"/>
  <c r="N537" i="178"/>
  <c r="N466" i="178"/>
  <c r="N486" i="178"/>
  <c r="N405" i="178"/>
  <c r="N682" i="178"/>
  <c r="N686" i="178"/>
  <c r="N130" i="178"/>
  <c r="N57" i="178"/>
  <c r="N649" i="178"/>
  <c r="N515" i="178"/>
  <c r="N524" i="178"/>
  <c r="N406" i="178"/>
  <c r="N447" i="178"/>
  <c r="N404" i="178"/>
  <c r="N56" i="178"/>
  <c r="N138" i="178"/>
  <c r="N88" i="178"/>
  <c r="N98" i="178"/>
  <c r="N490" i="178"/>
  <c r="N467" i="178"/>
  <c r="N403" i="178"/>
  <c r="N458" i="178"/>
  <c r="N373" i="178"/>
  <c r="N12" i="178"/>
  <c r="N398" i="178"/>
  <c r="N542" i="178"/>
  <c r="N547" i="178"/>
  <c r="N554" i="178"/>
  <c r="N363" i="178"/>
  <c r="N141" i="178"/>
  <c r="N16" i="178"/>
  <c r="N291" i="178"/>
  <c r="N54" i="178"/>
  <c r="N20" i="178"/>
  <c r="N66" i="178"/>
  <c r="N36" i="178"/>
  <c r="N73" i="178"/>
  <c r="N80" i="178"/>
  <c r="N52" i="178"/>
  <c r="N480" i="178"/>
  <c r="N479" i="178"/>
  <c r="N481" i="178"/>
  <c r="N106" i="178"/>
  <c r="N107" i="178"/>
  <c r="N7" i="178"/>
  <c r="N189" i="178"/>
  <c r="N190" i="178"/>
  <c r="N191" i="178"/>
  <c r="N192" i="178"/>
  <c r="N193" i="178"/>
  <c r="N194" i="178"/>
  <c r="N121" i="178"/>
  <c r="N226" i="178"/>
  <c r="N197" i="178"/>
  <c r="N674" i="178"/>
  <c r="N198" i="178"/>
  <c r="N196" i="178"/>
  <c r="N236" i="178"/>
  <c r="N238" i="178"/>
  <c r="N243" i="178"/>
  <c r="N246" i="178"/>
  <c r="N128" i="178"/>
  <c r="N203" i="178"/>
  <c r="N621" i="178"/>
  <c r="N204" i="178"/>
  <c r="N558" i="178"/>
  <c r="N139" i="178"/>
  <c r="N206" i="178"/>
  <c r="N207" i="178"/>
  <c r="N208" i="178"/>
  <c r="N210" i="178"/>
  <c r="N211" i="178"/>
  <c r="N162" i="178"/>
  <c r="N46" i="178"/>
  <c r="N213" i="178"/>
  <c r="N214" i="178"/>
  <c r="N493" i="178"/>
  <c r="N269" i="178"/>
  <c r="N218" i="178"/>
  <c r="N219" i="178"/>
  <c r="N611" i="178"/>
  <c r="N221" i="178"/>
  <c r="N222" i="178"/>
  <c r="N281" i="178"/>
  <c r="N282" i="178"/>
  <c r="N556" i="178"/>
  <c r="N225" i="178"/>
  <c r="N309" i="178"/>
  <c r="N172" i="178"/>
  <c r="N588" i="178"/>
  <c r="N461" i="178"/>
  <c r="N364" i="178"/>
  <c r="N119" i="178"/>
  <c r="N426" i="178"/>
  <c r="N465" i="178"/>
  <c r="N464" i="178"/>
  <c r="N270" i="178"/>
  <c r="N233" i="178"/>
  <c r="N234" i="178"/>
  <c r="N195" i="178"/>
  <c r="N574" i="178"/>
  <c r="N199" i="178"/>
  <c r="N248" i="178"/>
  <c r="N294" i="178"/>
  <c r="N286" i="178"/>
  <c r="N129" i="178"/>
  <c r="N244" i="178"/>
  <c r="N325" i="178"/>
  <c r="N596" i="178"/>
  <c r="N278" i="178"/>
  <c r="N200" i="178"/>
  <c r="N249" i="178"/>
  <c r="N250" i="178"/>
  <c r="N251" i="178"/>
  <c r="N187" i="178"/>
  <c r="N332" i="178"/>
  <c r="N632" i="178"/>
  <c r="N626" i="178"/>
  <c r="N627" i="178"/>
  <c r="N629" i="178"/>
  <c r="N202" i="178"/>
  <c r="N331" i="178"/>
  <c r="N654" i="178"/>
  <c r="N652" i="178"/>
  <c r="N658" i="178"/>
  <c r="N667" i="178"/>
  <c r="N201" i="178"/>
  <c r="N273" i="178"/>
  <c r="N260" i="178"/>
  <c r="N261" i="178"/>
  <c r="N689" i="178"/>
  <c r="N690" i="178"/>
  <c r="N284" i="178"/>
  <c r="N265" i="178"/>
  <c r="N266" i="178"/>
  <c r="N361" i="178"/>
  <c r="N231" i="178"/>
  <c r="N69" i="178"/>
  <c r="N232" i="178"/>
  <c r="N271" i="178"/>
  <c r="N235" i="178"/>
  <c r="N274" i="178"/>
  <c r="N259" i="178"/>
  <c r="N276" i="178"/>
  <c r="N367" i="178"/>
  <c r="N277" i="178"/>
  <c r="N42" i="178"/>
  <c r="N279" i="178"/>
  <c r="N280" i="178"/>
  <c r="N468" i="178"/>
  <c r="N29" i="178"/>
  <c r="N10" i="178"/>
  <c r="N295" i="178"/>
  <c r="N296" i="178"/>
  <c r="N297" i="178"/>
  <c r="N298" i="178"/>
  <c r="N380" i="178"/>
  <c r="N44" i="178"/>
  <c r="N114" i="178"/>
  <c r="N302" i="178"/>
  <c r="N303" i="178"/>
  <c r="N304" i="178"/>
  <c r="N174" i="178"/>
  <c r="N306" i="178"/>
  <c r="N307" i="178"/>
  <c r="N163" i="178"/>
  <c r="N122" i="178"/>
  <c r="N165" i="178"/>
  <c r="N310" i="178"/>
  <c r="N311" i="178"/>
  <c r="N312" i="178"/>
  <c r="N313" i="178"/>
  <c r="N148" i="178"/>
  <c r="N164" i="178"/>
  <c r="N315" i="178"/>
  <c r="N316" i="178"/>
  <c r="N317" i="178"/>
  <c r="N318" i="178"/>
  <c r="N110" i="178"/>
  <c r="N151" i="178"/>
  <c r="N319" i="178"/>
  <c r="N320" i="178"/>
  <c r="N657" i="178"/>
  <c r="N75" i="178"/>
  <c r="N326" i="178"/>
  <c r="N327" i="178"/>
  <c r="N328" i="178"/>
  <c r="N329" i="178"/>
  <c r="N90" i="178"/>
  <c r="N79" i="178"/>
  <c r="N147" i="178"/>
  <c r="N333" i="178"/>
  <c r="N108" i="178"/>
  <c r="N216" i="178"/>
  <c r="N335" i="178"/>
  <c r="N224" i="178"/>
  <c r="N228" i="178"/>
  <c r="N662" i="178"/>
  <c r="N338" i="178"/>
  <c r="N104" i="178"/>
  <c r="N641" i="178"/>
  <c r="N157" i="178"/>
  <c r="N640" i="178"/>
  <c r="N340" i="178"/>
  <c r="N94" i="178"/>
  <c r="N84" i="178"/>
  <c r="N59" i="178"/>
  <c r="N630" i="178"/>
  <c r="N308" i="178"/>
  <c r="N292" i="178"/>
  <c r="N647" i="178"/>
  <c r="N337" i="178"/>
  <c r="N687" i="178"/>
  <c r="N691" i="178"/>
  <c r="N229" i="178"/>
  <c r="N223" i="178"/>
  <c r="N386" i="178"/>
  <c r="N168" i="178"/>
  <c r="N209" i="178"/>
  <c r="N346" i="178"/>
  <c r="N256" i="178"/>
  <c r="N258" i="178"/>
  <c r="N263" i="178"/>
  <c r="N359" i="178"/>
  <c r="N301" i="178"/>
  <c r="N694" i="178"/>
  <c r="N354" i="178"/>
  <c r="N355" i="178"/>
  <c r="N356" i="178"/>
  <c r="N352" i="178"/>
  <c r="N102" i="178"/>
  <c r="N370" i="178"/>
  <c r="N388" i="178"/>
  <c r="N348" i="178"/>
  <c r="N671" i="178"/>
  <c r="N679" i="178"/>
  <c r="N672" i="178"/>
  <c r="N339" i="178"/>
  <c r="N365" i="178"/>
  <c r="N366" i="178"/>
  <c r="N381" i="178"/>
  <c r="N299" i="178"/>
  <c r="N701" i="178"/>
  <c r="N707" i="178"/>
  <c r="N368" i="178"/>
  <c r="N374" i="178"/>
  <c r="N275" i="178"/>
  <c r="N372" i="178"/>
  <c r="N601" i="178"/>
  <c r="N605" i="178"/>
  <c r="N178" i="178"/>
  <c r="N385" i="178"/>
  <c r="N375" i="178"/>
  <c r="N685" i="178"/>
  <c r="N376" i="178"/>
  <c r="N612" i="178"/>
  <c r="N450" i="178"/>
  <c r="N351" i="178"/>
  <c r="N460" i="178"/>
  <c r="N451" i="178"/>
  <c r="N382" i="178"/>
  <c r="N396" i="178"/>
  <c r="N393" i="178"/>
  <c r="N530" i="178"/>
  <c r="N357" i="178"/>
  <c r="N387" i="178"/>
  <c r="N111" i="178"/>
  <c r="N239" i="178"/>
  <c r="N101" i="178"/>
  <c r="N469" i="178"/>
  <c r="N283" i="178"/>
  <c r="N237" i="178"/>
  <c r="N616" i="178"/>
  <c r="N394" i="178"/>
  <c r="N678" i="178"/>
  <c r="N180" i="178"/>
  <c r="N473" i="178"/>
  <c r="N407" i="178"/>
  <c r="N408" i="178"/>
  <c r="N409" i="178"/>
  <c r="N697" i="178"/>
  <c r="N411" i="178"/>
  <c r="N412" i="178"/>
  <c r="N413" i="178"/>
  <c r="N414" i="178"/>
  <c r="N124" i="178"/>
  <c r="N415" i="178"/>
  <c r="N38" i="178"/>
  <c r="N416" i="178"/>
  <c r="N417" i="178"/>
  <c r="N419" i="178"/>
  <c r="N324" i="178"/>
  <c r="N670" i="178"/>
  <c r="N422" i="178"/>
  <c r="N517" i="178"/>
  <c r="N424" i="178"/>
  <c r="N425" i="178"/>
  <c r="N494" i="178"/>
  <c r="N427" i="178"/>
  <c r="N516" i="178"/>
  <c r="N330" i="178"/>
  <c r="N430" i="178"/>
  <c r="N431" i="178"/>
  <c r="N432" i="178"/>
  <c r="N433" i="178"/>
  <c r="N434" i="178"/>
  <c r="N435" i="178"/>
  <c r="N423" i="178"/>
  <c r="N462" i="178"/>
  <c r="N445" i="178"/>
  <c r="N438" i="178"/>
  <c r="N577" i="178"/>
  <c r="N625" i="178"/>
  <c r="N268" i="178"/>
  <c r="N28" i="178"/>
  <c r="N161" i="178"/>
  <c r="N175" i="178"/>
  <c r="N264" i="178"/>
  <c r="N176" i="178"/>
  <c r="N321" i="178"/>
  <c r="N436" i="178"/>
  <c r="N437" i="178"/>
  <c r="N322" i="178"/>
  <c r="N498" i="178"/>
  <c r="N181" i="178"/>
  <c r="N483" i="178"/>
  <c r="N485" i="178"/>
  <c r="N188" i="178"/>
  <c r="N205" i="178"/>
  <c r="N449" i="178"/>
  <c r="N257" i="178"/>
  <c r="N215" i="178"/>
  <c r="N358" i="178"/>
  <c r="N453" i="178"/>
  <c r="N454" i="178"/>
  <c r="N455" i="178"/>
  <c r="N456" i="178"/>
  <c r="N680" i="178"/>
  <c r="N613" i="178"/>
  <c r="N571" i="178"/>
  <c r="N579" i="178"/>
  <c r="N89" i="178"/>
  <c r="N581" i="178"/>
  <c r="N582" i="178"/>
  <c r="N692" i="178"/>
  <c r="N719" i="178"/>
  <c r="N720" i="178"/>
  <c r="N560" i="178"/>
  <c r="N402" i="178"/>
  <c r="N410" i="178"/>
  <c r="N418" i="178"/>
  <c r="N420" i="178"/>
  <c r="N421" i="178"/>
  <c r="N477" i="178"/>
  <c r="N703" i="178"/>
  <c r="N708" i="178"/>
  <c r="N710" i="178"/>
  <c r="N711" i="178"/>
  <c r="N474" i="178"/>
  <c r="N475" i="178"/>
  <c r="N476" i="178"/>
  <c r="N541" i="178"/>
  <c r="N639" i="178"/>
  <c r="N644" i="178"/>
  <c r="N576" i="178"/>
  <c r="N135" i="178"/>
  <c r="N334" i="178"/>
  <c r="N212" i="178"/>
  <c r="N457" i="178"/>
  <c r="N497" i="178"/>
  <c r="N155" i="178"/>
  <c r="N240" i="178"/>
  <c r="N500" i="178"/>
  <c r="N501" i="178"/>
  <c r="N160" i="178"/>
  <c r="N242" i="178"/>
  <c r="N504" i="178"/>
  <c r="N505" i="178"/>
  <c r="N166" i="178"/>
  <c r="N245" i="178"/>
  <c r="N508" i="178"/>
  <c r="N169" i="178"/>
  <c r="N510" i="178"/>
  <c r="N511" i="178"/>
  <c r="N512" i="178"/>
  <c r="N513" i="178"/>
  <c r="N561" i="178"/>
  <c r="N70" i="178"/>
  <c r="N72" i="178"/>
  <c r="N76" i="178"/>
  <c r="N87" i="178"/>
  <c r="N252" i="178"/>
  <c r="N253" i="178"/>
  <c r="N254" i="178"/>
  <c r="N255" i="178"/>
  <c r="N522" i="178"/>
  <c r="N705" i="178"/>
  <c r="N64" i="178"/>
  <c r="N526" i="178"/>
  <c r="N527" i="178"/>
  <c r="N68" i="178"/>
  <c r="N559" i="178"/>
  <c r="N529" i="178"/>
  <c r="N531" i="178"/>
  <c r="N532" i="178"/>
  <c r="N26" i="178"/>
  <c r="N439" i="178"/>
  <c r="N441" i="178"/>
  <c r="N538" i="178"/>
  <c r="N539" i="178"/>
  <c r="N34" i="178"/>
  <c r="N37" i="178"/>
  <c r="N564" i="178"/>
  <c r="N562" i="178"/>
  <c r="N543" i="178"/>
  <c r="N545" i="178"/>
  <c r="N599" i="178"/>
  <c r="N602" i="178"/>
  <c r="N603" i="178"/>
  <c r="N610" i="178"/>
  <c r="N550" i="178"/>
  <c r="N551" i="178"/>
  <c r="N552" i="178"/>
  <c r="N553" i="178"/>
  <c r="N507" i="178"/>
  <c r="N323" i="178"/>
  <c r="N503" i="178"/>
  <c r="N113" i="178"/>
  <c r="N655" i="178"/>
  <c r="N314" i="178"/>
  <c r="N125" i="178"/>
  <c r="N272" i="178"/>
  <c r="N285" i="178"/>
  <c r="N290" i="178"/>
  <c r="N563" i="178"/>
  <c r="N220" i="178"/>
  <c r="N565" i="178"/>
  <c r="N566" i="178"/>
  <c r="N440" i="178"/>
  <c r="N568" i="178"/>
  <c r="N569" i="178"/>
  <c r="N570" i="178"/>
  <c r="N305" i="178"/>
  <c r="N700" i="178"/>
  <c r="N573" i="178"/>
  <c r="N575" i="178"/>
  <c r="N491" i="178"/>
  <c r="N583" i="178"/>
  <c r="N487" i="178"/>
  <c r="N536" i="178"/>
  <c r="N580" i="178"/>
  <c r="N534" i="178"/>
  <c r="N342" i="178"/>
  <c r="N584" i="178"/>
  <c r="N585" i="178"/>
  <c r="N371" i="178"/>
  <c r="N472" i="178"/>
  <c r="N443" i="178"/>
  <c r="N609" i="178"/>
  <c r="N607" i="178"/>
  <c r="N177" i="178"/>
  <c r="N25" i="178"/>
  <c r="N495" i="178"/>
  <c r="N134" i="178"/>
  <c r="N287" i="178"/>
  <c r="N343" i="178"/>
  <c r="N137" i="178"/>
  <c r="N615" i="178"/>
  <c r="N614" i="178"/>
  <c r="N546" i="178"/>
  <c r="N606" i="178"/>
  <c r="N604" i="178"/>
  <c r="N600" i="178"/>
  <c r="N488" i="178"/>
  <c r="N379" i="178"/>
  <c r="N384" i="178"/>
  <c r="N478" i="178"/>
  <c r="N484" i="178"/>
  <c r="N617" i="178"/>
  <c r="N572" i="178"/>
  <c r="N594" i="178"/>
  <c r="N593" i="178"/>
  <c r="N518" i="178"/>
  <c r="N262" i="178"/>
  <c r="N592" i="178"/>
  <c r="N608" i="178"/>
  <c r="N619" i="178"/>
  <c r="N631" i="178"/>
  <c r="N595" i="178"/>
  <c r="N623" i="178"/>
  <c r="N622" i="178"/>
  <c r="N635" i="178"/>
  <c r="N633" i="178"/>
  <c r="N586" i="178"/>
  <c r="N82" i="178"/>
  <c r="N637" i="178"/>
  <c r="N521" i="178"/>
  <c r="N378" i="178"/>
  <c r="N638" i="178"/>
  <c r="N642" i="178"/>
  <c r="N347" i="178"/>
  <c r="N643" i="178"/>
  <c r="N241" i="178"/>
  <c r="N389" i="178"/>
  <c r="N653" i="178"/>
  <c r="N650" i="178"/>
  <c r="N656" i="178"/>
  <c r="N683" i="178"/>
  <c r="N659" i="178"/>
  <c r="N693" i="178"/>
  <c r="N555" i="178"/>
  <c r="N645" i="178"/>
  <c r="N636" i="178"/>
  <c r="N712" i="178"/>
  <c r="N620" i="178"/>
  <c r="N514" i="178"/>
  <c r="N651" i="178"/>
  <c r="N489" i="178"/>
  <c r="N350" i="178"/>
  <c r="N288" i="178"/>
  <c r="N390" i="178"/>
  <c r="N116" i="178"/>
  <c r="N227" i="178"/>
  <c r="N230" i="178"/>
  <c r="N661" i="178"/>
  <c r="N646" i="178"/>
  <c r="N663" i="178"/>
  <c r="N664" i="178"/>
  <c r="N696" i="178"/>
  <c r="N665" i="178"/>
  <c r="N666" i="178"/>
  <c r="N684" i="178"/>
  <c r="N676" i="178"/>
  <c r="N668" i="178"/>
  <c r="N669" i="178"/>
  <c r="N634" i="178"/>
  <c r="N673" i="178"/>
  <c r="N395" i="178"/>
  <c r="N587" i="178"/>
  <c r="N589" i="178"/>
  <c r="N677" i="178"/>
  <c r="N344" i="178"/>
  <c r="N289" i="178"/>
  <c r="N392" i="178"/>
  <c r="N391" i="178"/>
  <c r="N81" i="178"/>
  <c r="N47" i="178"/>
  <c r="N598" i="178"/>
  <c r="N698" i="178"/>
  <c r="N83" i="178"/>
  <c r="N91" i="178"/>
  <c r="N648" i="178"/>
  <c r="N428" i="178"/>
  <c r="N247" i="178"/>
  <c r="N267" i="178"/>
  <c r="N618" i="178"/>
  <c r="N362" i="178"/>
  <c r="N41" i="178"/>
  <c r="N173" i="178"/>
  <c r="N96" i="178"/>
  <c r="N120" i="178"/>
  <c r="N397" i="178"/>
  <c r="N699" i="178"/>
  <c r="N92" i="178"/>
  <c r="N293" i="178"/>
  <c r="N49" i="178"/>
  <c r="N688" i="178"/>
  <c r="N369" i="178"/>
  <c r="N702" i="178"/>
  <c r="N383" i="178"/>
  <c r="N716" i="178"/>
  <c r="N715" i="178"/>
  <c r="N704" i="178"/>
  <c r="N624" i="178"/>
  <c r="N300" i="178"/>
  <c r="N179" i="178"/>
  <c r="N709" i="178"/>
  <c r="N399" i="178"/>
  <c r="N349" i="178"/>
  <c r="N360" i="178"/>
  <c r="N713" i="178"/>
  <c r="N714" i="178"/>
  <c r="N628" i="178"/>
  <c r="N400" i="178"/>
  <c r="N345" i="178"/>
  <c r="N718" i="178"/>
  <c r="N377" i="178"/>
  <c r="N401" i="178"/>
  <c r="N721" i="178"/>
  <c r="N722" i="178"/>
  <c r="N723" i="178"/>
  <c r="N724" i="178"/>
  <c r="N725" i="178"/>
  <c r="N726" i="178"/>
  <c r="N727" i="178"/>
  <c r="N728" i="178"/>
  <c r="N729" i="178"/>
  <c r="N730" i="178"/>
  <c r="N731" i="178"/>
  <c r="N732" i="178"/>
  <c r="N733" i="178"/>
  <c r="N734" i="178"/>
  <c r="N735" i="178"/>
  <c r="N736" i="178"/>
  <c r="N737" i="178"/>
  <c r="N738" i="178"/>
  <c r="N739" i="178"/>
  <c r="N740" i="178"/>
  <c r="N741" i="178"/>
  <c r="N742" i="178"/>
  <c r="N743" i="178"/>
  <c r="N744" i="178"/>
  <c r="N745" i="178"/>
  <c r="N746" i="178"/>
  <c r="N747" i="178"/>
  <c r="N748" i="178"/>
  <c r="N749" i="178"/>
  <c r="N750" i="178"/>
  <c r="N751" i="178"/>
  <c r="N752" i="178"/>
  <c r="N753" i="178"/>
  <c r="N754" i="178"/>
  <c r="N755" i="178"/>
  <c r="N756" i="178"/>
  <c r="N757" i="178"/>
  <c r="N758" i="178"/>
  <c r="N759" i="178"/>
  <c r="N760" i="178"/>
  <c r="N761" i="178"/>
  <c r="N762" i="178"/>
  <c r="N763" i="178"/>
  <c r="N764" i="178"/>
  <c r="N765" i="178"/>
  <c r="N766" i="178"/>
  <c r="N767" i="178"/>
  <c r="N768" i="178"/>
  <c r="N769" i="178"/>
  <c r="N770" i="178"/>
  <c r="N771" i="178"/>
  <c r="N772" i="178"/>
  <c r="N773" i="178"/>
  <c r="N774" i="178"/>
  <c r="N775" i="178"/>
  <c r="N776" i="178"/>
  <c r="N777" i="178"/>
  <c r="N778" i="178"/>
  <c r="N779" i="178"/>
  <c r="N780" i="178"/>
  <c r="N781" i="178"/>
  <c r="N782" i="178"/>
  <c r="N783" i="178"/>
  <c r="N784" i="178"/>
  <c r="N785" i="178"/>
  <c r="N786" i="178"/>
  <c r="N787" i="178"/>
  <c r="N788" i="178"/>
  <c r="N789" i="178"/>
  <c r="N790" i="178"/>
  <c r="N791" i="178"/>
  <c r="N792" i="178"/>
  <c r="N793" i="178"/>
  <c r="N794" i="178"/>
  <c r="N795" i="178"/>
  <c r="N796" i="178"/>
  <c r="N797" i="178"/>
  <c r="N798" i="178"/>
  <c r="N799" i="178"/>
  <c r="N800" i="178"/>
  <c r="N801" i="178"/>
  <c r="N802" i="178"/>
  <c r="N803" i="178"/>
  <c r="N804" i="178"/>
  <c r="N805" i="178"/>
  <c r="N806" i="178"/>
  <c r="N807" i="178"/>
  <c r="N808" i="178"/>
  <c r="N809" i="178"/>
  <c r="N810" i="178"/>
  <c r="N811" i="178"/>
  <c r="N812" i="178"/>
  <c r="N813" i="178"/>
  <c r="N814" i="178"/>
  <c r="N815" i="178"/>
  <c r="N816" i="178"/>
  <c r="N817" i="178"/>
  <c r="N818" i="178"/>
  <c r="N819" i="178"/>
  <c r="N820" i="178"/>
  <c r="N821" i="178"/>
  <c r="N822" i="178"/>
  <c r="N823" i="178"/>
  <c r="N824" i="178"/>
  <c r="N825" i="178"/>
  <c r="N826" i="178"/>
  <c r="N827" i="178"/>
  <c r="N828" i="178"/>
  <c r="N829" i="178"/>
  <c r="N830" i="178"/>
  <c r="N831" i="178"/>
  <c r="N832" i="178"/>
  <c r="N833" i="178"/>
  <c r="N834" i="178"/>
  <c r="N835" i="178"/>
  <c r="N836" i="178"/>
  <c r="N837" i="178"/>
  <c r="N838" i="178"/>
  <c r="N839" i="178"/>
  <c r="N840" i="178"/>
  <c r="N841" i="178"/>
  <c r="N842" i="178"/>
  <c r="N843" i="178"/>
  <c r="N844" i="178"/>
  <c r="N845" i="178"/>
  <c r="N846" i="178"/>
  <c r="N847" i="178"/>
  <c r="N848" i="178"/>
  <c r="N849" i="178"/>
  <c r="N850" i="178"/>
  <c r="N851" i="178"/>
  <c r="N852" i="178"/>
  <c r="N853" i="178"/>
  <c r="N854" i="178"/>
  <c r="N855" i="178"/>
  <c r="N856" i="178"/>
  <c r="N857" i="178"/>
  <c r="N858" i="178"/>
  <c r="N859" i="178"/>
  <c r="N860" i="178"/>
  <c r="N861" i="178"/>
  <c r="N862" i="178"/>
  <c r="N863" i="178"/>
  <c r="N864" i="178"/>
  <c r="N865" i="178"/>
  <c r="N866" i="178"/>
  <c r="N867" i="178"/>
  <c r="N868" i="178"/>
  <c r="N869" i="178"/>
  <c r="N870" i="178"/>
  <c r="N871" i="178"/>
  <c r="N872" i="178"/>
  <c r="N873" i="178"/>
  <c r="N874" i="178"/>
  <c r="N875" i="178"/>
  <c r="N876" i="178"/>
  <c r="N877" i="178"/>
  <c r="N878" i="178"/>
  <c r="N879" i="178"/>
  <c r="N880" i="178"/>
  <c r="N881" i="178"/>
  <c r="N882" i="178"/>
  <c r="N883" i="178"/>
  <c r="N884" i="178"/>
  <c r="N885" i="178"/>
  <c r="N886" i="178"/>
  <c r="N887" i="178"/>
  <c r="N888" i="178"/>
  <c r="N889" i="178"/>
  <c r="N890" i="178"/>
  <c r="N891" i="178"/>
  <c r="N892" i="178"/>
  <c r="N893" i="178"/>
  <c r="N894" i="178"/>
  <c r="N895" i="178"/>
  <c r="N896" i="178"/>
  <c r="N897" i="178"/>
  <c r="N898" i="178"/>
  <c r="N899" i="178"/>
  <c r="N900" i="178"/>
  <c r="N901" i="178"/>
  <c r="N902" i="178"/>
  <c r="N903" i="178"/>
  <c r="N904" i="178"/>
  <c r="N905" i="178"/>
  <c r="N906" i="178"/>
  <c r="N907" i="178"/>
  <c r="N908" i="178"/>
  <c r="N909" i="178"/>
  <c r="N910" i="178"/>
  <c r="N911" i="178"/>
  <c r="N912" i="178"/>
  <c r="N913" i="178"/>
  <c r="N914" i="178"/>
  <c r="N915" i="178"/>
  <c r="N916" i="178"/>
  <c r="N917" i="178"/>
  <c r="N918" i="178"/>
  <c r="N919" i="178"/>
  <c r="N920" i="178"/>
  <c r="N921" i="178"/>
  <c r="N922" i="178"/>
  <c r="N923" i="178"/>
  <c r="N924" i="178"/>
  <c r="N925" i="178"/>
  <c r="N926" i="178"/>
  <c r="N927" i="178"/>
  <c r="N928" i="178"/>
  <c r="N929" i="178"/>
  <c r="N930" i="178"/>
  <c r="N931" i="178"/>
  <c r="N932" i="178"/>
  <c r="N933" i="178"/>
  <c r="N934" i="178"/>
  <c r="N935" i="178"/>
  <c r="N936" i="178"/>
  <c r="N937" i="178"/>
  <c r="N938" i="178"/>
  <c r="N939" i="178"/>
  <c r="N940" i="178"/>
  <c r="N941" i="178"/>
  <c r="N942" i="178"/>
  <c r="N943" i="178"/>
  <c r="N944" i="178"/>
  <c r="N945" i="178"/>
  <c r="N946" i="178"/>
  <c r="N947" i="178"/>
  <c r="N948" i="178"/>
  <c r="N949" i="178"/>
  <c r="N950" i="178"/>
  <c r="N951" i="178"/>
  <c r="N952" i="178"/>
  <c r="N953" i="178"/>
  <c r="N954" i="178"/>
  <c r="N955" i="178"/>
  <c r="N956" i="178"/>
  <c r="N957" i="178"/>
  <c r="N958" i="178"/>
  <c r="N959" i="178"/>
  <c r="N960" i="178"/>
  <c r="N961" i="178"/>
  <c r="N962" i="178"/>
  <c r="N963" i="178"/>
  <c r="N964" i="178"/>
  <c r="N965" i="178"/>
  <c r="N966" i="178"/>
  <c r="N967" i="178"/>
  <c r="N968" i="178"/>
  <c r="N969" i="178"/>
  <c r="N970" i="178"/>
  <c r="N971" i="178"/>
  <c r="N972" i="178"/>
  <c r="N973" i="178"/>
  <c r="N974" i="178"/>
  <c r="N975" i="178"/>
  <c r="N976" i="178"/>
  <c r="N977" i="178"/>
  <c r="N978" i="178"/>
  <c r="N979" i="178"/>
  <c r="N980" i="178"/>
  <c r="N981" i="178"/>
  <c r="N982" i="178"/>
  <c r="N983" i="178"/>
  <c r="N984" i="178"/>
  <c r="N985" i="178"/>
  <c r="N986" i="178"/>
  <c r="N987" i="178"/>
  <c r="N988" i="178"/>
  <c r="N989" i="178"/>
  <c r="N990" i="178"/>
  <c r="N991" i="178"/>
  <c r="N992" i="178"/>
  <c r="N993" i="178"/>
  <c r="N994" i="178"/>
  <c r="N995" i="178"/>
  <c r="N996" i="178"/>
  <c r="N997" i="178"/>
  <c r="N998" i="178"/>
  <c r="N999" i="178"/>
  <c r="N1000" i="178"/>
  <c r="N1001" i="178"/>
  <c r="N1002" i="178"/>
  <c r="N1003" i="178"/>
  <c r="N1004" i="178"/>
  <c r="N1005" i="178"/>
  <c r="N1006" i="178"/>
  <c r="N1007" i="178"/>
  <c r="N1008" i="178"/>
  <c r="N1009" i="178"/>
  <c r="N1010" i="178"/>
  <c r="N1011" i="178"/>
  <c r="N1012" i="178"/>
  <c r="N1013" i="178"/>
  <c r="N1014" i="178"/>
  <c r="N1015" i="178"/>
  <c r="N1016" i="178"/>
  <c r="N1017" i="178"/>
  <c r="N1018" i="178"/>
  <c r="N1019" i="178"/>
  <c r="N1020" i="178"/>
  <c r="N1021" i="178"/>
  <c r="N1022" i="178"/>
  <c r="N1023" i="178"/>
  <c r="N1024" i="178"/>
  <c r="N1025" i="178"/>
  <c r="N1026" i="178"/>
  <c r="N1027" i="178"/>
  <c r="N1028" i="178"/>
  <c r="N1029" i="178"/>
  <c r="N1030" i="178"/>
  <c r="N1031" i="178"/>
  <c r="N1032" i="178"/>
  <c r="N1033" i="178"/>
  <c r="N1034" i="178"/>
  <c r="N1035" i="178"/>
  <c r="N1036" i="178"/>
  <c r="N1037" i="178"/>
  <c r="N1038" i="178"/>
  <c r="N1039" i="178"/>
  <c r="N1040" i="178"/>
  <c r="N1041" i="178"/>
  <c r="N1042" i="178"/>
  <c r="N1043" i="178"/>
  <c r="N1044" i="178"/>
  <c r="N1045" i="178"/>
  <c r="N1046" i="178"/>
  <c r="N1047" i="178"/>
  <c r="N1048" i="178"/>
  <c r="N1049" i="178"/>
  <c r="N1050" i="178"/>
  <c r="N1051" i="178"/>
  <c r="N1052" i="178"/>
  <c r="N1053" i="178"/>
  <c r="N1054" i="178"/>
  <c r="N1055" i="178"/>
  <c r="N1056" i="178"/>
  <c r="N1057" i="178"/>
  <c r="N1058" i="178"/>
  <c r="N1059" i="178"/>
  <c r="N1060" i="178"/>
  <c r="N1061" i="178"/>
  <c r="N1062" i="178"/>
  <c r="N1063" i="178"/>
  <c r="N1064" i="178"/>
  <c r="N1065" i="178"/>
  <c r="N1066" i="178"/>
  <c r="N1067" i="178"/>
  <c r="N1068" i="178"/>
  <c r="N1069" i="178"/>
  <c r="N1070" i="178"/>
  <c r="N1071" i="178"/>
  <c r="N1072" i="178"/>
  <c r="N1073" i="178"/>
  <c r="N1074" i="178"/>
  <c r="N1075" i="178"/>
  <c r="N1076" i="178"/>
  <c r="N1077" i="178"/>
  <c r="N1078" i="178"/>
  <c r="N1079" i="178"/>
  <c r="N1080" i="178"/>
  <c r="N1081" i="178"/>
  <c r="N1082" i="178"/>
  <c r="N1083" i="178"/>
  <c r="N1084" i="178"/>
  <c r="N1085" i="178"/>
  <c r="N1086" i="178"/>
  <c r="N1087" i="178"/>
  <c r="N1088" i="178"/>
  <c r="N1089" i="178"/>
  <c r="N1090" i="178"/>
  <c r="N1091" i="178"/>
  <c r="N1092" i="178"/>
  <c r="N1093" i="178"/>
  <c r="N1094" i="178"/>
  <c r="N1095" i="178"/>
  <c r="N1096" i="178"/>
  <c r="N1097" i="178"/>
  <c r="N1098" i="178"/>
  <c r="N1099" i="178"/>
  <c r="N1100" i="178"/>
  <c r="N1101" i="178"/>
  <c r="N1102" i="178"/>
  <c r="N1103" i="178"/>
  <c r="N1104" i="178"/>
  <c r="N1105" i="178"/>
  <c r="N1106" i="178"/>
  <c r="N1107" i="178"/>
  <c r="N1108" i="178"/>
  <c r="N1109" i="178"/>
  <c r="N1110" i="178"/>
  <c r="N1111" i="178"/>
  <c r="N1112" i="178"/>
  <c r="N1113" i="178"/>
  <c r="N1114" i="178"/>
  <c r="N1115" i="178"/>
  <c r="N1116" i="178"/>
  <c r="N1117" i="178"/>
  <c r="N1118" i="178"/>
  <c r="N1119" i="178"/>
  <c r="N1120" i="178"/>
  <c r="N1121" i="178"/>
  <c r="N1122" i="178"/>
  <c r="N1123" i="178"/>
  <c r="N1124" i="178"/>
  <c r="N1125" i="178"/>
  <c r="N1126" i="178"/>
  <c r="N1127" i="178"/>
  <c r="N1128" i="178"/>
  <c r="N1129" i="178"/>
  <c r="N1130" i="178"/>
  <c r="L3" i="178"/>
  <c r="L4" i="178"/>
  <c r="L5" i="178"/>
  <c r="L6" i="178"/>
  <c r="L8" i="178"/>
  <c r="L9" i="178"/>
  <c r="L13" i="178"/>
  <c r="L14" i="178"/>
  <c r="L15" i="178"/>
  <c r="L11" i="178"/>
  <c r="L22" i="178"/>
  <c r="L23" i="178"/>
  <c r="L24" i="178"/>
  <c r="L17" i="178"/>
  <c r="L30" i="178"/>
  <c r="L31" i="178"/>
  <c r="L32" i="178"/>
  <c r="L33" i="178"/>
  <c r="L35" i="178"/>
  <c r="L18" i="178"/>
  <c r="L45" i="178"/>
  <c r="L48" i="178"/>
  <c r="L50" i="178"/>
  <c r="L39" i="178"/>
  <c r="L62" i="178"/>
  <c r="L71" i="178"/>
  <c r="L19" i="178"/>
  <c r="L85" i="178"/>
  <c r="L86" i="178"/>
  <c r="L51" i="178"/>
  <c r="L55" i="178"/>
  <c r="L112" i="178"/>
  <c r="L115" i="178"/>
  <c r="L61" i="178"/>
  <c r="L123" i="178"/>
  <c r="L126" i="178"/>
  <c r="L131" i="178"/>
  <c r="L132" i="178"/>
  <c r="L63" i="178"/>
  <c r="L140" i="178"/>
  <c r="L144" i="178"/>
  <c r="L21" i="178"/>
  <c r="L182" i="178"/>
  <c r="L183" i="178"/>
  <c r="L184" i="178"/>
  <c r="L143" i="178"/>
  <c r="L159" i="178"/>
  <c r="L27" i="178"/>
  <c r="L217" i="178"/>
  <c r="L118" i="178"/>
  <c r="L133" i="178"/>
  <c r="L158" i="178"/>
  <c r="L341" i="178"/>
  <c r="L681" i="178"/>
  <c r="L429" i="178"/>
  <c r="L660" i="178"/>
  <c r="L65" i="178"/>
  <c r="L470" i="178"/>
  <c r="L482" i="178"/>
  <c r="L496" i="178"/>
  <c r="L717" i="178"/>
  <c r="L67" i="178"/>
  <c r="L444" i="178"/>
  <c r="L78" i="178"/>
  <c r="L502" i="178"/>
  <c r="L506" i="178"/>
  <c r="L442" i="178"/>
  <c r="L509" i="178"/>
  <c r="L519" i="178"/>
  <c r="L520" i="178"/>
  <c r="L523" i="178"/>
  <c r="L40" i="178"/>
  <c r="L74" i="178"/>
  <c r="L446" i="178"/>
  <c r="L525" i="178"/>
  <c r="L528" i="178"/>
  <c r="L533" i="178"/>
  <c r="L548" i="178"/>
  <c r="L452" i="178"/>
  <c r="L149" i="178"/>
  <c r="L578" i="178"/>
  <c r="L152" i="178"/>
  <c r="L153" i="178"/>
  <c r="L154" i="178"/>
  <c r="L93" i="178"/>
  <c r="L459" i="178"/>
  <c r="L95" i="178"/>
  <c r="L549" i="178"/>
  <c r="L97" i="178"/>
  <c r="L58" i="178"/>
  <c r="L100" i="178"/>
  <c r="L695" i="178"/>
  <c r="L567" i="178"/>
  <c r="L103" i="178"/>
  <c r="L53" i="178"/>
  <c r="L109" i="178"/>
  <c r="L156" i="178"/>
  <c r="L99" i="178"/>
  <c r="L136" i="178"/>
  <c r="L43" i="178"/>
  <c r="L142" i="178"/>
  <c r="L105" i="178"/>
  <c r="L145" i="178"/>
  <c r="L706" i="178"/>
  <c r="L60" i="178"/>
  <c r="L167" i="178"/>
  <c r="L336" i="178"/>
  <c r="L185" i="178"/>
  <c r="L186" i="178"/>
  <c r="L77" i="178"/>
  <c r="L146" i="178"/>
  <c r="L150" i="178"/>
  <c r="L499" i="178"/>
  <c r="L127" i="178"/>
  <c r="L171" i="178"/>
  <c r="L557" i="178"/>
  <c r="L170" i="178"/>
  <c r="L471" i="178"/>
  <c r="L492" i="178"/>
  <c r="L448" i="178"/>
  <c r="L544" i="178"/>
  <c r="L537" i="178"/>
  <c r="L466" i="178"/>
  <c r="L486" i="178"/>
  <c r="L405" i="178"/>
  <c r="L682" i="178"/>
  <c r="L686" i="178"/>
  <c r="L130" i="178"/>
  <c r="L57" i="178"/>
  <c r="L649" i="178"/>
  <c r="L515" i="178"/>
  <c r="L524" i="178"/>
  <c r="L406" i="178"/>
  <c r="L447" i="178"/>
  <c r="L404" i="178"/>
  <c r="L56" i="178"/>
  <c r="L138" i="178"/>
  <c r="L88" i="178"/>
  <c r="L98" i="178"/>
  <c r="L490" i="178"/>
  <c r="L467" i="178"/>
  <c r="L403" i="178"/>
  <c r="L458" i="178"/>
  <c r="L373" i="178"/>
  <c r="L12" i="178"/>
  <c r="L398" i="178"/>
  <c r="L542" i="178"/>
  <c r="L547" i="178"/>
  <c r="L554" i="178"/>
  <c r="L363" i="178"/>
  <c r="L141" i="178"/>
  <c r="L16" i="178"/>
  <c r="L291" i="178"/>
  <c r="L54" i="178"/>
  <c r="L20" i="178"/>
  <c r="L66" i="178"/>
  <c r="L36" i="178"/>
  <c r="L73" i="178"/>
  <c r="L80" i="178"/>
  <c r="L52" i="178"/>
  <c r="L480" i="178"/>
  <c r="L479" i="178"/>
  <c r="L481" i="178"/>
  <c r="L106" i="178"/>
  <c r="L107" i="178"/>
  <c r="L7" i="178"/>
  <c r="L189" i="178"/>
  <c r="L190" i="178"/>
  <c r="L191" i="178"/>
  <c r="L192" i="178"/>
  <c r="L193" i="178"/>
  <c r="L194" i="178"/>
  <c r="L121" i="178"/>
  <c r="L226" i="178"/>
  <c r="L197" i="178"/>
  <c r="L674" i="178"/>
  <c r="L198" i="178"/>
  <c r="L196" i="178"/>
  <c r="L236" i="178"/>
  <c r="L238" i="178"/>
  <c r="L243" i="178"/>
  <c r="L246" i="178"/>
  <c r="L128" i="178"/>
  <c r="L203" i="178"/>
  <c r="L621" i="178"/>
  <c r="L204" i="178"/>
  <c r="L558" i="178"/>
  <c r="L139" i="178"/>
  <c r="L206" i="178"/>
  <c r="L207" i="178"/>
  <c r="L208" i="178"/>
  <c r="L210" i="178"/>
  <c r="L211" i="178"/>
  <c r="L162" i="178"/>
  <c r="L46" i="178"/>
  <c r="L213" i="178"/>
  <c r="L214" i="178"/>
  <c r="L493" i="178"/>
  <c r="L269" i="178"/>
  <c r="L218" i="178"/>
  <c r="L219" i="178"/>
  <c r="L611" i="178"/>
  <c r="L221" i="178"/>
  <c r="L222" i="178"/>
  <c r="L281" i="178"/>
  <c r="L282" i="178"/>
  <c r="L556" i="178"/>
  <c r="L225" i="178"/>
  <c r="L309" i="178"/>
  <c r="L172" i="178"/>
  <c r="L588" i="178"/>
  <c r="L461" i="178"/>
  <c r="L364" i="178"/>
  <c r="L119" i="178"/>
  <c r="L426" i="178"/>
  <c r="L465" i="178"/>
  <c r="L464" i="178"/>
  <c r="L270" i="178"/>
  <c r="L233" i="178"/>
  <c r="L234" i="178"/>
  <c r="L195" i="178"/>
  <c r="L574" i="178"/>
  <c r="L199" i="178"/>
  <c r="L248" i="178"/>
  <c r="L294" i="178"/>
  <c r="L286" i="178"/>
  <c r="L129" i="178"/>
  <c r="L244" i="178"/>
  <c r="L325" i="178"/>
  <c r="L596" i="178"/>
  <c r="L278" i="178"/>
  <c r="L200" i="178"/>
  <c r="L249" i="178"/>
  <c r="L250" i="178"/>
  <c r="L251" i="178"/>
  <c r="L187" i="178"/>
  <c r="L332" i="178"/>
  <c r="L632" i="178"/>
  <c r="L626" i="178"/>
  <c r="L627" i="178"/>
  <c r="L629" i="178"/>
  <c r="L202" i="178"/>
  <c r="L331" i="178"/>
  <c r="L654" i="178"/>
  <c r="L652" i="178"/>
  <c r="L658" i="178"/>
  <c r="L667" i="178"/>
  <c r="L201" i="178"/>
  <c r="L273" i="178"/>
  <c r="L260" i="178"/>
  <c r="L261" i="178"/>
  <c r="L689" i="178"/>
  <c r="L690" i="178"/>
  <c r="L284" i="178"/>
  <c r="L265" i="178"/>
  <c r="L266" i="178"/>
  <c r="L361" i="178"/>
  <c r="L231" i="178"/>
  <c r="L69" i="178"/>
  <c r="L232" i="178"/>
  <c r="L271" i="178"/>
  <c r="L235" i="178"/>
  <c r="L274" i="178"/>
  <c r="L259" i="178"/>
  <c r="L276" i="178"/>
  <c r="L367" i="178"/>
  <c r="L277" i="178"/>
  <c r="L42" i="178"/>
  <c r="L279" i="178"/>
  <c r="L280" i="178"/>
  <c r="L468" i="178"/>
  <c r="L29" i="178"/>
  <c r="L10" i="178"/>
  <c r="L295" i="178"/>
  <c r="L296" i="178"/>
  <c r="L297" i="178"/>
  <c r="L298" i="178"/>
  <c r="L380" i="178"/>
  <c r="L44" i="178"/>
  <c r="L114" i="178"/>
  <c r="L302" i="178"/>
  <c r="L303" i="178"/>
  <c r="L304" i="178"/>
  <c r="L174" i="178"/>
  <c r="L306" i="178"/>
  <c r="L307" i="178"/>
  <c r="L163" i="178"/>
  <c r="L122" i="178"/>
  <c r="L165" i="178"/>
  <c r="L310" i="178"/>
  <c r="L311" i="178"/>
  <c r="L312" i="178"/>
  <c r="L313" i="178"/>
  <c r="L148" i="178"/>
  <c r="L164" i="178"/>
  <c r="L315" i="178"/>
  <c r="L316" i="178"/>
  <c r="L317" i="178"/>
  <c r="L318" i="178"/>
  <c r="L110" i="178"/>
  <c r="L151" i="178"/>
  <c r="L319" i="178"/>
  <c r="L320" i="178"/>
  <c r="L657" i="178"/>
  <c r="L75" i="178"/>
  <c r="L326" i="178"/>
  <c r="L327" i="178"/>
  <c r="L328" i="178"/>
  <c r="L329" i="178"/>
  <c r="L90" i="178"/>
  <c r="L79" i="178"/>
  <c r="L147" i="178"/>
  <c r="L333" i="178"/>
  <c r="L108" i="178"/>
  <c r="L216" i="178"/>
  <c r="L335" i="178"/>
  <c r="L224" i="178"/>
  <c r="L228" i="178"/>
  <c r="L662" i="178"/>
  <c r="L338" i="178"/>
  <c r="L104" i="178"/>
  <c r="L641" i="178"/>
  <c r="L157" i="178"/>
  <c r="L640" i="178"/>
  <c r="L340" i="178"/>
  <c r="L94" i="178"/>
  <c r="L84" i="178"/>
  <c r="L59" i="178"/>
  <c r="L630" i="178"/>
  <c r="L308" i="178"/>
  <c r="L292" i="178"/>
  <c r="L647" i="178"/>
  <c r="L337" i="178"/>
  <c r="L687" i="178"/>
  <c r="L691" i="178"/>
  <c r="L229" i="178"/>
  <c r="L223" i="178"/>
  <c r="L386" i="178"/>
  <c r="L168" i="178"/>
  <c r="L209" i="178"/>
  <c r="L346" i="178"/>
  <c r="L256" i="178"/>
  <c r="L258" i="178"/>
  <c r="L263" i="178"/>
  <c r="L359" i="178"/>
  <c r="L301" i="178"/>
  <c r="L694" i="178"/>
  <c r="L354" i="178"/>
  <c r="L355" i="178"/>
  <c r="L356" i="178"/>
  <c r="L352" i="178"/>
  <c r="L102" i="178"/>
  <c r="L370" i="178"/>
  <c r="L388" i="178"/>
  <c r="L348" i="178"/>
  <c r="L671" i="178"/>
  <c r="L679" i="178"/>
  <c r="L672" i="178"/>
  <c r="L339" i="178"/>
  <c r="L365" i="178"/>
  <c r="L366" i="178"/>
  <c r="L381" i="178"/>
  <c r="L299" i="178"/>
  <c r="L701" i="178"/>
  <c r="L707" i="178"/>
  <c r="L368" i="178"/>
  <c r="L374" i="178"/>
  <c r="L275" i="178"/>
  <c r="L372" i="178"/>
  <c r="L601" i="178"/>
  <c r="L605" i="178"/>
  <c r="L178" i="178"/>
  <c r="L385" i="178"/>
  <c r="L375" i="178"/>
  <c r="L685" i="178"/>
  <c r="L376" i="178"/>
  <c r="L612" i="178"/>
  <c r="L450" i="178"/>
  <c r="L351" i="178"/>
  <c r="L460" i="178"/>
  <c r="L451" i="178"/>
  <c r="L382" i="178"/>
  <c r="L396" i="178"/>
  <c r="L393" i="178"/>
  <c r="L530" i="178"/>
  <c r="L357" i="178"/>
  <c r="L387" i="178"/>
  <c r="L111" i="178"/>
  <c r="L239" i="178"/>
  <c r="L101" i="178"/>
  <c r="L469" i="178"/>
  <c r="L283" i="178"/>
  <c r="L237" i="178"/>
  <c r="L616" i="178"/>
  <c r="L394" i="178"/>
  <c r="L678" i="178"/>
  <c r="L180" i="178"/>
  <c r="L473" i="178"/>
  <c r="L407" i="178"/>
  <c r="L408" i="178"/>
  <c r="L409" i="178"/>
  <c r="L697" i="178"/>
  <c r="L411" i="178"/>
  <c r="L412" i="178"/>
  <c r="L413" i="178"/>
  <c r="L414" i="178"/>
  <c r="L124" i="178"/>
  <c r="L415" i="178"/>
  <c r="L38" i="178"/>
  <c r="L416" i="178"/>
  <c r="L417" i="178"/>
  <c r="L419" i="178"/>
  <c r="L324" i="178"/>
  <c r="L670" i="178"/>
  <c r="L422" i="178"/>
  <c r="L517" i="178"/>
  <c r="L424" i="178"/>
  <c r="L425" i="178"/>
  <c r="L494" i="178"/>
  <c r="L427" i="178"/>
  <c r="L516" i="178"/>
  <c r="L330" i="178"/>
  <c r="L430" i="178"/>
  <c r="L431" i="178"/>
  <c r="L432" i="178"/>
  <c r="L433" i="178"/>
  <c r="L434" i="178"/>
  <c r="L435" i="178"/>
  <c r="L423" i="178"/>
  <c r="L462" i="178"/>
  <c r="L445" i="178"/>
  <c r="L438" i="178"/>
  <c r="L577" i="178"/>
  <c r="L625" i="178"/>
  <c r="L268" i="178"/>
  <c r="L28" i="178"/>
  <c r="L161" i="178"/>
  <c r="L175" i="178"/>
  <c r="L264" i="178"/>
  <c r="L176" i="178"/>
  <c r="L321" i="178"/>
  <c r="L436" i="178"/>
  <c r="L437" i="178"/>
  <c r="L322" i="178"/>
  <c r="L498" i="178"/>
  <c r="L181" i="178"/>
  <c r="L483" i="178"/>
  <c r="L485" i="178"/>
  <c r="L188" i="178"/>
  <c r="L205" i="178"/>
  <c r="L449" i="178"/>
  <c r="L257" i="178"/>
  <c r="L215" i="178"/>
  <c r="L358" i="178"/>
  <c r="L453" i="178"/>
  <c r="L454" i="178"/>
  <c r="L455" i="178"/>
  <c r="L456" i="178"/>
  <c r="L680" i="178"/>
  <c r="L613" i="178"/>
  <c r="L571" i="178"/>
  <c r="L579" i="178"/>
  <c r="L89" i="178"/>
  <c r="L581" i="178"/>
  <c r="L582" i="178"/>
  <c r="L692" i="178"/>
  <c r="L719" i="178"/>
  <c r="L720" i="178"/>
  <c r="L560" i="178"/>
  <c r="L402" i="178"/>
  <c r="L410" i="178"/>
  <c r="L418" i="178"/>
  <c r="L420" i="178"/>
  <c r="L421" i="178"/>
  <c r="L477" i="178"/>
  <c r="L703" i="178"/>
  <c r="L708" i="178"/>
  <c r="L710" i="178"/>
  <c r="L711" i="178"/>
  <c r="L474" i="178"/>
  <c r="L475" i="178"/>
  <c r="L476" i="178"/>
  <c r="L541" i="178"/>
  <c r="L639" i="178"/>
  <c r="L644" i="178"/>
  <c r="L576" i="178"/>
  <c r="L135" i="178"/>
  <c r="L334" i="178"/>
  <c r="L212" i="178"/>
  <c r="L457" i="178"/>
  <c r="L497" i="178"/>
  <c r="L155" i="178"/>
  <c r="L240" i="178"/>
  <c r="L500" i="178"/>
  <c r="L501" i="178"/>
  <c r="L160" i="178"/>
  <c r="L242" i="178"/>
  <c r="L504" i="178"/>
  <c r="L505" i="178"/>
  <c r="L166" i="178"/>
  <c r="L245" i="178"/>
  <c r="L508" i="178"/>
  <c r="L169" i="178"/>
  <c r="L510" i="178"/>
  <c r="L511" i="178"/>
  <c r="L512" i="178"/>
  <c r="L513" i="178"/>
  <c r="L561" i="178"/>
  <c r="L70" i="178"/>
  <c r="L72" i="178"/>
  <c r="L76" i="178"/>
  <c r="L87" i="178"/>
  <c r="L252" i="178"/>
  <c r="L253" i="178"/>
  <c r="L254" i="178"/>
  <c r="L255" i="178"/>
  <c r="L522" i="178"/>
  <c r="L705" i="178"/>
  <c r="L64" i="178"/>
  <c r="L526" i="178"/>
  <c r="L527" i="178"/>
  <c r="L68" i="178"/>
  <c r="L559" i="178"/>
  <c r="L529" i="178"/>
  <c r="L531" i="178"/>
  <c r="L532" i="178"/>
  <c r="L26" i="178"/>
  <c r="L439" i="178"/>
  <c r="L441" i="178"/>
  <c r="L538" i="178"/>
  <c r="L539" i="178"/>
  <c r="L34" i="178"/>
  <c r="L37" i="178"/>
  <c r="L564" i="178"/>
  <c r="L562" i="178"/>
  <c r="L543" i="178"/>
  <c r="L545" i="178"/>
  <c r="L599" i="178"/>
  <c r="L602" i="178"/>
  <c r="L603" i="178"/>
  <c r="L610" i="178"/>
  <c r="L550" i="178"/>
  <c r="L551" i="178"/>
  <c r="L552" i="178"/>
  <c r="L553" i="178"/>
  <c r="L507" i="178"/>
  <c r="L323" i="178"/>
  <c r="L503" i="178"/>
  <c r="L113" i="178"/>
  <c r="L655" i="178"/>
  <c r="L314" i="178"/>
  <c r="L125" i="178"/>
  <c r="L272" i="178"/>
  <c r="L285" i="178"/>
  <c r="L290" i="178"/>
  <c r="L563" i="178"/>
  <c r="L220" i="178"/>
  <c r="L565" i="178"/>
  <c r="L566" i="178"/>
  <c r="L440" i="178"/>
  <c r="L568" i="178"/>
  <c r="L569" i="178"/>
  <c r="L570" i="178"/>
  <c r="L305" i="178"/>
  <c r="L700" i="178"/>
  <c r="L573" i="178"/>
  <c r="L575" i="178"/>
  <c r="L491" i="178"/>
  <c r="L583" i="178"/>
  <c r="L487" i="178"/>
  <c r="L536" i="178"/>
  <c r="L580" i="178"/>
  <c r="L534" i="178"/>
  <c r="L342" i="178"/>
  <c r="L584" i="178"/>
  <c r="L585" i="178"/>
  <c r="L371" i="178"/>
  <c r="L472" i="178"/>
  <c r="L443" i="178"/>
  <c r="L609" i="178"/>
  <c r="L607" i="178"/>
  <c r="L177" i="178"/>
  <c r="L25" i="178"/>
  <c r="L495" i="178"/>
  <c r="L134" i="178"/>
  <c r="L287" i="178"/>
  <c r="L343" i="178"/>
  <c r="L137" i="178"/>
  <c r="L615" i="178"/>
  <c r="L614" i="178"/>
  <c r="L546" i="178"/>
  <c r="L606" i="178"/>
  <c r="L604" i="178"/>
  <c r="L600" i="178"/>
  <c r="L488" i="178"/>
  <c r="L379" i="178"/>
  <c r="L384" i="178"/>
  <c r="L478" i="178"/>
  <c r="L484" i="178"/>
  <c r="L617" i="178"/>
  <c r="L572" i="178"/>
  <c r="L594" i="178"/>
  <c r="L593" i="178"/>
  <c r="L518" i="178"/>
  <c r="L262" i="178"/>
  <c r="L592" i="178"/>
  <c r="L608" i="178"/>
  <c r="L619" i="178"/>
  <c r="L631" i="178"/>
  <c r="L595" i="178"/>
  <c r="L623" i="178"/>
  <c r="L622" i="178"/>
  <c r="L635" i="178"/>
  <c r="L633" i="178"/>
  <c r="L586" i="178"/>
  <c r="L82" i="178"/>
  <c r="L637" i="178"/>
  <c r="L521" i="178"/>
  <c r="L378" i="178"/>
  <c r="L638" i="178"/>
  <c r="L642" i="178"/>
  <c r="L347" i="178"/>
  <c r="L643" i="178"/>
  <c r="L241" i="178"/>
  <c r="L389" i="178"/>
  <c r="L653" i="178"/>
  <c r="L650" i="178"/>
  <c r="L656" i="178"/>
  <c r="L683" i="178"/>
  <c r="L659" i="178"/>
  <c r="L693" i="178"/>
  <c r="L555" i="178"/>
  <c r="L645" i="178"/>
  <c r="L636" i="178"/>
  <c r="L712" i="178"/>
  <c r="L620" i="178"/>
  <c r="L514" i="178"/>
  <c r="L651" i="178"/>
  <c r="L489" i="178"/>
  <c r="L350" i="178"/>
  <c r="L288" i="178"/>
  <c r="L390" i="178"/>
  <c r="L116" i="178"/>
  <c r="L227" i="178"/>
  <c r="L230" i="178"/>
  <c r="L661" i="178"/>
  <c r="L646" i="178"/>
  <c r="L663" i="178"/>
  <c r="L664" i="178"/>
  <c r="L696" i="178"/>
  <c r="L665" i="178"/>
  <c r="L666" i="178"/>
  <c r="L684" i="178"/>
  <c r="L676" i="178"/>
  <c r="L668" i="178"/>
  <c r="L669" i="178"/>
  <c r="L634" i="178"/>
  <c r="L673" i="178"/>
  <c r="L395" i="178"/>
  <c r="L587" i="178"/>
  <c r="L589" i="178"/>
  <c r="L677" i="178"/>
  <c r="L344" i="178"/>
  <c r="L289" i="178"/>
  <c r="L392" i="178"/>
  <c r="L391" i="178"/>
  <c r="L81" i="178"/>
  <c r="L47" i="178"/>
  <c r="L598" i="178"/>
  <c r="L698" i="178"/>
  <c r="L83" i="178"/>
  <c r="L91" i="178"/>
  <c r="L648" i="178"/>
  <c r="L428" i="178"/>
  <c r="L247" i="178"/>
  <c r="L267" i="178"/>
  <c r="L618" i="178"/>
  <c r="L362" i="178"/>
  <c r="L41" i="178"/>
  <c r="L173" i="178"/>
  <c r="L96" i="178"/>
  <c r="L120" i="178"/>
  <c r="L397" i="178"/>
  <c r="L699" i="178"/>
  <c r="L92" i="178"/>
  <c r="L293" i="178"/>
  <c r="L49" i="178"/>
  <c r="L688" i="178"/>
  <c r="L369" i="178"/>
  <c r="L702" i="178"/>
  <c r="L383" i="178"/>
  <c r="L716" i="178"/>
  <c r="L715" i="178"/>
  <c r="L704" i="178"/>
  <c r="L624" i="178"/>
  <c r="L300" i="178"/>
  <c r="L179" i="178"/>
  <c r="L709" i="178"/>
  <c r="L399" i="178"/>
  <c r="L349" i="178"/>
  <c r="L360" i="178"/>
  <c r="L713" i="178"/>
  <c r="L714" i="178"/>
  <c r="L628" i="178"/>
  <c r="L400" i="178"/>
  <c r="L345" i="178"/>
  <c r="L718" i="178"/>
  <c r="L377" i="178"/>
  <c r="L401" i="178"/>
  <c r="L721" i="178"/>
  <c r="L722" i="178"/>
  <c r="L723" i="178"/>
  <c r="L724" i="178"/>
  <c r="L725" i="178"/>
  <c r="L726" i="178"/>
  <c r="L727" i="178"/>
  <c r="L728" i="178"/>
  <c r="L729" i="178"/>
  <c r="L730" i="178"/>
  <c r="L731" i="178"/>
  <c r="L732" i="178"/>
  <c r="L733" i="178"/>
  <c r="L734" i="178"/>
  <c r="L735" i="178"/>
  <c r="L736" i="178"/>
  <c r="L737" i="178"/>
  <c r="L738" i="178"/>
  <c r="L739" i="178"/>
  <c r="L740" i="178"/>
  <c r="L741" i="178"/>
  <c r="L742" i="178"/>
  <c r="L743" i="178"/>
  <c r="L744" i="178"/>
  <c r="L745" i="178"/>
  <c r="L746" i="178"/>
  <c r="L747" i="178"/>
  <c r="L748" i="178"/>
  <c r="L749" i="178"/>
  <c r="L750" i="178"/>
  <c r="L751" i="178"/>
  <c r="L752" i="178"/>
  <c r="L753" i="178"/>
  <c r="L754" i="178"/>
  <c r="L755" i="178"/>
  <c r="L756" i="178"/>
  <c r="L757" i="178"/>
  <c r="L758" i="178"/>
  <c r="L759" i="178"/>
  <c r="L760" i="178"/>
  <c r="L761" i="178"/>
  <c r="L762" i="178"/>
  <c r="L763" i="178"/>
  <c r="L764" i="178"/>
  <c r="L765" i="178"/>
  <c r="L766" i="178"/>
  <c r="L767" i="178"/>
  <c r="L768" i="178"/>
  <c r="L769" i="178"/>
  <c r="L770" i="178"/>
  <c r="L771" i="178"/>
  <c r="L772" i="178"/>
  <c r="L773" i="178"/>
  <c r="L774" i="178"/>
  <c r="L775" i="178"/>
  <c r="L776" i="178"/>
  <c r="L777" i="178"/>
  <c r="L778" i="178"/>
  <c r="L779" i="178"/>
  <c r="L780" i="178"/>
  <c r="L781" i="178"/>
  <c r="L782" i="178"/>
  <c r="L783" i="178"/>
  <c r="L784" i="178"/>
  <c r="L785" i="178"/>
  <c r="L786" i="178"/>
  <c r="L787" i="178"/>
  <c r="L788" i="178"/>
  <c r="L789" i="178"/>
  <c r="L790" i="178"/>
  <c r="L791" i="178"/>
  <c r="L792" i="178"/>
  <c r="L793" i="178"/>
  <c r="L794" i="178"/>
  <c r="L795" i="178"/>
  <c r="L796" i="178"/>
  <c r="L797" i="178"/>
  <c r="L798" i="178"/>
  <c r="L799" i="178"/>
  <c r="L800" i="178"/>
  <c r="L801" i="178"/>
  <c r="L802" i="178"/>
  <c r="L803" i="178"/>
  <c r="L804" i="178"/>
  <c r="L805" i="178"/>
  <c r="L806" i="178"/>
  <c r="L807" i="178"/>
  <c r="L808" i="178"/>
  <c r="L809" i="178"/>
  <c r="L810" i="178"/>
  <c r="L811" i="178"/>
  <c r="L812" i="178"/>
  <c r="L813" i="178"/>
  <c r="L814" i="178"/>
  <c r="L815" i="178"/>
  <c r="L816" i="178"/>
  <c r="L817" i="178"/>
  <c r="L818" i="178"/>
  <c r="L819" i="178"/>
  <c r="L820" i="178"/>
  <c r="L821" i="178"/>
  <c r="L822" i="178"/>
  <c r="L823" i="178"/>
  <c r="L824" i="178"/>
  <c r="L825" i="178"/>
  <c r="L826" i="178"/>
  <c r="L827" i="178"/>
  <c r="L828" i="178"/>
  <c r="L829" i="178"/>
  <c r="L830" i="178"/>
  <c r="L831" i="178"/>
  <c r="L832" i="178"/>
  <c r="L833" i="178"/>
  <c r="L834" i="178"/>
  <c r="L835" i="178"/>
  <c r="L836" i="178"/>
  <c r="L837" i="178"/>
  <c r="L838" i="178"/>
  <c r="L839" i="178"/>
  <c r="L840" i="178"/>
  <c r="L841" i="178"/>
  <c r="L842" i="178"/>
  <c r="L843" i="178"/>
  <c r="L844" i="178"/>
  <c r="L845" i="178"/>
  <c r="L846" i="178"/>
  <c r="L847" i="178"/>
  <c r="L848" i="178"/>
  <c r="L849" i="178"/>
  <c r="L850" i="178"/>
  <c r="L851" i="178"/>
  <c r="L852" i="178"/>
  <c r="L853" i="178"/>
  <c r="L854" i="178"/>
  <c r="L855" i="178"/>
  <c r="L856" i="178"/>
  <c r="L857" i="178"/>
  <c r="L858" i="178"/>
  <c r="L859" i="178"/>
  <c r="L860" i="178"/>
  <c r="L861" i="178"/>
  <c r="L862" i="178"/>
  <c r="L863" i="178"/>
  <c r="L864" i="178"/>
  <c r="L865" i="178"/>
  <c r="L866" i="178"/>
  <c r="L867" i="178"/>
  <c r="L868" i="178"/>
  <c r="L869" i="178"/>
  <c r="L870" i="178"/>
  <c r="L871" i="178"/>
  <c r="L872" i="178"/>
  <c r="L873" i="178"/>
  <c r="L874" i="178"/>
  <c r="L875" i="178"/>
  <c r="L876" i="178"/>
  <c r="L877" i="178"/>
  <c r="L878" i="178"/>
  <c r="L879" i="178"/>
  <c r="L880" i="178"/>
  <c r="L881" i="178"/>
  <c r="L882" i="178"/>
  <c r="L883" i="178"/>
  <c r="L884" i="178"/>
  <c r="L885" i="178"/>
  <c r="L886" i="178"/>
  <c r="L887" i="178"/>
  <c r="L888" i="178"/>
  <c r="L889" i="178"/>
  <c r="L890" i="178"/>
  <c r="L891" i="178"/>
  <c r="L892" i="178"/>
  <c r="L893" i="178"/>
  <c r="L894" i="178"/>
  <c r="L895" i="178"/>
  <c r="L896" i="178"/>
  <c r="L897" i="178"/>
  <c r="L898" i="178"/>
  <c r="L899" i="178"/>
  <c r="L900" i="178"/>
  <c r="L901" i="178"/>
  <c r="L902" i="178"/>
  <c r="L903" i="178"/>
  <c r="L904" i="178"/>
  <c r="L905" i="178"/>
  <c r="L906" i="178"/>
  <c r="L907" i="178"/>
  <c r="L908" i="178"/>
  <c r="L909" i="178"/>
  <c r="L910" i="178"/>
  <c r="L911" i="178"/>
  <c r="L912" i="178"/>
  <c r="L913" i="178"/>
  <c r="L914" i="178"/>
  <c r="L915" i="178"/>
  <c r="L916" i="178"/>
  <c r="L917" i="178"/>
  <c r="L918" i="178"/>
  <c r="L919" i="178"/>
  <c r="L920" i="178"/>
  <c r="L921" i="178"/>
  <c r="L922" i="178"/>
  <c r="L923" i="178"/>
  <c r="L924" i="178"/>
  <c r="L925" i="178"/>
  <c r="L926" i="178"/>
  <c r="L927" i="178"/>
  <c r="L928" i="178"/>
  <c r="L929" i="178"/>
  <c r="L930" i="178"/>
  <c r="L931" i="178"/>
  <c r="L932" i="178"/>
  <c r="L933" i="178"/>
  <c r="L934" i="178"/>
  <c r="L935" i="178"/>
  <c r="L936" i="178"/>
  <c r="L937" i="178"/>
  <c r="L938" i="178"/>
  <c r="L939" i="178"/>
  <c r="L940" i="178"/>
  <c r="L941" i="178"/>
  <c r="L942" i="178"/>
  <c r="L943" i="178"/>
  <c r="L944" i="178"/>
  <c r="L945" i="178"/>
  <c r="L946" i="178"/>
  <c r="L947" i="178"/>
  <c r="L948" i="178"/>
  <c r="L949" i="178"/>
  <c r="L950" i="178"/>
  <c r="L951" i="178"/>
  <c r="L952" i="178"/>
  <c r="L953" i="178"/>
  <c r="L954" i="178"/>
  <c r="L955" i="178"/>
  <c r="L956" i="178"/>
  <c r="L957" i="178"/>
  <c r="L958" i="178"/>
  <c r="L959" i="178"/>
  <c r="L960" i="178"/>
  <c r="L961" i="178"/>
  <c r="L962" i="178"/>
  <c r="L963" i="178"/>
  <c r="L964" i="178"/>
  <c r="L965" i="178"/>
  <c r="L966" i="178"/>
  <c r="L967" i="178"/>
  <c r="L968" i="178"/>
  <c r="L969" i="178"/>
  <c r="L970" i="178"/>
  <c r="L971" i="178"/>
  <c r="L972" i="178"/>
  <c r="L973" i="178"/>
  <c r="L974" i="178"/>
  <c r="L975" i="178"/>
  <c r="L976" i="178"/>
  <c r="L977" i="178"/>
  <c r="L978" i="178"/>
  <c r="L979" i="178"/>
  <c r="L980" i="178"/>
  <c r="L981" i="178"/>
  <c r="L982" i="178"/>
  <c r="L983" i="178"/>
  <c r="L984" i="178"/>
  <c r="L985" i="178"/>
  <c r="L986" i="178"/>
  <c r="L987" i="178"/>
  <c r="L988" i="178"/>
  <c r="L989" i="178"/>
  <c r="L990" i="178"/>
  <c r="L991" i="178"/>
  <c r="L992" i="178"/>
  <c r="L993" i="178"/>
  <c r="L994" i="178"/>
  <c r="L995" i="178"/>
  <c r="L996" i="178"/>
  <c r="L997" i="178"/>
  <c r="L998" i="178"/>
  <c r="L999" i="178"/>
  <c r="L1000" i="178"/>
  <c r="L1001" i="178"/>
  <c r="L1002" i="178"/>
  <c r="L1003" i="178"/>
  <c r="L1004" i="178"/>
  <c r="L1005" i="178"/>
  <c r="L1006" i="178"/>
  <c r="L1007" i="178"/>
  <c r="L1008" i="178"/>
  <c r="L1009" i="178"/>
  <c r="L1010" i="178"/>
  <c r="L1011" i="178"/>
  <c r="L1012" i="178"/>
  <c r="L1013" i="178"/>
  <c r="L1014" i="178"/>
  <c r="L1015" i="178"/>
  <c r="L1016" i="178"/>
  <c r="L1017" i="178"/>
  <c r="L1018" i="178"/>
  <c r="L1019" i="178"/>
  <c r="L1020" i="178"/>
  <c r="L1021" i="178"/>
  <c r="L1022" i="178"/>
  <c r="L1023" i="178"/>
  <c r="L1024" i="178"/>
  <c r="L1025" i="178"/>
  <c r="L1026" i="178"/>
  <c r="L1027" i="178"/>
  <c r="L1028" i="178"/>
  <c r="L1029" i="178"/>
  <c r="L1030" i="178"/>
  <c r="L1031" i="178"/>
  <c r="L1032" i="178"/>
  <c r="L1033" i="178"/>
  <c r="L1034" i="178"/>
  <c r="L1035" i="178"/>
  <c r="L1036" i="178"/>
  <c r="L1037" i="178"/>
  <c r="L1038" i="178"/>
  <c r="L1039" i="178"/>
  <c r="L1040" i="178"/>
  <c r="L1041" i="178"/>
  <c r="L1042" i="178"/>
  <c r="L1043" i="178"/>
  <c r="L1044" i="178"/>
  <c r="L1045" i="178"/>
  <c r="L1046" i="178"/>
  <c r="L1047" i="178"/>
  <c r="L1048" i="178"/>
  <c r="L1049" i="178"/>
  <c r="L1050" i="178"/>
  <c r="L1051" i="178"/>
  <c r="L1052" i="178"/>
  <c r="L1053" i="178"/>
  <c r="L1054" i="178"/>
  <c r="L1055" i="178"/>
  <c r="L1056" i="178"/>
  <c r="L1057" i="178"/>
  <c r="L1058" i="178"/>
  <c r="L1059" i="178"/>
  <c r="L1060" i="178"/>
  <c r="L1061" i="178"/>
  <c r="L1062" i="178"/>
  <c r="L1063" i="178"/>
  <c r="L1064" i="178"/>
  <c r="L1065" i="178"/>
  <c r="L1066" i="178"/>
  <c r="L1067" i="178"/>
  <c r="L1068" i="178"/>
  <c r="L1069" i="178"/>
  <c r="L1070" i="178"/>
  <c r="L1071" i="178"/>
  <c r="L1072" i="178"/>
  <c r="L1073" i="178"/>
  <c r="L1074" i="178"/>
  <c r="L1075" i="178"/>
  <c r="L1076" i="178"/>
  <c r="L1077" i="178"/>
  <c r="L1078" i="178"/>
  <c r="L1079" i="178"/>
  <c r="L1080" i="178"/>
  <c r="L1081" i="178"/>
  <c r="L1082" i="178"/>
  <c r="L1083" i="178"/>
  <c r="L1084" i="178"/>
  <c r="L1085" i="178"/>
  <c r="L1086" i="178"/>
  <c r="L1087" i="178"/>
  <c r="L1088" i="178"/>
  <c r="L1089" i="178"/>
  <c r="L1090" i="178"/>
  <c r="L1091" i="178"/>
  <c r="L1092" i="178"/>
  <c r="L1093" i="178"/>
  <c r="L1094" i="178"/>
  <c r="L1095" i="178"/>
  <c r="L1096" i="178"/>
  <c r="L1097" i="178"/>
  <c r="L1098" i="178"/>
  <c r="L1099" i="178"/>
  <c r="L1100" i="178"/>
  <c r="L1101" i="178"/>
  <c r="L1102" i="178"/>
  <c r="L1103" i="178"/>
  <c r="L1104" i="178"/>
  <c r="L1105" i="178"/>
  <c r="L1106" i="178"/>
  <c r="L1107" i="178"/>
  <c r="L1108" i="178"/>
  <c r="L1109" i="178"/>
  <c r="L1110" i="178"/>
  <c r="L1111" i="178"/>
  <c r="L1112" i="178"/>
  <c r="L1113" i="178"/>
  <c r="L1114" i="178"/>
  <c r="L1115" i="178"/>
  <c r="L1116" i="178"/>
  <c r="L1117" i="178"/>
  <c r="L1118" i="178"/>
  <c r="L1119" i="178"/>
  <c r="L1120" i="178"/>
  <c r="L1121" i="178"/>
  <c r="L1122" i="178"/>
  <c r="L1123" i="178"/>
  <c r="L1124" i="178"/>
  <c r="L1125" i="178"/>
  <c r="L1126" i="178"/>
  <c r="L1127" i="178"/>
  <c r="L1128" i="178"/>
  <c r="L1129" i="178"/>
  <c r="L1130" i="178"/>
  <c r="L2" i="178"/>
  <c r="N2" i="178" l="1"/>
  <c r="B1128" i="178" l="1"/>
  <c r="B1130" i="178"/>
  <c r="A116" i="178"/>
  <c r="B116" i="178"/>
  <c r="A227" i="178"/>
  <c r="B227" i="178"/>
  <c r="A230" i="178"/>
  <c r="B230" i="178"/>
  <c r="A661" i="178"/>
  <c r="B661" i="178"/>
  <c r="A646" i="178"/>
  <c r="B646" i="178"/>
  <c r="A663" i="178"/>
  <c r="B663" i="178"/>
  <c r="A664" i="178"/>
  <c r="B664" i="178"/>
  <c r="A696" i="178"/>
  <c r="B696" i="178"/>
  <c r="A665" i="178"/>
  <c r="B665" i="178"/>
  <c r="A666" i="178"/>
  <c r="B666" i="178"/>
  <c r="A684" i="178"/>
  <c r="B684" i="178"/>
  <c r="A676" i="178"/>
  <c r="B676" i="178"/>
  <c r="A668" i="178"/>
  <c r="B668" i="178"/>
  <c r="A669" i="178"/>
  <c r="B669" i="178"/>
  <c r="A634" i="178"/>
  <c r="B634" i="178"/>
  <c r="A673" i="178"/>
  <c r="B673" i="178"/>
  <c r="A395" i="178"/>
  <c r="B395" i="178"/>
  <c r="A587" i="178"/>
  <c r="B587" i="178"/>
  <c r="A589" i="178"/>
  <c r="B589" i="178"/>
  <c r="A677" i="178"/>
  <c r="B677" i="178"/>
  <c r="A344" i="178"/>
  <c r="B344" i="178"/>
  <c r="A289" i="178"/>
  <c r="B289" i="178"/>
  <c r="A392" i="178"/>
  <c r="B392" i="178"/>
  <c r="A391" i="178"/>
  <c r="B391" i="178"/>
  <c r="A81" i="178"/>
  <c r="B81" i="178"/>
  <c r="A47" i="178"/>
  <c r="B47" i="178"/>
  <c r="A598" i="178"/>
  <c r="B598" i="178"/>
  <c r="A698" i="178"/>
  <c r="B698" i="178"/>
  <c r="A83" i="178"/>
  <c r="B83" i="178"/>
  <c r="A91" i="178"/>
  <c r="B91" i="178"/>
  <c r="A648" i="178"/>
  <c r="B648" i="178"/>
  <c r="A428" i="178"/>
  <c r="B428" i="178"/>
  <c r="A247" i="178"/>
  <c r="B247" i="178"/>
  <c r="A267" i="178"/>
  <c r="B267" i="178"/>
  <c r="A618" i="178"/>
  <c r="B618" i="178"/>
  <c r="A362" i="178"/>
  <c r="B362" i="178"/>
  <c r="A41" i="178"/>
  <c r="B41" i="178"/>
  <c r="A173" i="178"/>
  <c r="B173" i="178"/>
  <c r="A96" i="178"/>
  <c r="B96" i="178"/>
  <c r="A120" i="178"/>
  <c r="B120" i="178"/>
  <c r="A397" i="178"/>
  <c r="B397" i="178"/>
  <c r="A699" i="178"/>
  <c r="B699" i="178"/>
  <c r="A92" i="178"/>
  <c r="B92" i="178"/>
  <c r="A293" i="178"/>
  <c r="B293" i="178"/>
  <c r="A49" i="178"/>
  <c r="B49" i="178"/>
  <c r="A688" i="178"/>
  <c r="B688" i="178"/>
  <c r="A369" i="178"/>
  <c r="B369" i="178"/>
  <c r="A702" i="178"/>
  <c r="B702" i="178"/>
  <c r="A383" i="178"/>
  <c r="B383" i="178"/>
  <c r="A716" i="178"/>
  <c r="B716" i="178"/>
  <c r="A715" i="178"/>
  <c r="B715" i="178"/>
  <c r="A704" i="178"/>
  <c r="B704" i="178"/>
  <c r="A624" i="178"/>
  <c r="B624" i="178"/>
  <c r="A300" i="178"/>
  <c r="B300" i="178"/>
  <c r="A179" i="178"/>
  <c r="B179" i="178"/>
  <c r="A709" i="178"/>
  <c r="B709" i="178"/>
  <c r="A399" i="178"/>
  <c r="B399" i="178"/>
  <c r="A349" i="178"/>
  <c r="B349" i="178"/>
  <c r="A360" i="178"/>
  <c r="B360" i="178"/>
  <c r="A713" i="178"/>
  <c r="B713" i="178"/>
  <c r="A714" i="178"/>
  <c r="B714" i="178"/>
  <c r="A628" i="178"/>
  <c r="B628" i="178"/>
  <c r="A400" i="178"/>
  <c r="B400" i="178"/>
  <c r="A345" i="178"/>
  <c r="B345" i="178"/>
  <c r="A718" i="178"/>
  <c r="B718" i="178"/>
  <c r="A377" i="178"/>
  <c r="B377" i="178"/>
  <c r="A401" i="178"/>
  <c r="B401" i="178"/>
  <c r="A721" i="178"/>
  <c r="B721" i="178"/>
  <c r="A722" i="178"/>
  <c r="B722" i="178"/>
  <c r="A723" i="178"/>
  <c r="B723" i="178"/>
  <c r="A724" i="178"/>
  <c r="B724" i="178"/>
  <c r="A725" i="178"/>
  <c r="B725" i="178"/>
  <c r="A726" i="178"/>
  <c r="B726" i="178"/>
  <c r="A727" i="178"/>
  <c r="B727" i="178"/>
  <c r="A728" i="178"/>
  <c r="B728" i="178"/>
  <c r="A729" i="178"/>
  <c r="B729" i="178"/>
  <c r="A730" i="178"/>
  <c r="B730" i="178"/>
  <c r="A731" i="178"/>
  <c r="B731" i="178"/>
  <c r="A732" i="178"/>
  <c r="B732" i="178"/>
  <c r="A733" i="178"/>
  <c r="B733" i="178"/>
  <c r="A734" i="178"/>
  <c r="B734" i="178"/>
  <c r="A735" i="178"/>
  <c r="B735" i="178"/>
  <c r="A736" i="178"/>
  <c r="B736" i="178"/>
  <c r="A737" i="178"/>
  <c r="B737" i="178"/>
  <c r="A738" i="178"/>
  <c r="B738" i="178"/>
  <c r="A739" i="178"/>
  <c r="B739" i="178"/>
  <c r="A740" i="178"/>
  <c r="B740" i="178"/>
  <c r="A741" i="178"/>
  <c r="B741" i="178"/>
  <c r="A742" i="178"/>
  <c r="B742" i="178"/>
  <c r="A743" i="178"/>
  <c r="B743" i="178"/>
  <c r="A744" i="178"/>
  <c r="B744" i="178"/>
  <c r="A745" i="178"/>
  <c r="B745" i="178"/>
  <c r="A746" i="178"/>
  <c r="B746" i="178"/>
  <c r="A747" i="178"/>
  <c r="B747" i="178"/>
  <c r="A748" i="178"/>
  <c r="B748" i="178"/>
  <c r="A749" i="178"/>
  <c r="B749" i="178"/>
  <c r="A750" i="178"/>
  <c r="B750" i="178"/>
  <c r="A751" i="178"/>
  <c r="B751" i="178"/>
  <c r="A752" i="178"/>
  <c r="B752" i="178"/>
  <c r="A753" i="178"/>
  <c r="B753" i="178"/>
  <c r="A754" i="178"/>
  <c r="B754" i="178"/>
  <c r="A755" i="178"/>
  <c r="B755" i="178"/>
  <c r="A756" i="178"/>
  <c r="B756" i="178"/>
  <c r="A757" i="178"/>
  <c r="B757" i="178"/>
  <c r="A758" i="178"/>
  <c r="B758" i="178"/>
  <c r="A759" i="178"/>
  <c r="B759" i="178"/>
  <c r="A760" i="178"/>
  <c r="B760" i="178"/>
  <c r="A761" i="178"/>
  <c r="B761" i="178"/>
  <c r="A762" i="178"/>
  <c r="B762" i="178"/>
  <c r="A763" i="178"/>
  <c r="B763" i="178"/>
  <c r="A764" i="178"/>
  <c r="B764" i="178"/>
  <c r="A765" i="178"/>
  <c r="B765" i="178"/>
  <c r="A766" i="178"/>
  <c r="B766" i="178"/>
  <c r="A767" i="178"/>
  <c r="B767" i="178"/>
  <c r="A768" i="178"/>
  <c r="B768" i="178"/>
  <c r="A769" i="178"/>
  <c r="B769" i="178"/>
  <c r="A770" i="178"/>
  <c r="B770" i="178"/>
  <c r="A771" i="178"/>
  <c r="B771" i="178"/>
  <c r="A772" i="178"/>
  <c r="B772" i="178"/>
  <c r="A773" i="178"/>
  <c r="B773" i="178"/>
  <c r="A774" i="178"/>
  <c r="B774" i="178"/>
  <c r="A775" i="178"/>
  <c r="B775" i="178"/>
  <c r="A776" i="178"/>
  <c r="B776" i="178"/>
  <c r="A777" i="178"/>
  <c r="B777" i="178"/>
  <c r="A778" i="178"/>
  <c r="B778" i="178"/>
  <c r="A779" i="178"/>
  <c r="B779" i="178"/>
  <c r="A780" i="178"/>
  <c r="B780" i="178"/>
  <c r="A781" i="178"/>
  <c r="B781" i="178"/>
  <c r="A782" i="178"/>
  <c r="B782" i="178"/>
  <c r="A783" i="178"/>
  <c r="B783" i="178"/>
  <c r="A784" i="178"/>
  <c r="B784" i="178"/>
  <c r="A785" i="178"/>
  <c r="B785" i="178"/>
  <c r="A786" i="178"/>
  <c r="B786" i="178"/>
  <c r="A787" i="178"/>
  <c r="B787" i="178"/>
  <c r="A788" i="178"/>
  <c r="B788" i="178"/>
  <c r="A789" i="178"/>
  <c r="B789" i="178"/>
  <c r="A790" i="178"/>
  <c r="B790" i="178"/>
  <c r="A791" i="178"/>
  <c r="B791" i="178"/>
  <c r="A792" i="178"/>
  <c r="B792" i="178"/>
  <c r="A793" i="178"/>
  <c r="B793" i="178"/>
  <c r="A794" i="178"/>
  <c r="B794" i="178"/>
  <c r="A795" i="178"/>
  <c r="B795" i="178"/>
  <c r="A796" i="178"/>
  <c r="B796" i="178"/>
  <c r="A797" i="178"/>
  <c r="B797" i="178"/>
  <c r="A798" i="178"/>
  <c r="B798" i="178"/>
  <c r="A799" i="178"/>
  <c r="B799" i="178"/>
  <c r="A800" i="178"/>
  <c r="B800" i="178"/>
  <c r="A801" i="178"/>
  <c r="B801" i="178"/>
  <c r="A802" i="178"/>
  <c r="B802" i="178"/>
  <c r="A803" i="178"/>
  <c r="B803" i="178"/>
  <c r="A804" i="178"/>
  <c r="B804" i="178"/>
  <c r="A805" i="178"/>
  <c r="B805" i="178"/>
  <c r="A806" i="178"/>
  <c r="B806" i="178"/>
  <c r="A807" i="178"/>
  <c r="B807" i="178"/>
  <c r="A808" i="178"/>
  <c r="B808" i="178"/>
  <c r="A809" i="178"/>
  <c r="B809" i="178"/>
  <c r="A810" i="178"/>
  <c r="B810" i="178"/>
  <c r="A811" i="178"/>
  <c r="B811" i="178"/>
  <c r="A812" i="178"/>
  <c r="B812" i="178"/>
  <c r="A813" i="178"/>
  <c r="B813" i="178"/>
  <c r="A814" i="178"/>
  <c r="B814" i="178"/>
  <c r="A815" i="178"/>
  <c r="B815" i="178"/>
  <c r="A816" i="178"/>
  <c r="B816" i="178"/>
  <c r="A817" i="178"/>
  <c r="B817" i="178"/>
  <c r="A818" i="178"/>
  <c r="B818" i="178"/>
  <c r="A819" i="178"/>
  <c r="B819" i="178"/>
  <c r="A820" i="178"/>
  <c r="B820" i="178"/>
  <c r="A821" i="178"/>
  <c r="B821" i="178"/>
  <c r="A822" i="178"/>
  <c r="B822" i="178"/>
  <c r="A823" i="178"/>
  <c r="B823" i="178"/>
  <c r="A824" i="178"/>
  <c r="B824" i="178"/>
  <c r="A825" i="178"/>
  <c r="B825" i="178"/>
  <c r="A826" i="178"/>
  <c r="B826" i="178"/>
  <c r="A827" i="178"/>
  <c r="B827" i="178"/>
  <c r="A828" i="178"/>
  <c r="B828" i="178"/>
  <c r="A829" i="178"/>
  <c r="B829" i="178"/>
  <c r="A830" i="178"/>
  <c r="B830" i="178"/>
  <c r="A831" i="178"/>
  <c r="B831" i="178"/>
  <c r="A832" i="178"/>
  <c r="B832" i="178"/>
  <c r="A833" i="178"/>
  <c r="B833" i="178"/>
  <c r="A834" i="178"/>
  <c r="B834" i="178"/>
  <c r="A835" i="178"/>
  <c r="B835" i="178"/>
  <c r="A836" i="178"/>
  <c r="B836" i="178"/>
  <c r="A837" i="178"/>
  <c r="B837" i="178"/>
  <c r="A838" i="178"/>
  <c r="B838" i="178"/>
  <c r="A839" i="178"/>
  <c r="B839" i="178"/>
  <c r="A840" i="178"/>
  <c r="B840" i="178"/>
  <c r="A841" i="178"/>
  <c r="B841" i="178"/>
  <c r="A842" i="178"/>
  <c r="B842" i="178"/>
  <c r="A843" i="178"/>
  <c r="B843" i="178"/>
  <c r="A844" i="178"/>
  <c r="B844" i="178"/>
  <c r="A845" i="178"/>
  <c r="B845" i="178"/>
  <c r="A846" i="178"/>
  <c r="B846" i="178"/>
  <c r="A847" i="178"/>
  <c r="B847" i="178"/>
  <c r="A848" i="178"/>
  <c r="B848" i="178"/>
  <c r="A849" i="178"/>
  <c r="B849" i="178"/>
  <c r="A850" i="178"/>
  <c r="B850" i="178"/>
  <c r="A851" i="178"/>
  <c r="B851" i="178"/>
  <c r="A852" i="178"/>
  <c r="B852" i="178"/>
  <c r="A853" i="178"/>
  <c r="B853" i="178"/>
  <c r="A854" i="178"/>
  <c r="B854" i="178"/>
  <c r="A855" i="178"/>
  <c r="B855" i="178"/>
  <c r="A856" i="178"/>
  <c r="B856" i="178"/>
  <c r="A857" i="178"/>
  <c r="B857" i="178"/>
  <c r="A858" i="178"/>
  <c r="B858" i="178"/>
  <c r="A859" i="178"/>
  <c r="B859" i="178"/>
  <c r="A860" i="178"/>
  <c r="B860" i="178"/>
  <c r="A861" i="178"/>
  <c r="B861" i="178"/>
  <c r="A862" i="178"/>
  <c r="B862" i="178"/>
  <c r="A863" i="178"/>
  <c r="B863" i="178"/>
  <c r="A864" i="178"/>
  <c r="B864" i="178"/>
  <c r="A865" i="178"/>
  <c r="B865" i="178"/>
  <c r="A866" i="178"/>
  <c r="B866" i="178"/>
  <c r="A867" i="178"/>
  <c r="B867" i="178"/>
  <c r="A868" i="178"/>
  <c r="B868" i="178"/>
  <c r="A869" i="178"/>
  <c r="B869" i="178"/>
  <c r="A870" i="178"/>
  <c r="B870" i="178"/>
  <c r="A871" i="178"/>
  <c r="B871" i="178"/>
  <c r="A872" i="178"/>
  <c r="B872" i="178"/>
  <c r="A873" i="178"/>
  <c r="B873" i="178"/>
  <c r="A874" i="178"/>
  <c r="B874" i="178"/>
  <c r="A875" i="178"/>
  <c r="B875" i="178"/>
  <c r="A876" i="178"/>
  <c r="B876" i="178"/>
  <c r="A877" i="178"/>
  <c r="B877" i="178"/>
  <c r="A878" i="178"/>
  <c r="B878" i="178"/>
  <c r="A879" i="178"/>
  <c r="B879" i="178"/>
  <c r="A880" i="178"/>
  <c r="B880" i="178"/>
  <c r="A881" i="178"/>
  <c r="B881" i="178"/>
  <c r="A882" i="178"/>
  <c r="B882" i="178"/>
  <c r="A883" i="178"/>
  <c r="B883" i="178"/>
  <c r="A884" i="178"/>
  <c r="B884" i="178"/>
  <c r="A885" i="178"/>
  <c r="B885" i="178"/>
  <c r="A886" i="178"/>
  <c r="B886" i="178"/>
  <c r="A887" i="178"/>
  <c r="B887" i="178"/>
  <c r="A888" i="178"/>
  <c r="B888" i="178"/>
  <c r="A889" i="178"/>
  <c r="B889" i="178"/>
  <c r="A890" i="178"/>
  <c r="B890" i="178"/>
  <c r="A891" i="178"/>
  <c r="B891" i="178"/>
  <c r="A892" i="178"/>
  <c r="B892" i="178"/>
  <c r="A893" i="178"/>
  <c r="B893" i="178"/>
  <c r="A894" i="178"/>
  <c r="B894" i="178"/>
  <c r="A895" i="178"/>
  <c r="B895" i="178"/>
  <c r="A896" i="178"/>
  <c r="B896" i="178"/>
  <c r="A897" i="178"/>
  <c r="B897" i="178"/>
  <c r="A898" i="178"/>
  <c r="B898" i="178"/>
  <c r="A899" i="178"/>
  <c r="B899" i="178"/>
  <c r="A900" i="178"/>
  <c r="B900" i="178"/>
  <c r="A901" i="178"/>
  <c r="B901" i="178"/>
  <c r="A902" i="178"/>
  <c r="B902" i="178"/>
  <c r="A903" i="178"/>
  <c r="B903" i="178"/>
  <c r="A904" i="178"/>
  <c r="B904" i="178"/>
  <c r="A905" i="178"/>
  <c r="B905" i="178"/>
  <c r="A906" i="178"/>
  <c r="B906" i="178"/>
  <c r="A907" i="178"/>
  <c r="B907" i="178"/>
  <c r="A908" i="178"/>
  <c r="B908" i="178"/>
  <c r="A909" i="178"/>
  <c r="B909" i="178"/>
  <c r="A910" i="178"/>
  <c r="B910" i="178"/>
  <c r="A911" i="178"/>
  <c r="B911" i="178"/>
  <c r="A912" i="178"/>
  <c r="B912" i="178"/>
  <c r="A913" i="178"/>
  <c r="B913" i="178"/>
  <c r="A914" i="178"/>
  <c r="B914" i="178"/>
  <c r="A915" i="178"/>
  <c r="B915" i="178"/>
  <c r="A916" i="178"/>
  <c r="B916" i="178"/>
  <c r="A917" i="178"/>
  <c r="B917" i="178"/>
  <c r="A918" i="178"/>
  <c r="B918" i="178"/>
  <c r="A919" i="178"/>
  <c r="B919" i="178"/>
  <c r="A920" i="178"/>
  <c r="B920" i="178"/>
  <c r="A921" i="178"/>
  <c r="B921" i="178"/>
  <c r="A922" i="178"/>
  <c r="B922" i="178"/>
  <c r="A923" i="178"/>
  <c r="B923" i="178"/>
  <c r="A924" i="178"/>
  <c r="B924" i="178"/>
  <c r="A925" i="178"/>
  <c r="B925" i="178"/>
  <c r="A926" i="178"/>
  <c r="B926" i="178"/>
  <c r="A927" i="178"/>
  <c r="B927" i="178"/>
  <c r="A928" i="178"/>
  <c r="B928" i="178"/>
  <c r="A929" i="178"/>
  <c r="B929" i="178"/>
  <c r="A930" i="178"/>
  <c r="B930" i="178"/>
  <c r="A931" i="178"/>
  <c r="B931" i="178"/>
  <c r="A932" i="178"/>
  <c r="B932" i="178"/>
  <c r="A933" i="178"/>
  <c r="B933" i="178"/>
  <c r="A934" i="178"/>
  <c r="B934" i="178"/>
  <c r="A935" i="178"/>
  <c r="B935" i="178"/>
  <c r="A936" i="178"/>
  <c r="B936" i="178"/>
  <c r="A937" i="178"/>
  <c r="B937" i="178"/>
  <c r="A938" i="178"/>
  <c r="B938" i="178"/>
  <c r="A939" i="178"/>
  <c r="B939" i="178"/>
  <c r="A940" i="178"/>
  <c r="B940" i="178"/>
  <c r="A941" i="178"/>
  <c r="B941" i="178"/>
  <c r="A942" i="178"/>
  <c r="B942" i="178"/>
  <c r="A943" i="178"/>
  <c r="B943" i="178"/>
  <c r="A944" i="178"/>
  <c r="B944" i="178"/>
  <c r="A945" i="178"/>
  <c r="B945" i="178"/>
  <c r="A946" i="178"/>
  <c r="B946" i="178"/>
  <c r="A947" i="178"/>
  <c r="B947" i="178"/>
  <c r="A948" i="178"/>
  <c r="B948" i="178"/>
  <c r="A949" i="178"/>
  <c r="B949" i="178"/>
  <c r="A950" i="178"/>
  <c r="B950" i="178"/>
  <c r="A951" i="178"/>
  <c r="B951" i="178"/>
  <c r="A952" i="178"/>
  <c r="B952" i="178"/>
  <c r="A953" i="178"/>
  <c r="B953" i="178"/>
  <c r="A954" i="178"/>
  <c r="B954" i="178"/>
  <c r="A955" i="178"/>
  <c r="B955" i="178"/>
  <c r="A956" i="178"/>
  <c r="B956" i="178"/>
  <c r="A957" i="178"/>
  <c r="B957" i="178"/>
  <c r="A958" i="178"/>
  <c r="B958" i="178"/>
  <c r="A959" i="178"/>
  <c r="B959" i="178"/>
  <c r="A960" i="178"/>
  <c r="B960" i="178"/>
  <c r="A961" i="178"/>
  <c r="B961" i="178"/>
  <c r="A962" i="178"/>
  <c r="B962" i="178"/>
  <c r="A963" i="178"/>
  <c r="B963" i="178"/>
  <c r="A964" i="178"/>
  <c r="B964" i="178"/>
  <c r="A965" i="178"/>
  <c r="B965" i="178"/>
  <c r="A966" i="178"/>
  <c r="B966" i="178"/>
  <c r="A967" i="178"/>
  <c r="B967" i="178"/>
  <c r="A968" i="178"/>
  <c r="B968" i="178"/>
  <c r="A969" i="178"/>
  <c r="B969" i="178"/>
  <c r="A970" i="178"/>
  <c r="B970" i="178"/>
  <c r="A971" i="178"/>
  <c r="B971" i="178"/>
  <c r="A972" i="178"/>
  <c r="B972" i="178"/>
  <c r="A973" i="178"/>
  <c r="B973" i="178"/>
  <c r="A974" i="178"/>
  <c r="B974" i="178"/>
  <c r="A975" i="178"/>
  <c r="B975" i="178"/>
  <c r="A976" i="178"/>
  <c r="B976" i="178"/>
  <c r="A977" i="178"/>
  <c r="B977" i="178"/>
  <c r="A978" i="178"/>
  <c r="B978" i="178"/>
  <c r="A979" i="178"/>
  <c r="B979" i="178"/>
  <c r="A980" i="178"/>
  <c r="B980" i="178"/>
  <c r="A981" i="178"/>
  <c r="B981" i="178"/>
  <c r="A982" i="178"/>
  <c r="B982" i="178"/>
  <c r="A983" i="178"/>
  <c r="B983" i="178"/>
  <c r="A984" i="178"/>
  <c r="B984" i="178"/>
  <c r="A985" i="178"/>
  <c r="B985" i="178"/>
  <c r="A986" i="178"/>
  <c r="B986" i="178"/>
  <c r="A987" i="178"/>
  <c r="B987" i="178"/>
  <c r="A988" i="178"/>
  <c r="B988" i="178"/>
  <c r="A989" i="178"/>
  <c r="B989" i="178"/>
  <c r="A990" i="178"/>
  <c r="B990" i="178"/>
  <c r="A991" i="178"/>
  <c r="B991" i="178"/>
  <c r="A992" i="178"/>
  <c r="B992" i="178"/>
  <c r="A993" i="178"/>
  <c r="B993" i="178"/>
  <c r="A994" i="178"/>
  <c r="B994" i="178"/>
  <c r="A995" i="178"/>
  <c r="B995" i="178"/>
  <c r="A996" i="178"/>
  <c r="B996" i="178"/>
  <c r="A997" i="178"/>
  <c r="B997" i="178"/>
  <c r="A998" i="178"/>
  <c r="B998" i="178"/>
  <c r="A999" i="178"/>
  <c r="B999" i="178"/>
  <c r="A1000" i="178"/>
  <c r="B1000" i="178"/>
  <c r="A1001" i="178"/>
  <c r="B1001" i="178"/>
  <c r="A1002" i="178"/>
  <c r="B1002" i="178"/>
  <c r="A1003" i="178"/>
  <c r="B1003" i="178"/>
  <c r="A1004" i="178"/>
  <c r="B1004" i="178"/>
  <c r="A1005" i="178"/>
  <c r="B1005" i="178"/>
  <c r="A1006" i="178"/>
  <c r="B1006" i="178"/>
  <c r="A1007" i="178"/>
  <c r="B1007" i="178"/>
  <c r="A1008" i="178"/>
  <c r="B1008" i="178"/>
  <c r="A1009" i="178"/>
  <c r="B1009" i="178"/>
  <c r="A1010" i="178"/>
  <c r="B1010" i="178"/>
  <c r="A1011" i="178"/>
  <c r="B1011" i="178"/>
  <c r="A1012" i="178"/>
  <c r="B1012" i="178"/>
  <c r="A1013" i="178"/>
  <c r="B1013" i="178"/>
  <c r="A1014" i="178"/>
  <c r="B1014" i="178"/>
  <c r="A1015" i="178"/>
  <c r="B1015" i="178"/>
  <c r="A1016" i="178"/>
  <c r="B1016" i="178"/>
  <c r="A1017" i="178"/>
  <c r="B1017" i="178"/>
  <c r="A1018" i="178"/>
  <c r="B1018" i="178"/>
  <c r="A1019" i="178"/>
  <c r="B1019" i="178"/>
  <c r="A1020" i="178"/>
  <c r="B1020" i="178"/>
  <c r="A1021" i="178"/>
  <c r="B1021" i="178"/>
  <c r="A1022" i="178"/>
  <c r="B1022" i="178"/>
  <c r="A1023" i="178"/>
  <c r="B1023" i="178"/>
  <c r="A1024" i="178"/>
  <c r="B1024" i="178"/>
  <c r="A1025" i="178"/>
  <c r="B1025" i="178"/>
  <c r="A1026" i="178"/>
  <c r="B1026" i="178"/>
  <c r="A1027" i="178"/>
  <c r="B1027" i="178"/>
  <c r="A1028" i="178"/>
  <c r="B1028" i="178"/>
  <c r="A1029" i="178"/>
  <c r="B1029" i="178"/>
  <c r="A1030" i="178"/>
  <c r="B1030" i="178"/>
  <c r="A1031" i="178"/>
  <c r="B1031" i="178"/>
  <c r="A1032" i="178"/>
  <c r="B1032" i="178"/>
  <c r="A1033" i="178"/>
  <c r="B1033" i="178"/>
  <c r="A1034" i="178"/>
  <c r="B1034" i="178"/>
  <c r="A1035" i="178"/>
  <c r="B1035" i="178"/>
  <c r="A1036" i="178"/>
  <c r="B1036" i="178"/>
  <c r="A1037" i="178"/>
  <c r="B1037" i="178"/>
  <c r="A1038" i="178"/>
  <c r="B1038" i="178"/>
  <c r="A1039" i="178"/>
  <c r="B1039" i="178"/>
  <c r="A1040" i="178"/>
  <c r="B1040" i="178"/>
  <c r="A1041" i="178"/>
  <c r="B1041" i="178"/>
  <c r="A1042" i="178"/>
  <c r="B1042" i="178"/>
  <c r="A1043" i="178"/>
  <c r="B1043" i="178"/>
  <c r="A1044" i="178"/>
  <c r="B1044" i="178"/>
  <c r="A1045" i="178"/>
  <c r="B1045" i="178"/>
  <c r="A1046" i="178"/>
  <c r="B1046" i="178"/>
  <c r="A1047" i="178"/>
  <c r="B1047" i="178"/>
  <c r="A1048" i="178"/>
  <c r="B1048" i="178"/>
  <c r="A1049" i="178"/>
  <c r="B1049" i="178"/>
  <c r="A1050" i="178"/>
  <c r="B1050" i="178"/>
  <c r="A1051" i="178"/>
  <c r="B1051" i="178"/>
  <c r="A1052" i="178"/>
  <c r="B1052" i="178"/>
  <c r="A1053" i="178"/>
  <c r="B1053" i="178"/>
  <c r="A1054" i="178"/>
  <c r="B1054" i="178"/>
  <c r="A1055" i="178"/>
  <c r="B1055" i="178"/>
  <c r="A1056" i="178"/>
  <c r="B1056" i="178"/>
  <c r="A1057" i="178"/>
  <c r="B1057" i="178"/>
  <c r="A1058" i="178"/>
  <c r="B1058" i="178"/>
  <c r="A1059" i="178"/>
  <c r="B1059" i="178"/>
  <c r="A1060" i="178"/>
  <c r="B1060" i="178"/>
  <c r="A1061" i="178"/>
  <c r="B1061" i="178"/>
  <c r="A1062" i="178"/>
  <c r="B1062" i="178"/>
  <c r="A1063" i="178"/>
  <c r="B1063" i="178"/>
  <c r="A1064" i="178"/>
  <c r="B1064" i="178"/>
  <c r="A1065" i="178"/>
  <c r="B1065" i="178"/>
  <c r="A1066" i="178"/>
  <c r="B1066" i="178"/>
  <c r="A1067" i="178"/>
  <c r="B1067" i="178"/>
  <c r="A1068" i="178"/>
  <c r="B1068" i="178"/>
  <c r="A1069" i="178"/>
  <c r="B1069" i="178"/>
  <c r="A1070" i="178"/>
  <c r="B1070" i="178"/>
  <c r="A1071" i="178"/>
  <c r="B1071" i="178"/>
  <c r="A1072" i="178"/>
  <c r="B1072" i="178"/>
  <c r="A1073" i="178"/>
  <c r="B1073" i="178"/>
  <c r="A1074" i="178"/>
  <c r="B1074" i="178"/>
  <c r="A1075" i="178"/>
  <c r="B1075" i="178"/>
  <c r="A1076" i="178"/>
  <c r="B1076" i="178"/>
  <c r="A1077" i="178"/>
  <c r="B1077" i="178"/>
  <c r="A1078" i="178"/>
  <c r="B1078" i="178"/>
  <c r="A1079" i="178"/>
  <c r="B1079" i="178"/>
  <c r="A1080" i="178"/>
  <c r="B1080" i="178"/>
  <c r="A1081" i="178"/>
  <c r="B1081" i="178"/>
  <c r="A1082" i="178"/>
  <c r="B1082" i="178"/>
  <c r="A1083" i="178"/>
  <c r="B1083" i="178"/>
  <c r="A1084" i="178"/>
  <c r="B1084" i="178"/>
  <c r="A1085" i="178"/>
  <c r="B1085" i="178"/>
  <c r="A1086" i="178"/>
  <c r="B1086" i="178"/>
  <c r="A1087" i="178"/>
  <c r="B1087" i="178"/>
  <c r="A1088" i="178"/>
  <c r="B1088" i="178"/>
  <c r="A1089" i="178"/>
  <c r="B1089" i="178"/>
  <c r="A1090" i="178"/>
  <c r="B1090" i="178"/>
  <c r="A1091" i="178"/>
  <c r="B1091" i="178"/>
  <c r="A1092" i="178"/>
  <c r="B1092" i="178"/>
  <c r="A1093" i="178"/>
  <c r="B1093" i="178"/>
  <c r="A1094" i="178"/>
  <c r="B1094" i="178"/>
  <c r="A1095" i="178"/>
  <c r="B1095" i="178"/>
  <c r="A1096" i="178"/>
  <c r="B1096" i="178"/>
  <c r="A1097" i="178"/>
  <c r="B1097" i="178"/>
  <c r="A1098" i="178"/>
  <c r="B1098" i="178"/>
  <c r="A1099" i="178"/>
  <c r="B1099" i="178"/>
  <c r="A1100" i="178"/>
  <c r="B1100" i="178"/>
  <c r="A1101" i="178"/>
  <c r="B1101" i="178"/>
  <c r="A1102" i="178"/>
  <c r="B1102" i="178"/>
  <c r="A1103" i="178"/>
  <c r="B1103" i="178"/>
  <c r="A1104" i="178"/>
  <c r="B1104" i="178"/>
  <c r="A1105" i="178"/>
  <c r="B1105" i="178"/>
  <c r="A1106" i="178"/>
  <c r="B1106" i="178"/>
  <c r="A1107" i="178"/>
  <c r="B1107" i="178"/>
  <c r="A1108" i="178"/>
  <c r="B1108" i="178"/>
  <c r="A1109" i="178"/>
  <c r="B1109" i="178"/>
  <c r="A1110" i="178"/>
  <c r="B1110" i="178"/>
  <c r="A1111" i="178"/>
  <c r="B1111" i="178"/>
  <c r="A1112" i="178"/>
  <c r="B1112" i="178"/>
  <c r="A1113" i="178"/>
  <c r="B1113" i="178"/>
  <c r="A1114" i="178"/>
  <c r="B1114" i="178"/>
  <c r="A1115" i="178"/>
  <c r="B1115" i="178"/>
  <c r="A1116" i="178"/>
  <c r="B1116" i="178"/>
  <c r="A1117" i="178"/>
  <c r="B1117" i="178"/>
  <c r="A1118" i="178"/>
  <c r="B1118" i="178"/>
  <c r="A1119" i="178"/>
  <c r="B1119" i="178"/>
  <c r="A1120" i="178"/>
  <c r="B1120" i="178"/>
  <c r="A1121" i="178"/>
  <c r="B1121" i="178"/>
  <c r="A1122" i="178"/>
  <c r="B1122" i="178"/>
  <c r="A1123" i="178"/>
  <c r="B1123" i="178"/>
  <c r="A1124" i="178"/>
  <c r="B1124" i="178"/>
  <c r="A1125" i="178"/>
  <c r="B1125" i="178"/>
  <c r="A1126" i="178"/>
  <c r="B1126" i="178"/>
  <c r="A1127" i="178"/>
  <c r="B1127" i="178"/>
  <c r="A1128" i="178"/>
  <c r="A1129" i="178"/>
  <c r="B1129" i="178"/>
  <c r="A1130" i="178"/>
  <c r="P1129" i="178" l="1"/>
  <c r="Q1129" i="178" s="1"/>
  <c r="O1129" i="178"/>
  <c r="P1128" i="178"/>
  <c r="Q1128" i="178" s="1"/>
  <c r="O1128" i="178"/>
  <c r="P1124" i="178"/>
  <c r="Q1124" i="178" s="1"/>
  <c r="O1124" i="178"/>
  <c r="P1120" i="178"/>
  <c r="Q1120" i="178" s="1"/>
  <c r="O1120" i="178"/>
  <c r="P1116" i="178"/>
  <c r="Q1116" i="178" s="1"/>
  <c r="O1116" i="178"/>
  <c r="P1112" i="178"/>
  <c r="Q1112" i="178" s="1"/>
  <c r="O1112" i="178"/>
  <c r="P1108" i="178"/>
  <c r="Q1108" i="178" s="1"/>
  <c r="O1108" i="178"/>
  <c r="P1104" i="178"/>
  <c r="Q1104" i="178" s="1"/>
  <c r="O1104" i="178"/>
  <c r="P1100" i="178"/>
  <c r="Q1100" i="178" s="1"/>
  <c r="O1100" i="178"/>
  <c r="P1096" i="178"/>
  <c r="Q1096" i="178" s="1"/>
  <c r="O1096" i="178"/>
  <c r="P1092" i="178"/>
  <c r="Q1092" i="178" s="1"/>
  <c r="O1092" i="178"/>
  <c r="P1088" i="178"/>
  <c r="Q1088" i="178" s="1"/>
  <c r="O1088" i="178"/>
  <c r="P1084" i="178"/>
  <c r="Q1084" i="178" s="1"/>
  <c r="O1084" i="178"/>
  <c r="P1080" i="178"/>
  <c r="Q1080" i="178" s="1"/>
  <c r="O1080" i="178"/>
  <c r="P1076" i="178"/>
  <c r="Q1076" i="178" s="1"/>
  <c r="O1076" i="178"/>
  <c r="P1072" i="178"/>
  <c r="Q1072" i="178" s="1"/>
  <c r="O1072" i="178"/>
  <c r="P1068" i="178"/>
  <c r="Q1068" i="178" s="1"/>
  <c r="O1068" i="178"/>
  <c r="P1064" i="178"/>
  <c r="Q1064" i="178" s="1"/>
  <c r="O1064" i="178"/>
  <c r="P1060" i="178"/>
  <c r="Q1060" i="178" s="1"/>
  <c r="O1060" i="178"/>
  <c r="P1056" i="178"/>
  <c r="Q1056" i="178" s="1"/>
  <c r="O1056" i="178"/>
  <c r="P1052" i="178"/>
  <c r="Q1052" i="178" s="1"/>
  <c r="O1052" i="178"/>
  <c r="P1048" i="178"/>
  <c r="Q1048" i="178" s="1"/>
  <c r="O1048" i="178"/>
  <c r="P1044" i="178"/>
  <c r="Q1044" i="178" s="1"/>
  <c r="O1044" i="178"/>
  <c r="P1040" i="178"/>
  <c r="Q1040" i="178" s="1"/>
  <c r="O1040" i="178"/>
  <c r="P1036" i="178"/>
  <c r="Q1036" i="178" s="1"/>
  <c r="O1036" i="178"/>
  <c r="P1032" i="178"/>
  <c r="Q1032" i="178" s="1"/>
  <c r="O1032" i="178"/>
  <c r="P1028" i="178"/>
  <c r="Q1028" i="178" s="1"/>
  <c r="O1028" i="178"/>
  <c r="P1024" i="178"/>
  <c r="Q1024" i="178" s="1"/>
  <c r="O1024" i="178"/>
  <c r="P1020" i="178"/>
  <c r="Q1020" i="178" s="1"/>
  <c r="O1020" i="178"/>
  <c r="P1016" i="178"/>
  <c r="Q1016" i="178" s="1"/>
  <c r="O1016" i="178"/>
  <c r="P1012" i="178"/>
  <c r="Q1012" i="178" s="1"/>
  <c r="O1012" i="178"/>
  <c r="P1008" i="178"/>
  <c r="Q1008" i="178" s="1"/>
  <c r="O1008" i="178"/>
  <c r="P1004" i="178"/>
  <c r="Q1004" i="178" s="1"/>
  <c r="O1004" i="178"/>
  <c r="P1000" i="178"/>
  <c r="Q1000" i="178" s="1"/>
  <c r="O1000" i="178"/>
  <c r="P996" i="178"/>
  <c r="Q996" i="178" s="1"/>
  <c r="O996" i="178"/>
  <c r="P992" i="178"/>
  <c r="Q992" i="178" s="1"/>
  <c r="O992" i="178"/>
  <c r="P988" i="178"/>
  <c r="Q988" i="178" s="1"/>
  <c r="O988" i="178"/>
  <c r="P984" i="178"/>
  <c r="Q984" i="178" s="1"/>
  <c r="O984" i="178"/>
  <c r="P980" i="178"/>
  <c r="Q980" i="178" s="1"/>
  <c r="O980" i="178"/>
  <c r="P976" i="178"/>
  <c r="Q976" i="178" s="1"/>
  <c r="O976" i="178"/>
  <c r="P972" i="178"/>
  <c r="Q972" i="178" s="1"/>
  <c r="O972" i="178"/>
  <c r="P968" i="178"/>
  <c r="Q968" i="178" s="1"/>
  <c r="O968" i="178"/>
  <c r="P964" i="178"/>
  <c r="Q964" i="178" s="1"/>
  <c r="O964" i="178"/>
  <c r="P960" i="178"/>
  <c r="Q960" i="178" s="1"/>
  <c r="O960" i="178"/>
  <c r="P956" i="178"/>
  <c r="Q956" i="178" s="1"/>
  <c r="O956" i="178"/>
  <c r="P952" i="178"/>
  <c r="Q952" i="178" s="1"/>
  <c r="O952" i="178"/>
  <c r="P948" i="178"/>
  <c r="Q948" i="178" s="1"/>
  <c r="O948" i="178"/>
  <c r="P944" i="178"/>
  <c r="Q944" i="178" s="1"/>
  <c r="O944" i="178"/>
  <c r="P940" i="178"/>
  <c r="Q940" i="178" s="1"/>
  <c r="O940" i="178"/>
  <c r="P936" i="178"/>
  <c r="Q936" i="178" s="1"/>
  <c r="O936" i="178"/>
  <c r="P932" i="178"/>
  <c r="Q932" i="178" s="1"/>
  <c r="O932" i="178"/>
  <c r="P928" i="178"/>
  <c r="Q928" i="178" s="1"/>
  <c r="O928" i="178"/>
  <c r="P924" i="178"/>
  <c r="Q924" i="178" s="1"/>
  <c r="O924" i="178"/>
  <c r="P920" i="178"/>
  <c r="Q920" i="178" s="1"/>
  <c r="O920" i="178"/>
  <c r="P916" i="178"/>
  <c r="Q916" i="178" s="1"/>
  <c r="O916" i="178"/>
  <c r="P912" i="178"/>
  <c r="Q912" i="178" s="1"/>
  <c r="O912" i="178"/>
  <c r="P908" i="178"/>
  <c r="Q908" i="178" s="1"/>
  <c r="O908" i="178"/>
  <c r="P904" i="178"/>
  <c r="Q904" i="178" s="1"/>
  <c r="O904" i="178"/>
  <c r="P900" i="178"/>
  <c r="Q900" i="178" s="1"/>
  <c r="O900" i="178"/>
  <c r="P896" i="178"/>
  <c r="Q896" i="178" s="1"/>
  <c r="O896" i="178"/>
  <c r="P892" i="178"/>
  <c r="Q892" i="178" s="1"/>
  <c r="O892" i="178"/>
  <c r="P888" i="178"/>
  <c r="Q888" i="178" s="1"/>
  <c r="O888" i="178"/>
  <c r="P884" i="178"/>
  <c r="Q884" i="178" s="1"/>
  <c r="O884" i="178"/>
  <c r="P880" i="178"/>
  <c r="Q880" i="178" s="1"/>
  <c r="O880" i="178"/>
  <c r="P876" i="178"/>
  <c r="Q876" i="178" s="1"/>
  <c r="O876" i="178"/>
  <c r="P872" i="178"/>
  <c r="Q872" i="178" s="1"/>
  <c r="O872" i="178"/>
  <c r="P868" i="178"/>
  <c r="Q868" i="178" s="1"/>
  <c r="O868" i="178"/>
  <c r="P864" i="178"/>
  <c r="Q864" i="178" s="1"/>
  <c r="O864" i="178"/>
  <c r="P860" i="178"/>
  <c r="Q860" i="178" s="1"/>
  <c r="O860" i="178"/>
  <c r="P856" i="178"/>
  <c r="Q856" i="178" s="1"/>
  <c r="O856" i="178"/>
  <c r="P852" i="178"/>
  <c r="Q852" i="178" s="1"/>
  <c r="O852" i="178"/>
  <c r="P848" i="178"/>
  <c r="Q848" i="178" s="1"/>
  <c r="O848" i="178"/>
  <c r="P844" i="178"/>
  <c r="Q844" i="178" s="1"/>
  <c r="O844" i="178"/>
  <c r="P840" i="178"/>
  <c r="Q840" i="178" s="1"/>
  <c r="O840" i="178"/>
  <c r="P836" i="178"/>
  <c r="Q836" i="178" s="1"/>
  <c r="O836" i="178"/>
  <c r="P832" i="178"/>
  <c r="Q832" i="178" s="1"/>
  <c r="O832" i="178"/>
  <c r="P828" i="178"/>
  <c r="Q828" i="178" s="1"/>
  <c r="O828" i="178"/>
  <c r="P824" i="178"/>
  <c r="Q824" i="178" s="1"/>
  <c r="O824" i="178"/>
  <c r="P820" i="178"/>
  <c r="Q820" i="178" s="1"/>
  <c r="O820" i="178"/>
  <c r="P816" i="178"/>
  <c r="Q816" i="178" s="1"/>
  <c r="O816" i="178"/>
  <c r="P812" i="178"/>
  <c r="Q812" i="178" s="1"/>
  <c r="O812" i="178"/>
  <c r="P808" i="178"/>
  <c r="Q808" i="178" s="1"/>
  <c r="O808" i="178"/>
  <c r="P804" i="178"/>
  <c r="Q804" i="178" s="1"/>
  <c r="O804" i="178"/>
  <c r="P800" i="178"/>
  <c r="Q800" i="178" s="1"/>
  <c r="O800" i="178"/>
  <c r="P796" i="178"/>
  <c r="Q796" i="178" s="1"/>
  <c r="O796" i="178"/>
  <c r="P792" i="178"/>
  <c r="Q792" i="178" s="1"/>
  <c r="O792" i="178"/>
  <c r="P788" i="178"/>
  <c r="Q788" i="178" s="1"/>
  <c r="O788" i="178"/>
  <c r="P784" i="178"/>
  <c r="Q784" i="178" s="1"/>
  <c r="O784" i="178"/>
  <c r="P780" i="178"/>
  <c r="Q780" i="178" s="1"/>
  <c r="O780" i="178"/>
  <c r="P776" i="178"/>
  <c r="Q776" i="178" s="1"/>
  <c r="O776" i="178"/>
  <c r="P772" i="178"/>
  <c r="Q772" i="178" s="1"/>
  <c r="O772" i="178"/>
  <c r="P768" i="178"/>
  <c r="Q768" i="178" s="1"/>
  <c r="O768" i="178"/>
  <c r="P764" i="178"/>
  <c r="Q764" i="178" s="1"/>
  <c r="O764" i="178"/>
  <c r="P760" i="178"/>
  <c r="Q760" i="178" s="1"/>
  <c r="O760" i="178"/>
  <c r="P756" i="178"/>
  <c r="Q756" i="178" s="1"/>
  <c r="O756" i="178"/>
  <c r="P752" i="178"/>
  <c r="Q752" i="178" s="1"/>
  <c r="O752" i="178"/>
  <c r="P748" i="178"/>
  <c r="Q748" i="178" s="1"/>
  <c r="O748" i="178"/>
  <c r="P744" i="178"/>
  <c r="Q744" i="178" s="1"/>
  <c r="O744" i="178"/>
  <c r="P740" i="178"/>
  <c r="Q740" i="178" s="1"/>
  <c r="O740" i="178"/>
  <c r="P736" i="178"/>
  <c r="Q736" i="178" s="1"/>
  <c r="O736" i="178"/>
  <c r="P732" i="178"/>
  <c r="Q732" i="178" s="1"/>
  <c r="O732" i="178"/>
  <c r="P728" i="178"/>
  <c r="Q728" i="178" s="1"/>
  <c r="O728" i="178"/>
  <c r="P724" i="178"/>
  <c r="Q724" i="178" s="1"/>
  <c r="O724" i="178"/>
  <c r="P401" i="178"/>
  <c r="Q401" i="178" s="1"/>
  <c r="O401" i="178"/>
  <c r="P400" i="178"/>
  <c r="Q400" i="178" s="1"/>
  <c r="O400" i="178"/>
  <c r="P360" i="178"/>
  <c r="Q360" i="178" s="1"/>
  <c r="O360" i="178"/>
  <c r="P179" i="178"/>
  <c r="Q179" i="178" s="1"/>
  <c r="O179" i="178"/>
  <c r="P715" i="178"/>
  <c r="Q715" i="178" s="1"/>
  <c r="O715" i="178"/>
  <c r="P369" i="178"/>
  <c r="Q369" i="178" s="1"/>
  <c r="O369" i="178"/>
  <c r="P92" i="178"/>
  <c r="Q92" i="178" s="1"/>
  <c r="O92" i="178"/>
  <c r="P96" i="178"/>
  <c r="Q96" i="178" s="1"/>
  <c r="O96" i="178"/>
  <c r="P618" i="178"/>
  <c r="Q618" i="178" s="1"/>
  <c r="O618" i="178"/>
  <c r="P648" i="178"/>
  <c r="Q648" i="178" s="1"/>
  <c r="O648" i="178"/>
  <c r="P598" i="178"/>
  <c r="Q598" i="178" s="1"/>
  <c r="O598" i="178"/>
  <c r="P392" i="178"/>
  <c r="Q392" i="178" s="1"/>
  <c r="O392" i="178"/>
  <c r="P589" i="178"/>
  <c r="Q589" i="178" s="1"/>
  <c r="O589" i="178"/>
  <c r="P634" i="178"/>
  <c r="Q634" i="178" s="1"/>
  <c r="O634" i="178"/>
  <c r="P684" i="178"/>
  <c r="Q684" i="178" s="1"/>
  <c r="O684" i="178"/>
  <c r="P664" i="178"/>
  <c r="Q664" i="178" s="1"/>
  <c r="O664" i="178"/>
  <c r="P230" i="178"/>
  <c r="Q230" i="178" s="1"/>
  <c r="O230" i="178"/>
  <c r="P1127" i="178"/>
  <c r="Q1127" i="178" s="1"/>
  <c r="O1127" i="178"/>
  <c r="P1123" i="178"/>
  <c r="Q1123" i="178" s="1"/>
  <c r="O1123" i="178"/>
  <c r="P1119" i="178"/>
  <c r="Q1119" i="178" s="1"/>
  <c r="O1119" i="178"/>
  <c r="P1115" i="178"/>
  <c r="Q1115" i="178" s="1"/>
  <c r="O1115" i="178"/>
  <c r="P1111" i="178"/>
  <c r="Q1111" i="178" s="1"/>
  <c r="O1111" i="178"/>
  <c r="P1107" i="178"/>
  <c r="Q1107" i="178" s="1"/>
  <c r="O1107" i="178"/>
  <c r="P1103" i="178"/>
  <c r="Q1103" i="178" s="1"/>
  <c r="O1103" i="178"/>
  <c r="P1099" i="178"/>
  <c r="Q1099" i="178" s="1"/>
  <c r="O1099" i="178"/>
  <c r="P1095" i="178"/>
  <c r="Q1095" i="178" s="1"/>
  <c r="O1095" i="178"/>
  <c r="P1091" i="178"/>
  <c r="Q1091" i="178" s="1"/>
  <c r="O1091" i="178"/>
  <c r="P1087" i="178"/>
  <c r="Q1087" i="178" s="1"/>
  <c r="O1087" i="178"/>
  <c r="P1083" i="178"/>
  <c r="Q1083" i="178" s="1"/>
  <c r="O1083" i="178"/>
  <c r="P1079" i="178"/>
  <c r="Q1079" i="178" s="1"/>
  <c r="O1079" i="178"/>
  <c r="P1075" i="178"/>
  <c r="Q1075" i="178" s="1"/>
  <c r="O1075" i="178"/>
  <c r="P1071" i="178"/>
  <c r="Q1071" i="178" s="1"/>
  <c r="O1071" i="178"/>
  <c r="P1067" i="178"/>
  <c r="Q1067" i="178" s="1"/>
  <c r="O1067" i="178"/>
  <c r="P1063" i="178"/>
  <c r="Q1063" i="178" s="1"/>
  <c r="O1063" i="178"/>
  <c r="P1059" i="178"/>
  <c r="Q1059" i="178" s="1"/>
  <c r="O1059" i="178"/>
  <c r="P1055" i="178"/>
  <c r="Q1055" i="178" s="1"/>
  <c r="O1055" i="178"/>
  <c r="P1051" i="178"/>
  <c r="Q1051" i="178" s="1"/>
  <c r="O1051" i="178"/>
  <c r="P1047" i="178"/>
  <c r="Q1047" i="178" s="1"/>
  <c r="O1047" i="178"/>
  <c r="P1043" i="178"/>
  <c r="Q1043" i="178" s="1"/>
  <c r="O1043" i="178"/>
  <c r="P1039" i="178"/>
  <c r="Q1039" i="178" s="1"/>
  <c r="O1039" i="178"/>
  <c r="P1035" i="178"/>
  <c r="Q1035" i="178" s="1"/>
  <c r="O1035" i="178"/>
  <c r="P1031" i="178"/>
  <c r="Q1031" i="178" s="1"/>
  <c r="O1031" i="178"/>
  <c r="P1027" i="178"/>
  <c r="Q1027" i="178" s="1"/>
  <c r="O1027" i="178"/>
  <c r="P1023" i="178"/>
  <c r="Q1023" i="178" s="1"/>
  <c r="O1023" i="178"/>
  <c r="P1019" i="178"/>
  <c r="Q1019" i="178" s="1"/>
  <c r="O1019" i="178"/>
  <c r="P1015" i="178"/>
  <c r="Q1015" i="178" s="1"/>
  <c r="O1015" i="178"/>
  <c r="P1011" i="178"/>
  <c r="Q1011" i="178" s="1"/>
  <c r="O1011" i="178"/>
  <c r="P1007" i="178"/>
  <c r="Q1007" i="178" s="1"/>
  <c r="O1007" i="178"/>
  <c r="P1003" i="178"/>
  <c r="Q1003" i="178" s="1"/>
  <c r="O1003" i="178"/>
  <c r="P999" i="178"/>
  <c r="Q999" i="178" s="1"/>
  <c r="O999" i="178"/>
  <c r="P995" i="178"/>
  <c r="Q995" i="178" s="1"/>
  <c r="O995" i="178"/>
  <c r="P991" i="178"/>
  <c r="Q991" i="178" s="1"/>
  <c r="O991" i="178"/>
  <c r="P987" i="178"/>
  <c r="Q987" i="178" s="1"/>
  <c r="O987" i="178"/>
  <c r="P983" i="178"/>
  <c r="Q983" i="178" s="1"/>
  <c r="O983" i="178"/>
  <c r="P979" i="178"/>
  <c r="Q979" i="178" s="1"/>
  <c r="O979" i="178"/>
  <c r="P975" i="178"/>
  <c r="Q975" i="178" s="1"/>
  <c r="O975" i="178"/>
  <c r="P971" i="178"/>
  <c r="Q971" i="178" s="1"/>
  <c r="O971" i="178"/>
  <c r="P967" i="178"/>
  <c r="Q967" i="178" s="1"/>
  <c r="O967" i="178"/>
  <c r="P963" i="178"/>
  <c r="Q963" i="178" s="1"/>
  <c r="O963" i="178"/>
  <c r="P959" i="178"/>
  <c r="Q959" i="178" s="1"/>
  <c r="O959" i="178"/>
  <c r="P955" i="178"/>
  <c r="Q955" i="178" s="1"/>
  <c r="O955" i="178"/>
  <c r="P951" i="178"/>
  <c r="Q951" i="178" s="1"/>
  <c r="O951" i="178"/>
  <c r="P947" i="178"/>
  <c r="Q947" i="178" s="1"/>
  <c r="O947" i="178"/>
  <c r="P943" i="178"/>
  <c r="Q943" i="178" s="1"/>
  <c r="O943" i="178"/>
  <c r="P939" i="178"/>
  <c r="Q939" i="178" s="1"/>
  <c r="O939" i="178"/>
  <c r="P935" i="178"/>
  <c r="Q935" i="178" s="1"/>
  <c r="O935" i="178"/>
  <c r="P931" i="178"/>
  <c r="Q931" i="178" s="1"/>
  <c r="O931" i="178"/>
  <c r="P927" i="178"/>
  <c r="Q927" i="178" s="1"/>
  <c r="O927" i="178"/>
  <c r="P923" i="178"/>
  <c r="Q923" i="178" s="1"/>
  <c r="O923" i="178"/>
  <c r="P919" i="178"/>
  <c r="Q919" i="178" s="1"/>
  <c r="O919" i="178"/>
  <c r="P915" i="178"/>
  <c r="Q915" i="178" s="1"/>
  <c r="O915" i="178"/>
  <c r="P911" i="178"/>
  <c r="Q911" i="178" s="1"/>
  <c r="O911" i="178"/>
  <c r="P907" i="178"/>
  <c r="Q907" i="178" s="1"/>
  <c r="O907" i="178"/>
  <c r="P903" i="178"/>
  <c r="Q903" i="178" s="1"/>
  <c r="O903" i="178"/>
  <c r="P899" i="178"/>
  <c r="Q899" i="178" s="1"/>
  <c r="O899" i="178"/>
  <c r="P895" i="178"/>
  <c r="Q895" i="178" s="1"/>
  <c r="O895" i="178"/>
  <c r="P891" i="178"/>
  <c r="Q891" i="178" s="1"/>
  <c r="O891" i="178"/>
  <c r="P887" i="178"/>
  <c r="Q887" i="178" s="1"/>
  <c r="O887" i="178"/>
  <c r="P883" i="178"/>
  <c r="Q883" i="178" s="1"/>
  <c r="O883" i="178"/>
  <c r="P879" i="178"/>
  <c r="Q879" i="178" s="1"/>
  <c r="O879" i="178"/>
  <c r="P875" i="178"/>
  <c r="Q875" i="178" s="1"/>
  <c r="O875" i="178"/>
  <c r="P871" i="178"/>
  <c r="Q871" i="178" s="1"/>
  <c r="O871" i="178"/>
  <c r="P867" i="178"/>
  <c r="Q867" i="178" s="1"/>
  <c r="O867" i="178"/>
  <c r="P863" i="178"/>
  <c r="Q863" i="178" s="1"/>
  <c r="O863" i="178"/>
  <c r="P859" i="178"/>
  <c r="Q859" i="178" s="1"/>
  <c r="O859" i="178"/>
  <c r="P855" i="178"/>
  <c r="Q855" i="178" s="1"/>
  <c r="O855" i="178"/>
  <c r="P851" i="178"/>
  <c r="Q851" i="178" s="1"/>
  <c r="O851" i="178"/>
  <c r="P847" i="178"/>
  <c r="Q847" i="178" s="1"/>
  <c r="O847" i="178"/>
  <c r="P843" i="178"/>
  <c r="Q843" i="178" s="1"/>
  <c r="O843" i="178"/>
  <c r="P839" i="178"/>
  <c r="Q839" i="178" s="1"/>
  <c r="O839" i="178"/>
  <c r="P835" i="178"/>
  <c r="Q835" i="178" s="1"/>
  <c r="O835" i="178"/>
  <c r="P831" i="178"/>
  <c r="Q831" i="178" s="1"/>
  <c r="O831" i="178"/>
  <c r="P827" i="178"/>
  <c r="Q827" i="178" s="1"/>
  <c r="O827" i="178"/>
  <c r="P823" i="178"/>
  <c r="Q823" i="178" s="1"/>
  <c r="O823" i="178"/>
  <c r="P819" i="178"/>
  <c r="Q819" i="178" s="1"/>
  <c r="O819" i="178"/>
  <c r="P815" i="178"/>
  <c r="Q815" i="178" s="1"/>
  <c r="O815" i="178"/>
  <c r="P811" i="178"/>
  <c r="Q811" i="178" s="1"/>
  <c r="O811" i="178"/>
  <c r="P807" i="178"/>
  <c r="Q807" i="178" s="1"/>
  <c r="O807" i="178"/>
  <c r="P803" i="178"/>
  <c r="Q803" i="178" s="1"/>
  <c r="O803" i="178"/>
  <c r="P799" i="178"/>
  <c r="Q799" i="178" s="1"/>
  <c r="O799" i="178"/>
  <c r="P795" i="178"/>
  <c r="Q795" i="178" s="1"/>
  <c r="O795" i="178"/>
  <c r="P791" i="178"/>
  <c r="Q791" i="178" s="1"/>
  <c r="O791" i="178"/>
  <c r="P787" i="178"/>
  <c r="Q787" i="178" s="1"/>
  <c r="O787" i="178"/>
  <c r="P783" i="178"/>
  <c r="Q783" i="178" s="1"/>
  <c r="O783" i="178"/>
  <c r="P779" i="178"/>
  <c r="Q779" i="178" s="1"/>
  <c r="O779" i="178"/>
  <c r="P775" i="178"/>
  <c r="Q775" i="178" s="1"/>
  <c r="O775" i="178"/>
  <c r="P771" i="178"/>
  <c r="Q771" i="178" s="1"/>
  <c r="O771" i="178"/>
  <c r="P767" i="178"/>
  <c r="Q767" i="178" s="1"/>
  <c r="O767" i="178"/>
  <c r="P763" i="178"/>
  <c r="Q763" i="178" s="1"/>
  <c r="O763" i="178"/>
  <c r="P759" i="178"/>
  <c r="Q759" i="178" s="1"/>
  <c r="O759" i="178"/>
  <c r="P755" i="178"/>
  <c r="Q755" i="178" s="1"/>
  <c r="O755" i="178"/>
  <c r="P751" i="178"/>
  <c r="Q751" i="178" s="1"/>
  <c r="O751" i="178"/>
  <c r="P747" i="178"/>
  <c r="Q747" i="178" s="1"/>
  <c r="O747" i="178"/>
  <c r="P743" i="178"/>
  <c r="Q743" i="178" s="1"/>
  <c r="O743" i="178"/>
  <c r="P739" i="178"/>
  <c r="Q739" i="178" s="1"/>
  <c r="O739" i="178"/>
  <c r="P735" i="178"/>
  <c r="Q735" i="178" s="1"/>
  <c r="O735" i="178"/>
  <c r="P731" i="178"/>
  <c r="Q731" i="178" s="1"/>
  <c r="O731" i="178"/>
  <c r="P727" i="178"/>
  <c r="Q727" i="178" s="1"/>
  <c r="O727" i="178"/>
  <c r="P723" i="178"/>
  <c r="Q723" i="178" s="1"/>
  <c r="O723" i="178"/>
  <c r="P377" i="178"/>
  <c r="Q377" i="178" s="1"/>
  <c r="O377" i="178"/>
  <c r="P628" i="178"/>
  <c r="Q628" i="178" s="1"/>
  <c r="O628" i="178"/>
  <c r="P349" i="178"/>
  <c r="Q349" i="178" s="1"/>
  <c r="O349" i="178"/>
  <c r="P300" i="178"/>
  <c r="Q300" i="178" s="1"/>
  <c r="O300" i="178"/>
  <c r="P716" i="178"/>
  <c r="Q716" i="178" s="1"/>
  <c r="O716" i="178"/>
  <c r="P688" i="178"/>
  <c r="Q688" i="178" s="1"/>
  <c r="O688" i="178"/>
  <c r="P699" i="178"/>
  <c r="Q699" i="178" s="1"/>
  <c r="O699" i="178"/>
  <c r="P173" i="178"/>
  <c r="Q173" i="178" s="1"/>
  <c r="O173" i="178"/>
  <c r="P267" i="178"/>
  <c r="Q267" i="178" s="1"/>
  <c r="O267" i="178"/>
  <c r="P91" i="178"/>
  <c r="Q91" i="178" s="1"/>
  <c r="O91" i="178"/>
  <c r="P47" i="178"/>
  <c r="Q47" i="178" s="1"/>
  <c r="O47" i="178"/>
  <c r="P289" i="178"/>
  <c r="Q289" i="178" s="1"/>
  <c r="O289" i="178"/>
  <c r="P587" i="178"/>
  <c r="Q587" i="178" s="1"/>
  <c r="O587" i="178"/>
  <c r="P669" i="178"/>
  <c r="Q669" i="178" s="1"/>
  <c r="O669" i="178"/>
  <c r="P666" i="178"/>
  <c r="Q666" i="178" s="1"/>
  <c r="O666" i="178"/>
  <c r="P663" i="178"/>
  <c r="Q663" i="178" s="1"/>
  <c r="O663" i="178"/>
  <c r="P227" i="178"/>
  <c r="Q227" i="178" s="1"/>
  <c r="O227" i="178"/>
  <c r="P1126" i="178"/>
  <c r="Q1126" i="178" s="1"/>
  <c r="O1126" i="178"/>
  <c r="P1122" i="178"/>
  <c r="Q1122" i="178" s="1"/>
  <c r="O1122" i="178"/>
  <c r="P1118" i="178"/>
  <c r="Q1118" i="178" s="1"/>
  <c r="O1118" i="178"/>
  <c r="P1114" i="178"/>
  <c r="Q1114" i="178" s="1"/>
  <c r="O1114" i="178"/>
  <c r="P1110" i="178"/>
  <c r="Q1110" i="178" s="1"/>
  <c r="O1110" i="178"/>
  <c r="P1106" i="178"/>
  <c r="Q1106" i="178" s="1"/>
  <c r="O1106" i="178"/>
  <c r="P1102" i="178"/>
  <c r="Q1102" i="178" s="1"/>
  <c r="O1102" i="178"/>
  <c r="P1098" i="178"/>
  <c r="Q1098" i="178" s="1"/>
  <c r="O1098" i="178"/>
  <c r="P1094" i="178"/>
  <c r="Q1094" i="178" s="1"/>
  <c r="O1094" i="178"/>
  <c r="P1090" i="178"/>
  <c r="Q1090" i="178" s="1"/>
  <c r="O1090" i="178"/>
  <c r="P1086" i="178"/>
  <c r="Q1086" i="178" s="1"/>
  <c r="O1086" i="178"/>
  <c r="P1082" i="178"/>
  <c r="Q1082" i="178" s="1"/>
  <c r="O1082" i="178"/>
  <c r="P1078" i="178"/>
  <c r="Q1078" i="178" s="1"/>
  <c r="O1078" i="178"/>
  <c r="P1074" i="178"/>
  <c r="Q1074" i="178" s="1"/>
  <c r="O1074" i="178"/>
  <c r="P1070" i="178"/>
  <c r="Q1070" i="178" s="1"/>
  <c r="O1070" i="178"/>
  <c r="P1066" i="178"/>
  <c r="Q1066" i="178" s="1"/>
  <c r="O1066" i="178"/>
  <c r="P1062" i="178"/>
  <c r="Q1062" i="178" s="1"/>
  <c r="O1062" i="178"/>
  <c r="P1058" i="178"/>
  <c r="Q1058" i="178" s="1"/>
  <c r="O1058" i="178"/>
  <c r="P1054" i="178"/>
  <c r="Q1054" i="178" s="1"/>
  <c r="O1054" i="178"/>
  <c r="P1050" i="178"/>
  <c r="Q1050" i="178" s="1"/>
  <c r="O1050" i="178"/>
  <c r="P1046" i="178"/>
  <c r="Q1046" i="178" s="1"/>
  <c r="O1046" i="178"/>
  <c r="P1042" i="178"/>
  <c r="Q1042" i="178" s="1"/>
  <c r="O1042" i="178"/>
  <c r="P1038" i="178"/>
  <c r="Q1038" i="178" s="1"/>
  <c r="O1038" i="178"/>
  <c r="P1034" i="178"/>
  <c r="Q1034" i="178" s="1"/>
  <c r="O1034" i="178"/>
  <c r="P1030" i="178"/>
  <c r="Q1030" i="178" s="1"/>
  <c r="O1030" i="178"/>
  <c r="P1026" i="178"/>
  <c r="Q1026" i="178" s="1"/>
  <c r="O1026" i="178"/>
  <c r="P1022" i="178"/>
  <c r="Q1022" i="178" s="1"/>
  <c r="O1022" i="178"/>
  <c r="P1018" i="178"/>
  <c r="Q1018" i="178" s="1"/>
  <c r="O1018" i="178"/>
  <c r="P1014" i="178"/>
  <c r="Q1014" i="178" s="1"/>
  <c r="O1014" i="178"/>
  <c r="P1010" i="178"/>
  <c r="Q1010" i="178" s="1"/>
  <c r="O1010" i="178"/>
  <c r="P1006" i="178"/>
  <c r="Q1006" i="178" s="1"/>
  <c r="O1006" i="178"/>
  <c r="P1002" i="178"/>
  <c r="Q1002" i="178" s="1"/>
  <c r="O1002" i="178"/>
  <c r="P998" i="178"/>
  <c r="Q998" i="178" s="1"/>
  <c r="O998" i="178"/>
  <c r="P994" i="178"/>
  <c r="Q994" i="178" s="1"/>
  <c r="O994" i="178"/>
  <c r="P990" i="178"/>
  <c r="Q990" i="178" s="1"/>
  <c r="O990" i="178"/>
  <c r="P986" i="178"/>
  <c r="Q986" i="178" s="1"/>
  <c r="O986" i="178"/>
  <c r="P982" i="178"/>
  <c r="Q982" i="178" s="1"/>
  <c r="O982" i="178"/>
  <c r="P978" i="178"/>
  <c r="Q978" i="178" s="1"/>
  <c r="O978" i="178"/>
  <c r="P974" i="178"/>
  <c r="Q974" i="178" s="1"/>
  <c r="O974" i="178"/>
  <c r="P970" i="178"/>
  <c r="Q970" i="178" s="1"/>
  <c r="O970" i="178"/>
  <c r="P966" i="178"/>
  <c r="Q966" i="178" s="1"/>
  <c r="O966" i="178"/>
  <c r="P962" i="178"/>
  <c r="Q962" i="178" s="1"/>
  <c r="O962" i="178"/>
  <c r="P958" i="178"/>
  <c r="Q958" i="178" s="1"/>
  <c r="O958" i="178"/>
  <c r="P954" i="178"/>
  <c r="Q954" i="178" s="1"/>
  <c r="O954" i="178"/>
  <c r="P950" i="178"/>
  <c r="Q950" i="178" s="1"/>
  <c r="O950" i="178"/>
  <c r="P946" i="178"/>
  <c r="Q946" i="178" s="1"/>
  <c r="O946" i="178"/>
  <c r="P942" i="178"/>
  <c r="Q942" i="178" s="1"/>
  <c r="O942" i="178"/>
  <c r="P938" i="178"/>
  <c r="Q938" i="178" s="1"/>
  <c r="O938" i="178"/>
  <c r="P934" i="178"/>
  <c r="Q934" i="178" s="1"/>
  <c r="O934" i="178"/>
  <c r="P930" i="178"/>
  <c r="Q930" i="178" s="1"/>
  <c r="O930" i="178"/>
  <c r="P926" i="178"/>
  <c r="Q926" i="178" s="1"/>
  <c r="O926" i="178"/>
  <c r="P922" i="178"/>
  <c r="Q922" i="178" s="1"/>
  <c r="O922" i="178"/>
  <c r="P918" i="178"/>
  <c r="Q918" i="178" s="1"/>
  <c r="O918" i="178"/>
  <c r="P914" i="178"/>
  <c r="Q914" i="178" s="1"/>
  <c r="O914" i="178"/>
  <c r="P910" i="178"/>
  <c r="Q910" i="178" s="1"/>
  <c r="O910" i="178"/>
  <c r="P906" i="178"/>
  <c r="Q906" i="178" s="1"/>
  <c r="O906" i="178"/>
  <c r="P902" i="178"/>
  <c r="Q902" i="178" s="1"/>
  <c r="O902" i="178"/>
  <c r="P898" i="178"/>
  <c r="Q898" i="178" s="1"/>
  <c r="O898" i="178"/>
  <c r="P894" i="178"/>
  <c r="Q894" i="178" s="1"/>
  <c r="O894" i="178"/>
  <c r="P890" i="178"/>
  <c r="Q890" i="178" s="1"/>
  <c r="O890" i="178"/>
  <c r="P886" i="178"/>
  <c r="Q886" i="178" s="1"/>
  <c r="O886" i="178"/>
  <c r="P882" i="178"/>
  <c r="Q882" i="178" s="1"/>
  <c r="O882" i="178"/>
  <c r="P878" i="178"/>
  <c r="Q878" i="178" s="1"/>
  <c r="O878" i="178"/>
  <c r="P874" i="178"/>
  <c r="Q874" i="178" s="1"/>
  <c r="O874" i="178"/>
  <c r="P870" i="178"/>
  <c r="Q870" i="178" s="1"/>
  <c r="O870" i="178"/>
  <c r="P866" i="178"/>
  <c r="Q866" i="178" s="1"/>
  <c r="O866" i="178"/>
  <c r="P862" i="178"/>
  <c r="Q862" i="178" s="1"/>
  <c r="O862" i="178"/>
  <c r="P858" i="178"/>
  <c r="Q858" i="178" s="1"/>
  <c r="O858" i="178"/>
  <c r="P854" i="178"/>
  <c r="Q854" i="178" s="1"/>
  <c r="O854" i="178"/>
  <c r="P850" i="178"/>
  <c r="Q850" i="178" s="1"/>
  <c r="O850" i="178"/>
  <c r="P846" i="178"/>
  <c r="Q846" i="178" s="1"/>
  <c r="O846" i="178"/>
  <c r="P842" i="178"/>
  <c r="Q842" i="178" s="1"/>
  <c r="O842" i="178"/>
  <c r="P838" i="178"/>
  <c r="Q838" i="178" s="1"/>
  <c r="O838" i="178"/>
  <c r="P834" i="178"/>
  <c r="Q834" i="178" s="1"/>
  <c r="O834" i="178"/>
  <c r="P830" i="178"/>
  <c r="Q830" i="178" s="1"/>
  <c r="O830" i="178"/>
  <c r="P826" i="178"/>
  <c r="Q826" i="178" s="1"/>
  <c r="O826" i="178"/>
  <c r="P822" i="178"/>
  <c r="Q822" i="178" s="1"/>
  <c r="O822" i="178"/>
  <c r="P818" i="178"/>
  <c r="Q818" i="178" s="1"/>
  <c r="O818" i="178"/>
  <c r="P814" i="178"/>
  <c r="Q814" i="178" s="1"/>
  <c r="O814" i="178"/>
  <c r="P810" i="178"/>
  <c r="Q810" i="178" s="1"/>
  <c r="O810" i="178"/>
  <c r="P806" i="178"/>
  <c r="Q806" i="178" s="1"/>
  <c r="O806" i="178"/>
  <c r="P802" i="178"/>
  <c r="Q802" i="178" s="1"/>
  <c r="O802" i="178"/>
  <c r="P798" i="178"/>
  <c r="Q798" i="178" s="1"/>
  <c r="O798" i="178"/>
  <c r="P794" i="178"/>
  <c r="Q794" i="178" s="1"/>
  <c r="O794" i="178"/>
  <c r="P790" i="178"/>
  <c r="Q790" i="178" s="1"/>
  <c r="O790" i="178"/>
  <c r="P786" i="178"/>
  <c r="Q786" i="178" s="1"/>
  <c r="O786" i="178"/>
  <c r="P782" i="178"/>
  <c r="Q782" i="178" s="1"/>
  <c r="O782" i="178"/>
  <c r="P778" i="178"/>
  <c r="Q778" i="178" s="1"/>
  <c r="O778" i="178"/>
  <c r="P774" i="178"/>
  <c r="Q774" i="178" s="1"/>
  <c r="O774" i="178"/>
  <c r="P770" i="178"/>
  <c r="Q770" i="178" s="1"/>
  <c r="O770" i="178"/>
  <c r="P766" i="178"/>
  <c r="Q766" i="178" s="1"/>
  <c r="O766" i="178"/>
  <c r="P762" i="178"/>
  <c r="Q762" i="178" s="1"/>
  <c r="O762" i="178"/>
  <c r="P758" i="178"/>
  <c r="Q758" i="178" s="1"/>
  <c r="O758" i="178"/>
  <c r="P754" i="178"/>
  <c r="Q754" i="178" s="1"/>
  <c r="O754" i="178"/>
  <c r="P750" i="178"/>
  <c r="Q750" i="178" s="1"/>
  <c r="O750" i="178"/>
  <c r="P746" i="178"/>
  <c r="Q746" i="178" s="1"/>
  <c r="O746" i="178"/>
  <c r="P742" i="178"/>
  <c r="Q742" i="178" s="1"/>
  <c r="O742" i="178"/>
  <c r="P738" i="178"/>
  <c r="Q738" i="178" s="1"/>
  <c r="O738" i="178"/>
  <c r="P734" i="178"/>
  <c r="Q734" i="178" s="1"/>
  <c r="O734" i="178"/>
  <c r="P730" i="178"/>
  <c r="Q730" i="178" s="1"/>
  <c r="O730" i="178"/>
  <c r="P726" i="178"/>
  <c r="Q726" i="178" s="1"/>
  <c r="O726" i="178"/>
  <c r="P722" i="178"/>
  <c r="Q722" i="178" s="1"/>
  <c r="O722" i="178"/>
  <c r="P718" i="178"/>
  <c r="Q718" i="178" s="1"/>
  <c r="O718" i="178"/>
  <c r="P714" i="178"/>
  <c r="Q714" i="178" s="1"/>
  <c r="O714" i="178"/>
  <c r="P399" i="178"/>
  <c r="Q399" i="178" s="1"/>
  <c r="O399" i="178"/>
  <c r="P624" i="178"/>
  <c r="Q624" i="178" s="1"/>
  <c r="O624" i="178"/>
  <c r="P383" i="178"/>
  <c r="Q383" i="178" s="1"/>
  <c r="O383" i="178"/>
  <c r="P49" i="178"/>
  <c r="Q49" i="178" s="1"/>
  <c r="O49" i="178"/>
  <c r="P397" i="178"/>
  <c r="Q397" i="178" s="1"/>
  <c r="O397" i="178"/>
  <c r="P41" i="178"/>
  <c r="Q41" i="178" s="1"/>
  <c r="O41" i="178"/>
  <c r="P247" i="178"/>
  <c r="Q247" i="178" s="1"/>
  <c r="O247" i="178"/>
  <c r="P83" i="178"/>
  <c r="Q83" i="178" s="1"/>
  <c r="O83" i="178"/>
  <c r="P81" i="178"/>
  <c r="Q81" i="178" s="1"/>
  <c r="O81" i="178"/>
  <c r="P344" i="178"/>
  <c r="Q344" i="178" s="1"/>
  <c r="O344" i="178"/>
  <c r="P395" i="178"/>
  <c r="Q395" i="178" s="1"/>
  <c r="O395" i="178"/>
  <c r="P668" i="178"/>
  <c r="Q668" i="178" s="1"/>
  <c r="O668" i="178"/>
  <c r="P665" i="178"/>
  <c r="Q665" i="178" s="1"/>
  <c r="O665" i="178"/>
  <c r="P646" i="178"/>
  <c r="Q646" i="178" s="1"/>
  <c r="O646" i="178"/>
  <c r="P116" i="178"/>
  <c r="Q116" i="178" s="1"/>
  <c r="O116" i="178"/>
  <c r="P1130" i="178"/>
  <c r="Q1130" i="178" s="1"/>
  <c r="O1130" i="178"/>
  <c r="O1125" i="178"/>
  <c r="P1125" i="178"/>
  <c r="Q1125" i="178" s="1"/>
  <c r="P1121" i="178"/>
  <c r="Q1121" i="178" s="1"/>
  <c r="O1121" i="178"/>
  <c r="O1117" i="178"/>
  <c r="P1117" i="178"/>
  <c r="Q1117" i="178" s="1"/>
  <c r="P1113" i="178"/>
  <c r="Q1113" i="178" s="1"/>
  <c r="O1113" i="178"/>
  <c r="O1109" i="178"/>
  <c r="P1109" i="178"/>
  <c r="Q1109" i="178" s="1"/>
  <c r="P1105" i="178"/>
  <c r="Q1105" i="178" s="1"/>
  <c r="O1105" i="178"/>
  <c r="O1101" i="178"/>
  <c r="P1101" i="178"/>
  <c r="Q1101" i="178" s="1"/>
  <c r="P1097" i="178"/>
  <c r="Q1097" i="178" s="1"/>
  <c r="O1097" i="178"/>
  <c r="O1093" i="178"/>
  <c r="P1093" i="178"/>
  <c r="Q1093" i="178" s="1"/>
  <c r="P1089" i="178"/>
  <c r="Q1089" i="178" s="1"/>
  <c r="O1089" i="178"/>
  <c r="O1085" i="178"/>
  <c r="P1085" i="178"/>
  <c r="Q1085" i="178" s="1"/>
  <c r="P1081" i="178"/>
  <c r="Q1081" i="178" s="1"/>
  <c r="O1081" i="178"/>
  <c r="O1077" i="178"/>
  <c r="P1077" i="178"/>
  <c r="Q1077" i="178" s="1"/>
  <c r="P1073" i="178"/>
  <c r="Q1073" i="178" s="1"/>
  <c r="O1073" i="178"/>
  <c r="P1069" i="178"/>
  <c r="Q1069" i="178" s="1"/>
  <c r="O1069" i="178"/>
  <c r="P1065" i="178"/>
  <c r="Q1065" i="178" s="1"/>
  <c r="O1065" i="178"/>
  <c r="O1061" i="178"/>
  <c r="P1061" i="178"/>
  <c r="Q1061" i="178" s="1"/>
  <c r="P1057" i="178"/>
  <c r="Q1057" i="178" s="1"/>
  <c r="O1057" i="178"/>
  <c r="O1053" i="178"/>
  <c r="P1053" i="178"/>
  <c r="Q1053" i="178" s="1"/>
  <c r="P1049" i="178"/>
  <c r="Q1049" i="178" s="1"/>
  <c r="O1049" i="178"/>
  <c r="O1045" i="178"/>
  <c r="P1045" i="178"/>
  <c r="Q1045" i="178" s="1"/>
  <c r="P1041" i="178"/>
  <c r="Q1041" i="178" s="1"/>
  <c r="O1041" i="178"/>
  <c r="O1037" i="178"/>
  <c r="P1037" i="178"/>
  <c r="Q1037" i="178" s="1"/>
  <c r="P1033" i="178"/>
  <c r="Q1033" i="178" s="1"/>
  <c r="O1033" i="178"/>
  <c r="O1029" i="178"/>
  <c r="P1029" i="178"/>
  <c r="Q1029" i="178" s="1"/>
  <c r="P1025" i="178"/>
  <c r="Q1025" i="178" s="1"/>
  <c r="O1025" i="178"/>
  <c r="O1021" i="178"/>
  <c r="P1021" i="178"/>
  <c r="Q1021" i="178" s="1"/>
  <c r="P1017" i="178"/>
  <c r="Q1017" i="178" s="1"/>
  <c r="O1017" i="178"/>
  <c r="O1013" i="178"/>
  <c r="P1013" i="178"/>
  <c r="Q1013" i="178" s="1"/>
  <c r="P1009" i="178"/>
  <c r="Q1009" i="178" s="1"/>
  <c r="O1009" i="178"/>
  <c r="P1005" i="178"/>
  <c r="Q1005" i="178" s="1"/>
  <c r="O1005" i="178"/>
  <c r="P1001" i="178"/>
  <c r="Q1001" i="178" s="1"/>
  <c r="O1001" i="178"/>
  <c r="O997" i="178"/>
  <c r="P997" i="178"/>
  <c r="Q997" i="178" s="1"/>
  <c r="P993" i="178"/>
  <c r="Q993" i="178" s="1"/>
  <c r="O993" i="178"/>
  <c r="O989" i="178"/>
  <c r="P989" i="178"/>
  <c r="Q989" i="178" s="1"/>
  <c r="P985" i="178"/>
  <c r="Q985" i="178" s="1"/>
  <c r="O985" i="178"/>
  <c r="O981" i="178"/>
  <c r="P981" i="178"/>
  <c r="Q981" i="178" s="1"/>
  <c r="P977" i="178"/>
  <c r="Q977" i="178" s="1"/>
  <c r="O977" i="178"/>
  <c r="O973" i="178"/>
  <c r="P973" i="178"/>
  <c r="Q973" i="178" s="1"/>
  <c r="P969" i="178"/>
  <c r="Q969" i="178" s="1"/>
  <c r="O969" i="178"/>
  <c r="O965" i="178"/>
  <c r="P965" i="178"/>
  <c r="Q965" i="178" s="1"/>
  <c r="P961" i="178"/>
  <c r="Q961" i="178" s="1"/>
  <c r="O961" i="178"/>
  <c r="O957" i="178"/>
  <c r="P957" i="178"/>
  <c r="Q957" i="178" s="1"/>
  <c r="P953" i="178"/>
  <c r="Q953" i="178" s="1"/>
  <c r="O953" i="178"/>
  <c r="O949" i="178"/>
  <c r="P949" i="178"/>
  <c r="Q949" i="178" s="1"/>
  <c r="P945" i="178"/>
  <c r="Q945" i="178" s="1"/>
  <c r="O945" i="178"/>
  <c r="P941" i="178"/>
  <c r="Q941" i="178" s="1"/>
  <c r="O941" i="178"/>
  <c r="P937" i="178"/>
  <c r="Q937" i="178" s="1"/>
  <c r="O937" i="178"/>
  <c r="O933" i="178"/>
  <c r="P933" i="178"/>
  <c r="Q933" i="178" s="1"/>
  <c r="P929" i="178"/>
  <c r="Q929" i="178" s="1"/>
  <c r="O929" i="178"/>
  <c r="O925" i="178"/>
  <c r="P925" i="178"/>
  <c r="Q925" i="178" s="1"/>
  <c r="P921" i="178"/>
  <c r="Q921" i="178" s="1"/>
  <c r="O921" i="178"/>
  <c r="O917" i="178"/>
  <c r="P917" i="178"/>
  <c r="Q917" i="178" s="1"/>
  <c r="P913" i="178"/>
  <c r="Q913" i="178" s="1"/>
  <c r="O913" i="178"/>
  <c r="O909" i="178"/>
  <c r="P909" i="178"/>
  <c r="Q909" i="178" s="1"/>
  <c r="P905" i="178"/>
  <c r="Q905" i="178" s="1"/>
  <c r="O905" i="178"/>
  <c r="O901" i="178"/>
  <c r="P901" i="178"/>
  <c r="Q901" i="178" s="1"/>
  <c r="P897" i="178"/>
  <c r="Q897" i="178" s="1"/>
  <c r="O897" i="178"/>
  <c r="O893" i="178"/>
  <c r="P893" i="178"/>
  <c r="Q893" i="178" s="1"/>
  <c r="P889" i="178"/>
  <c r="Q889" i="178" s="1"/>
  <c r="O889" i="178"/>
  <c r="O885" i="178"/>
  <c r="P885" i="178"/>
  <c r="Q885" i="178" s="1"/>
  <c r="P881" i="178"/>
  <c r="Q881" i="178" s="1"/>
  <c r="O881" i="178"/>
  <c r="P877" i="178"/>
  <c r="Q877" i="178" s="1"/>
  <c r="O877" i="178"/>
  <c r="P873" i="178"/>
  <c r="Q873" i="178" s="1"/>
  <c r="O873" i="178"/>
  <c r="O869" i="178"/>
  <c r="P869" i="178"/>
  <c r="Q869" i="178" s="1"/>
  <c r="P865" i="178"/>
  <c r="Q865" i="178" s="1"/>
  <c r="O865" i="178"/>
  <c r="O861" i="178"/>
  <c r="P861" i="178"/>
  <c r="Q861" i="178" s="1"/>
  <c r="P857" i="178"/>
  <c r="Q857" i="178" s="1"/>
  <c r="O857" i="178"/>
  <c r="O853" i="178"/>
  <c r="P853" i="178"/>
  <c r="Q853" i="178" s="1"/>
  <c r="P849" i="178"/>
  <c r="Q849" i="178" s="1"/>
  <c r="O849" i="178"/>
  <c r="P845" i="178"/>
  <c r="Q845" i="178" s="1"/>
  <c r="O845" i="178"/>
  <c r="P841" i="178"/>
  <c r="Q841" i="178" s="1"/>
  <c r="O841" i="178"/>
  <c r="P837" i="178"/>
  <c r="Q837" i="178" s="1"/>
  <c r="O837" i="178"/>
  <c r="P833" i="178"/>
  <c r="Q833" i="178" s="1"/>
  <c r="O833" i="178"/>
  <c r="P829" i="178"/>
  <c r="Q829" i="178" s="1"/>
  <c r="O829" i="178"/>
  <c r="P825" i="178"/>
  <c r="Q825" i="178" s="1"/>
  <c r="O825" i="178"/>
  <c r="P821" i="178"/>
  <c r="Q821" i="178" s="1"/>
  <c r="O821" i="178"/>
  <c r="P817" i="178"/>
  <c r="Q817" i="178" s="1"/>
  <c r="O817" i="178"/>
  <c r="P813" i="178"/>
  <c r="Q813" i="178" s="1"/>
  <c r="O813" i="178"/>
  <c r="P809" i="178"/>
  <c r="Q809" i="178" s="1"/>
  <c r="O809" i="178"/>
  <c r="P805" i="178"/>
  <c r="Q805" i="178" s="1"/>
  <c r="O805" i="178"/>
  <c r="P801" i="178"/>
  <c r="Q801" i="178" s="1"/>
  <c r="O801" i="178"/>
  <c r="P797" i="178"/>
  <c r="Q797" i="178" s="1"/>
  <c r="O797" i="178"/>
  <c r="P793" i="178"/>
  <c r="Q793" i="178" s="1"/>
  <c r="O793" i="178"/>
  <c r="P789" i="178"/>
  <c r="Q789" i="178" s="1"/>
  <c r="O789" i="178"/>
  <c r="P785" i="178"/>
  <c r="Q785" i="178" s="1"/>
  <c r="O785" i="178"/>
  <c r="P781" i="178"/>
  <c r="Q781" i="178" s="1"/>
  <c r="O781" i="178"/>
  <c r="P777" i="178"/>
  <c r="Q777" i="178" s="1"/>
  <c r="O777" i="178"/>
  <c r="P773" i="178"/>
  <c r="Q773" i="178" s="1"/>
  <c r="O773" i="178"/>
  <c r="P769" i="178"/>
  <c r="Q769" i="178" s="1"/>
  <c r="O769" i="178"/>
  <c r="P765" i="178"/>
  <c r="Q765" i="178" s="1"/>
  <c r="O765" i="178"/>
  <c r="P761" i="178"/>
  <c r="Q761" i="178" s="1"/>
  <c r="O761" i="178"/>
  <c r="P757" i="178"/>
  <c r="Q757" i="178" s="1"/>
  <c r="O757" i="178"/>
  <c r="P753" i="178"/>
  <c r="Q753" i="178" s="1"/>
  <c r="O753" i="178"/>
  <c r="P749" i="178"/>
  <c r="Q749" i="178" s="1"/>
  <c r="O749" i="178"/>
  <c r="P745" i="178"/>
  <c r="Q745" i="178" s="1"/>
  <c r="O745" i="178"/>
  <c r="P741" i="178"/>
  <c r="Q741" i="178" s="1"/>
  <c r="O741" i="178"/>
  <c r="P737" i="178"/>
  <c r="Q737" i="178" s="1"/>
  <c r="O737" i="178"/>
  <c r="P733" i="178"/>
  <c r="Q733" i="178" s="1"/>
  <c r="O733" i="178"/>
  <c r="P729" i="178"/>
  <c r="Q729" i="178" s="1"/>
  <c r="O729" i="178"/>
  <c r="P725" i="178"/>
  <c r="Q725" i="178" s="1"/>
  <c r="O725" i="178"/>
  <c r="P721" i="178"/>
  <c r="Q721" i="178" s="1"/>
  <c r="O721" i="178"/>
  <c r="P345" i="178"/>
  <c r="Q345" i="178" s="1"/>
  <c r="O345" i="178"/>
  <c r="P713" i="178"/>
  <c r="Q713" i="178" s="1"/>
  <c r="O713" i="178"/>
  <c r="P709" i="178"/>
  <c r="Q709" i="178" s="1"/>
  <c r="O709" i="178"/>
  <c r="P704" i="178"/>
  <c r="Q704" i="178" s="1"/>
  <c r="O704" i="178"/>
  <c r="P702" i="178"/>
  <c r="Q702" i="178" s="1"/>
  <c r="O702" i="178"/>
  <c r="P293" i="178"/>
  <c r="Q293" i="178" s="1"/>
  <c r="O293" i="178"/>
  <c r="P120" i="178"/>
  <c r="Q120" i="178" s="1"/>
  <c r="O120" i="178"/>
  <c r="P362" i="178"/>
  <c r="Q362" i="178" s="1"/>
  <c r="O362" i="178"/>
  <c r="P428" i="178"/>
  <c r="Q428" i="178" s="1"/>
  <c r="O428" i="178"/>
  <c r="P698" i="178"/>
  <c r="Q698" i="178" s="1"/>
  <c r="O698" i="178"/>
  <c r="P391" i="178"/>
  <c r="Q391" i="178" s="1"/>
  <c r="O391" i="178"/>
  <c r="P677" i="178"/>
  <c r="Q677" i="178" s="1"/>
  <c r="O677" i="178"/>
  <c r="P673" i="178"/>
  <c r="Q673" i="178" s="1"/>
  <c r="O673" i="178"/>
  <c r="P676" i="178"/>
  <c r="Q676" i="178" s="1"/>
  <c r="O676" i="178"/>
  <c r="P696" i="178"/>
  <c r="Q696" i="178" s="1"/>
  <c r="O696" i="178"/>
  <c r="P661" i="178"/>
  <c r="Q661" i="178" s="1"/>
  <c r="O661" i="178"/>
  <c r="M1130" i="178"/>
  <c r="K1130" i="178"/>
  <c r="M1113" i="178"/>
  <c r="K1113" i="178"/>
  <c r="M1097" i="178"/>
  <c r="K1097" i="178"/>
  <c r="M1085" i="178"/>
  <c r="K1085" i="178"/>
  <c r="M1069" i="178"/>
  <c r="K1069" i="178"/>
  <c r="M1061" i="178"/>
  <c r="K1061" i="178"/>
  <c r="M1037" i="178"/>
  <c r="K1037" i="178"/>
  <c r="M1013" i="178"/>
  <c r="K1013" i="178"/>
  <c r="M989" i="178"/>
  <c r="K989" i="178"/>
  <c r="M977" i="178"/>
  <c r="K977" i="178"/>
  <c r="M957" i="178"/>
  <c r="K957" i="178"/>
  <c r="M937" i="178"/>
  <c r="K937" i="178"/>
  <c r="M909" i="178"/>
  <c r="K909" i="178"/>
  <c r="M881" i="178"/>
  <c r="K881" i="178"/>
  <c r="M865" i="178"/>
  <c r="K865" i="178"/>
  <c r="M841" i="178"/>
  <c r="K841" i="178"/>
  <c r="M821" i="178"/>
  <c r="K821" i="178"/>
  <c r="M805" i="178"/>
  <c r="K805" i="178"/>
  <c r="M797" i="178"/>
  <c r="K797" i="178"/>
  <c r="M781" i="178"/>
  <c r="K781" i="178"/>
  <c r="M773" i="178"/>
  <c r="K773" i="178"/>
  <c r="M753" i="178"/>
  <c r="K753" i="178"/>
  <c r="M737" i="178"/>
  <c r="K737" i="178"/>
  <c r="M725" i="178"/>
  <c r="K725" i="178"/>
  <c r="M628" i="178"/>
  <c r="K628" i="178"/>
  <c r="M704" i="178"/>
  <c r="K704" i="178"/>
  <c r="M120" i="178"/>
  <c r="K120" i="178"/>
  <c r="M289" i="178"/>
  <c r="K289" i="178"/>
  <c r="M661" i="178"/>
  <c r="K661" i="178"/>
  <c r="M1117" i="178"/>
  <c r="K1117" i="178"/>
  <c r="M1089" i="178"/>
  <c r="K1089" i="178"/>
  <c r="M1057" i="178"/>
  <c r="K1057" i="178"/>
  <c r="M1029" i="178"/>
  <c r="K1029" i="178"/>
  <c r="M1009" i="178"/>
  <c r="K1009" i="178"/>
  <c r="M985" i="178"/>
  <c r="K985" i="178"/>
  <c r="M965" i="178"/>
  <c r="K965" i="178"/>
  <c r="M941" i="178"/>
  <c r="K941" i="178"/>
  <c r="M917" i="178"/>
  <c r="K917" i="178"/>
  <c r="M905" i="178"/>
  <c r="K905" i="178"/>
  <c r="M889" i="178"/>
  <c r="K889" i="178"/>
  <c r="M869" i="178"/>
  <c r="K869" i="178"/>
  <c r="M845" i="178"/>
  <c r="K845" i="178"/>
  <c r="M833" i="178"/>
  <c r="K833" i="178"/>
  <c r="M825" i="178"/>
  <c r="K825" i="178"/>
  <c r="M813" i="178"/>
  <c r="K813" i="178"/>
  <c r="M801" i="178"/>
  <c r="K801" i="178"/>
  <c r="M793" i="178"/>
  <c r="K793" i="178"/>
  <c r="M777" i="178"/>
  <c r="K777" i="178"/>
  <c r="M757" i="178"/>
  <c r="K757" i="178"/>
  <c r="M741" i="178"/>
  <c r="K741" i="178"/>
  <c r="M729" i="178"/>
  <c r="K729" i="178"/>
  <c r="M713" i="178"/>
  <c r="K713" i="178"/>
  <c r="M618" i="178"/>
  <c r="K618" i="178"/>
  <c r="M1128" i="178"/>
  <c r="K1128" i="178"/>
  <c r="M1124" i="178"/>
  <c r="K1124" i="178"/>
  <c r="M1120" i="178"/>
  <c r="K1120" i="178"/>
  <c r="M1116" i="178"/>
  <c r="K1116" i="178"/>
  <c r="M1112" i="178"/>
  <c r="K1112" i="178"/>
  <c r="M1108" i="178"/>
  <c r="K1108" i="178"/>
  <c r="M1104" i="178"/>
  <c r="K1104" i="178"/>
  <c r="M1100" i="178"/>
  <c r="K1100" i="178"/>
  <c r="M1096" i="178"/>
  <c r="K1096" i="178"/>
  <c r="M1092" i="178"/>
  <c r="K1092" i="178"/>
  <c r="M1088" i="178"/>
  <c r="K1088" i="178"/>
  <c r="M1084" i="178"/>
  <c r="K1084" i="178"/>
  <c r="M1080" i="178"/>
  <c r="K1080" i="178"/>
  <c r="M1076" i="178"/>
  <c r="K1076" i="178"/>
  <c r="M1072" i="178"/>
  <c r="K1072" i="178"/>
  <c r="M1068" i="178"/>
  <c r="K1068" i="178"/>
  <c r="M1064" i="178"/>
  <c r="K1064" i="178"/>
  <c r="M1060" i="178"/>
  <c r="K1060" i="178"/>
  <c r="M1056" i="178"/>
  <c r="K1056" i="178"/>
  <c r="M1052" i="178"/>
  <c r="K1052" i="178"/>
  <c r="M1048" i="178"/>
  <c r="K1048" i="178"/>
  <c r="M1044" i="178"/>
  <c r="K1044" i="178"/>
  <c r="M1040" i="178"/>
  <c r="K1040" i="178"/>
  <c r="M1036" i="178"/>
  <c r="K1036" i="178"/>
  <c r="M1032" i="178"/>
  <c r="K1032" i="178"/>
  <c r="M1028" i="178"/>
  <c r="K1028" i="178"/>
  <c r="M1024" i="178"/>
  <c r="K1024" i="178"/>
  <c r="M1020" i="178"/>
  <c r="K1020" i="178"/>
  <c r="M1016" i="178"/>
  <c r="K1016" i="178"/>
  <c r="M1012" i="178"/>
  <c r="K1012" i="178"/>
  <c r="M1008" i="178"/>
  <c r="K1008" i="178"/>
  <c r="M1004" i="178"/>
  <c r="K1004" i="178"/>
  <c r="M1000" i="178"/>
  <c r="K1000" i="178"/>
  <c r="M996" i="178"/>
  <c r="K996" i="178"/>
  <c r="M992" i="178"/>
  <c r="K992" i="178"/>
  <c r="M988" i="178"/>
  <c r="K988" i="178"/>
  <c r="M984" i="178"/>
  <c r="K984" i="178"/>
  <c r="M980" i="178"/>
  <c r="K980" i="178"/>
  <c r="M976" i="178"/>
  <c r="K976" i="178"/>
  <c r="M972" i="178"/>
  <c r="K972" i="178"/>
  <c r="M968" i="178"/>
  <c r="K968" i="178"/>
  <c r="M964" i="178"/>
  <c r="K964" i="178"/>
  <c r="M960" i="178"/>
  <c r="K960" i="178"/>
  <c r="M956" i="178"/>
  <c r="K956" i="178"/>
  <c r="M952" i="178"/>
  <c r="K952" i="178"/>
  <c r="M948" i="178"/>
  <c r="K948" i="178"/>
  <c r="M944" i="178"/>
  <c r="K944" i="178"/>
  <c r="M940" i="178"/>
  <c r="K940" i="178"/>
  <c r="M936" i="178"/>
  <c r="K936" i="178"/>
  <c r="M932" i="178"/>
  <c r="K932" i="178"/>
  <c r="M928" i="178"/>
  <c r="K928" i="178"/>
  <c r="M924" i="178"/>
  <c r="K924" i="178"/>
  <c r="M920" i="178"/>
  <c r="K920" i="178"/>
  <c r="M916" i="178"/>
  <c r="K916" i="178"/>
  <c r="M912" i="178"/>
  <c r="K912" i="178"/>
  <c r="M908" i="178"/>
  <c r="K908" i="178"/>
  <c r="M904" i="178"/>
  <c r="K904" i="178"/>
  <c r="M900" i="178"/>
  <c r="K900" i="178"/>
  <c r="M896" i="178"/>
  <c r="K896" i="178"/>
  <c r="M892" i="178"/>
  <c r="K892" i="178"/>
  <c r="M888" i="178"/>
  <c r="K888" i="178"/>
  <c r="M884" i="178"/>
  <c r="K884" i="178"/>
  <c r="M880" i="178"/>
  <c r="K880" i="178"/>
  <c r="M876" i="178"/>
  <c r="K876" i="178"/>
  <c r="M872" i="178"/>
  <c r="K872" i="178"/>
  <c r="M868" i="178"/>
  <c r="K868" i="178"/>
  <c r="M864" i="178"/>
  <c r="K864" i="178"/>
  <c r="M860" i="178"/>
  <c r="K860" i="178"/>
  <c r="M856" i="178"/>
  <c r="K856" i="178"/>
  <c r="M852" i="178"/>
  <c r="K852" i="178"/>
  <c r="M848" i="178"/>
  <c r="K848" i="178"/>
  <c r="M844" i="178"/>
  <c r="K844" i="178"/>
  <c r="M840" i="178"/>
  <c r="K840" i="178"/>
  <c r="M836" i="178"/>
  <c r="K836" i="178"/>
  <c r="M832" i="178"/>
  <c r="K832" i="178"/>
  <c r="M828" i="178"/>
  <c r="K828" i="178"/>
  <c r="M824" i="178"/>
  <c r="K824" i="178"/>
  <c r="M820" i="178"/>
  <c r="K820" i="178"/>
  <c r="M816" i="178"/>
  <c r="K816" i="178"/>
  <c r="M812" i="178"/>
  <c r="K812" i="178"/>
  <c r="M808" i="178"/>
  <c r="K808" i="178"/>
  <c r="M804" i="178"/>
  <c r="K804" i="178"/>
  <c r="M800" i="178"/>
  <c r="K800" i="178"/>
  <c r="M796" i="178"/>
  <c r="K796" i="178"/>
  <c r="M792" i="178"/>
  <c r="K792" i="178"/>
  <c r="M788" i="178"/>
  <c r="K788" i="178"/>
  <c r="M784" i="178"/>
  <c r="K784" i="178"/>
  <c r="M780" i="178"/>
  <c r="K780" i="178"/>
  <c r="M776" i="178"/>
  <c r="K776" i="178"/>
  <c r="M772" i="178"/>
  <c r="K772" i="178"/>
  <c r="M768" i="178"/>
  <c r="K768" i="178"/>
  <c r="M764" i="178"/>
  <c r="K764" i="178"/>
  <c r="M760" i="178"/>
  <c r="K760" i="178"/>
  <c r="M756" i="178"/>
  <c r="K756" i="178"/>
  <c r="M752" i="178"/>
  <c r="K752" i="178"/>
  <c r="M748" i="178"/>
  <c r="K748" i="178"/>
  <c r="M744" i="178"/>
  <c r="K744" i="178"/>
  <c r="M740" i="178"/>
  <c r="K740" i="178"/>
  <c r="M736" i="178"/>
  <c r="K736" i="178"/>
  <c r="M732" i="178"/>
  <c r="K732" i="178"/>
  <c r="M728" i="178"/>
  <c r="K728" i="178"/>
  <c r="M724" i="178"/>
  <c r="K724" i="178"/>
  <c r="M401" i="178"/>
  <c r="K401" i="178"/>
  <c r="M345" i="178"/>
  <c r="K345" i="178"/>
  <c r="M360" i="178"/>
  <c r="K360" i="178"/>
  <c r="M179" i="178"/>
  <c r="K179" i="178"/>
  <c r="M369" i="178"/>
  <c r="K369" i="178"/>
  <c r="M92" i="178"/>
  <c r="K92" i="178"/>
  <c r="M96" i="178"/>
  <c r="K96" i="178"/>
  <c r="M362" i="178"/>
  <c r="K362" i="178"/>
  <c r="M267" i="178"/>
  <c r="K267" i="178"/>
  <c r="M428" i="178"/>
  <c r="K428" i="178"/>
  <c r="M81" i="178"/>
  <c r="K81" i="178"/>
  <c r="M391" i="178"/>
  <c r="K391" i="178"/>
  <c r="M344" i="178"/>
  <c r="K344" i="178"/>
  <c r="M673" i="178"/>
  <c r="K673" i="178"/>
  <c r="M634" i="178"/>
  <c r="K634" i="178"/>
  <c r="M684" i="178"/>
  <c r="K684" i="178"/>
  <c r="M664" i="178"/>
  <c r="K664" i="178"/>
  <c r="M230" i="178"/>
  <c r="K230" i="178"/>
  <c r="M116" i="178"/>
  <c r="K116" i="178"/>
  <c r="M1125" i="178"/>
  <c r="K1125" i="178"/>
  <c r="M1101" i="178"/>
  <c r="K1101" i="178"/>
  <c r="M1077" i="178"/>
  <c r="K1077" i="178"/>
  <c r="M1049" i="178"/>
  <c r="K1049" i="178"/>
  <c r="M1025" i="178"/>
  <c r="K1025" i="178"/>
  <c r="M997" i="178"/>
  <c r="K997" i="178"/>
  <c r="M969" i="178"/>
  <c r="K969" i="178"/>
  <c r="M945" i="178"/>
  <c r="K945" i="178"/>
  <c r="M921" i="178"/>
  <c r="K921" i="178"/>
  <c r="M893" i="178"/>
  <c r="K893" i="178"/>
  <c r="M873" i="178"/>
  <c r="K873" i="178"/>
  <c r="M849" i="178"/>
  <c r="K849" i="178"/>
  <c r="M829" i="178"/>
  <c r="K829" i="178"/>
  <c r="M809" i="178"/>
  <c r="K809" i="178"/>
  <c r="M789" i="178"/>
  <c r="K789" i="178"/>
  <c r="M769" i="178"/>
  <c r="K769" i="178"/>
  <c r="M745" i="178"/>
  <c r="K745" i="178"/>
  <c r="M721" i="178"/>
  <c r="K721" i="178"/>
  <c r="M709" i="178"/>
  <c r="K709" i="178"/>
  <c r="M293" i="178"/>
  <c r="K293" i="178"/>
  <c r="M83" i="178"/>
  <c r="K83" i="178"/>
  <c r="M589" i="178"/>
  <c r="K589" i="178"/>
  <c r="M696" i="178"/>
  <c r="K696" i="178"/>
  <c r="M1129" i="178"/>
  <c r="K1129" i="178"/>
  <c r="M1121" i="178"/>
  <c r="K1121" i="178"/>
  <c r="M1093" i="178"/>
  <c r="K1093" i="178"/>
  <c r="M1065" i="178"/>
  <c r="K1065" i="178"/>
  <c r="M1041" i="178"/>
  <c r="K1041" i="178"/>
  <c r="M1017" i="178"/>
  <c r="K1017" i="178"/>
  <c r="M993" i="178"/>
  <c r="K993" i="178"/>
  <c r="M961" i="178"/>
  <c r="K961" i="178"/>
  <c r="M929" i="178"/>
  <c r="K929" i="178"/>
  <c r="M901" i="178"/>
  <c r="K901" i="178"/>
  <c r="M877" i="178"/>
  <c r="K877" i="178"/>
  <c r="M857" i="178"/>
  <c r="K857" i="178"/>
  <c r="M837" i="178"/>
  <c r="K837" i="178"/>
  <c r="M817" i="178"/>
  <c r="K817" i="178"/>
  <c r="M785" i="178"/>
  <c r="K785" i="178"/>
  <c r="M761" i="178"/>
  <c r="K761" i="178"/>
  <c r="M733" i="178"/>
  <c r="K733" i="178"/>
  <c r="M383" i="178"/>
  <c r="K383" i="178"/>
  <c r="M41" i="178"/>
  <c r="K41" i="178"/>
  <c r="M47" i="178"/>
  <c r="K47" i="178"/>
  <c r="M395" i="178"/>
  <c r="K395" i="178"/>
  <c r="M676" i="178"/>
  <c r="K676" i="178"/>
  <c r="M1127" i="178"/>
  <c r="K1127" i="178"/>
  <c r="M1123" i="178"/>
  <c r="K1123" i="178"/>
  <c r="M1119" i="178"/>
  <c r="K1119" i="178"/>
  <c r="M1115" i="178"/>
  <c r="K1115" i="178"/>
  <c r="M1111" i="178"/>
  <c r="K1111" i="178"/>
  <c r="M1107" i="178"/>
  <c r="K1107" i="178"/>
  <c r="M1103" i="178"/>
  <c r="K1103" i="178"/>
  <c r="M1099" i="178"/>
  <c r="K1099" i="178"/>
  <c r="M1095" i="178"/>
  <c r="K1095" i="178"/>
  <c r="M1091" i="178"/>
  <c r="K1091" i="178"/>
  <c r="M1087" i="178"/>
  <c r="K1087" i="178"/>
  <c r="M1083" i="178"/>
  <c r="K1083" i="178"/>
  <c r="M1079" i="178"/>
  <c r="K1079" i="178"/>
  <c r="M1075" i="178"/>
  <c r="K1075" i="178"/>
  <c r="M1071" i="178"/>
  <c r="K1071" i="178"/>
  <c r="M1067" i="178"/>
  <c r="K1067" i="178"/>
  <c r="M1063" i="178"/>
  <c r="K1063" i="178"/>
  <c r="M1059" i="178"/>
  <c r="K1059" i="178"/>
  <c r="M1055" i="178"/>
  <c r="K1055" i="178"/>
  <c r="M1051" i="178"/>
  <c r="K1051" i="178"/>
  <c r="M1047" i="178"/>
  <c r="K1047" i="178"/>
  <c r="M1043" i="178"/>
  <c r="K1043" i="178"/>
  <c r="M1039" i="178"/>
  <c r="K1039" i="178"/>
  <c r="M1035" i="178"/>
  <c r="K1035" i="178"/>
  <c r="M1031" i="178"/>
  <c r="K1031" i="178"/>
  <c r="M1027" i="178"/>
  <c r="K1027" i="178"/>
  <c r="M1023" i="178"/>
  <c r="K1023" i="178"/>
  <c r="M1019" i="178"/>
  <c r="K1019" i="178"/>
  <c r="M1015" i="178"/>
  <c r="K1015" i="178"/>
  <c r="M1011" i="178"/>
  <c r="K1011" i="178"/>
  <c r="M1007" i="178"/>
  <c r="K1007" i="178"/>
  <c r="M1003" i="178"/>
  <c r="K1003" i="178"/>
  <c r="M999" i="178"/>
  <c r="K999" i="178"/>
  <c r="M995" i="178"/>
  <c r="K995" i="178"/>
  <c r="M991" i="178"/>
  <c r="K991" i="178"/>
  <c r="M987" i="178"/>
  <c r="K987" i="178"/>
  <c r="M983" i="178"/>
  <c r="K983" i="178"/>
  <c r="M979" i="178"/>
  <c r="K979" i="178"/>
  <c r="M975" i="178"/>
  <c r="K975" i="178"/>
  <c r="M971" i="178"/>
  <c r="K971" i="178"/>
  <c r="M967" i="178"/>
  <c r="K967" i="178"/>
  <c r="M963" i="178"/>
  <c r="K963" i="178"/>
  <c r="M959" i="178"/>
  <c r="K959" i="178"/>
  <c r="M955" i="178"/>
  <c r="K955" i="178"/>
  <c r="M951" i="178"/>
  <c r="K951" i="178"/>
  <c r="M947" i="178"/>
  <c r="K947" i="178"/>
  <c r="M943" i="178"/>
  <c r="K943" i="178"/>
  <c r="M939" i="178"/>
  <c r="K939" i="178"/>
  <c r="M935" i="178"/>
  <c r="K935" i="178"/>
  <c r="M931" i="178"/>
  <c r="K931" i="178"/>
  <c r="M927" i="178"/>
  <c r="K927" i="178"/>
  <c r="M923" i="178"/>
  <c r="K923" i="178"/>
  <c r="M919" i="178"/>
  <c r="K919" i="178"/>
  <c r="M915" i="178"/>
  <c r="K915" i="178"/>
  <c r="M911" i="178"/>
  <c r="K911" i="178"/>
  <c r="M907" i="178"/>
  <c r="K907" i="178"/>
  <c r="M903" i="178"/>
  <c r="K903" i="178"/>
  <c r="M899" i="178"/>
  <c r="K899" i="178"/>
  <c r="M895" i="178"/>
  <c r="K895" i="178"/>
  <c r="M891" i="178"/>
  <c r="K891" i="178"/>
  <c r="M887" i="178"/>
  <c r="K887" i="178"/>
  <c r="M883" i="178"/>
  <c r="K883" i="178"/>
  <c r="M879" i="178"/>
  <c r="K879" i="178"/>
  <c r="M875" i="178"/>
  <c r="K875" i="178"/>
  <c r="M871" i="178"/>
  <c r="K871" i="178"/>
  <c r="M867" i="178"/>
  <c r="K867" i="178"/>
  <c r="M863" i="178"/>
  <c r="K863" i="178"/>
  <c r="M859" i="178"/>
  <c r="K859" i="178"/>
  <c r="M855" i="178"/>
  <c r="K855" i="178"/>
  <c r="M851" i="178"/>
  <c r="K851" i="178"/>
  <c r="M847" i="178"/>
  <c r="K847" i="178"/>
  <c r="M843" i="178"/>
  <c r="K843" i="178"/>
  <c r="M839" i="178"/>
  <c r="K839" i="178"/>
  <c r="M835" i="178"/>
  <c r="K835" i="178"/>
  <c r="M831" i="178"/>
  <c r="K831" i="178"/>
  <c r="M827" i="178"/>
  <c r="K827" i="178"/>
  <c r="M823" i="178"/>
  <c r="K823" i="178"/>
  <c r="M819" i="178"/>
  <c r="K819" i="178"/>
  <c r="M815" i="178"/>
  <c r="K815" i="178"/>
  <c r="M811" i="178"/>
  <c r="K811" i="178"/>
  <c r="M807" i="178"/>
  <c r="K807" i="178"/>
  <c r="M803" i="178"/>
  <c r="K803" i="178"/>
  <c r="M799" i="178"/>
  <c r="K799" i="178"/>
  <c r="M795" i="178"/>
  <c r="K795" i="178"/>
  <c r="M791" i="178"/>
  <c r="K791" i="178"/>
  <c r="M787" i="178"/>
  <c r="K787" i="178"/>
  <c r="M783" i="178"/>
  <c r="K783" i="178"/>
  <c r="M779" i="178"/>
  <c r="K779" i="178"/>
  <c r="M775" i="178"/>
  <c r="K775" i="178"/>
  <c r="M771" i="178"/>
  <c r="K771" i="178"/>
  <c r="M767" i="178"/>
  <c r="K767" i="178"/>
  <c r="M763" i="178"/>
  <c r="K763" i="178"/>
  <c r="M759" i="178"/>
  <c r="K759" i="178"/>
  <c r="M755" i="178"/>
  <c r="K755" i="178"/>
  <c r="M751" i="178"/>
  <c r="K751" i="178"/>
  <c r="M747" i="178"/>
  <c r="K747" i="178"/>
  <c r="M743" i="178"/>
  <c r="K743" i="178"/>
  <c r="M739" i="178"/>
  <c r="K739" i="178"/>
  <c r="M735" i="178"/>
  <c r="K735" i="178"/>
  <c r="M731" i="178"/>
  <c r="K731" i="178"/>
  <c r="M727" i="178"/>
  <c r="K727" i="178"/>
  <c r="M723" i="178"/>
  <c r="K723" i="178"/>
  <c r="M377" i="178"/>
  <c r="K377" i="178"/>
  <c r="M349" i="178"/>
  <c r="K349" i="178"/>
  <c r="M300" i="178"/>
  <c r="K300" i="178"/>
  <c r="M715" i="178"/>
  <c r="K715" i="178"/>
  <c r="M702" i="178"/>
  <c r="K702" i="178"/>
  <c r="M688" i="178"/>
  <c r="K688" i="178"/>
  <c r="M699" i="178"/>
  <c r="K699" i="178"/>
  <c r="M173" i="178"/>
  <c r="K173" i="178"/>
  <c r="M648" i="178"/>
  <c r="K648" i="178"/>
  <c r="M698" i="178"/>
  <c r="K698" i="178"/>
  <c r="M677" i="178"/>
  <c r="K677" i="178"/>
  <c r="M669" i="178"/>
  <c r="K669" i="178"/>
  <c r="M666" i="178"/>
  <c r="K666" i="178"/>
  <c r="M663" i="178"/>
  <c r="K663" i="178"/>
  <c r="M227" i="178"/>
  <c r="K227" i="178"/>
  <c r="M1105" i="178"/>
  <c r="K1105" i="178"/>
  <c r="M1081" i="178"/>
  <c r="K1081" i="178"/>
  <c r="M1053" i="178"/>
  <c r="K1053" i="178"/>
  <c r="M1033" i="178"/>
  <c r="K1033" i="178"/>
  <c r="M1005" i="178"/>
  <c r="K1005" i="178"/>
  <c r="M973" i="178"/>
  <c r="K973" i="178"/>
  <c r="M949" i="178"/>
  <c r="K949" i="178"/>
  <c r="M933" i="178"/>
  <c r="K933" i="178"/>
  <c r="M913" i="178"/>
  <c r="K913" i="178"/>
  <c r="M885" i="178"/>
  <c r="K885" i="178"/>
  <c r="M853" i="178"/>
  <c r="K853" i="178"/>
  <c r="M749" i="178"/>
  <c r="K749" i="178"/>
  <c r="M1109" i="178"/>
  <c r="K1109" i="178"/>
  <c r="M1073" i="178"/>
  <c r="K1073" i="178"/>
  <c r="M1045" i="178"/>
  <c r="K1045" i="178"/>
  <c r="M1021" i="178"/>
  <c r="K1021" i="178"/>
  <c r="M1001" i="178"/>
  <c r="K1001" i="178"/>
  <c r="M981" i="178"/>
  <c r="K981" i="178"/>
  <c r="M953" i="178"/>
  <c r="K953" i="178"/>
  <c r="M925" i="178"/>
  <c r="K925" i="178"/>
  <c r="M897" i="178"/>
  <c r="K897" i="178"/>
  <c r="M861" i="178"/>
  <c r="K861" i="178"/>
  <c r="M765" i="178"/>
  <c r="K765" i="178"/>
  <c r="M1126" i="178"/>
  <c r="K1126" i="178"/>
  <c r="M1122" i="178"/>
  <c r="K1122" i="178"/>
  <c r="M1118" i="178"/>
  <c r="K1118" i="178"/>
  <c r="M1114" i="178"/>
  <c r="K1114" i="178"/>
  <c r="M1110" i="178"/>
  <c r="K1110" i="178"/>
  <c r="M1106" i="178"/>
  <c r="K1106" i="178"/>
  <c r="M1102" i="178"/>
  <c r="K1102" i="178"/>
  <c r="M1098" i="178"/>
  <c r="K1098" i="178"/>
  <c r="M1094" i="178"/>
  <c r="K1094" i="178"/>
  <c r="M1090" i="178"/>
  <c r="K1090" i="178"/>
  <c r="M1086" i="178"/>
  <c r="K1086" i="178"/>
  <c r="M1082" i="178"/>
  <c r="K1082" i="178"/>
  <c r="M1078" i="178"/>
  <c r="K1078" i="178"/>
  <c r="M1074" i="178"/>
  <c r="K1074" i="178"/>
  <c r="M1070" i="178"/>
  <c r="K1070" i="178"/>
  <c r="M1066" i="178"/>
  <c r="K1066" i="178"/>
  <c r="M1062" i="178"/>
  <c r="K1062" i="178"/>
  <c r="M1058" i="178"/>
  <c r="K1058" i="178"/>
  <c r="M1054" i="178"/>
  <c r="K1054" i="178"/>
  <c r="M1050" i="178"/>
  <c r="K1050" i="178"/>
  <c r="M1046" i="178"/>
  <c r="K1046" i="178"/>
  <c r="M1042" i="178"/>
  <c r="K1042" i="178"/>
  <c r="M1038" i="178"/>
  <c r="K1038" i="178"/>
  <c r="M1034" i="178"/>
  <c r="K1034" i="178"/>
  <c r="M1030" i="178"/>
  <c r="K1030" i="178"/>
  <c r="M1026" i="178"/>
  <c r="K1026" i="178"/>
  <c r="M1022" i="178"/>
  <c r="K1022" i="178"/>
  <c r="M1018" i="178"/>
  <c r="K1018" i="178"/>
  <c r="M1014" i="178"/>
  <c r="K1014" i="178"/>
  <c r="M1010" i="178"/>
  <c r="K1010" i="178"/>
  <c r="M1006" i="178"/>
  <c r="K1006" i="178"/>
  <c r="M1002" i="178"/>
  <c r="K1002" i="178"/>
  <c r="M998" i="178"/>
  <c r="K998" i="178"/>
  <c r="M994" i="178"/>
  <c r="K994" i="178"/>
  <c r="M990" i="178"/>
  <c r="K990" i="178"/>
  <c r="M986" i="178"/>
  <c r="K986" i="178"/>
  <c r="M982" i="178"/>
  <c r="K982" i="178"/>
  <c r="M978" i="178"/>
  <c r="K978" i="178"/>
  <c r="M974" i="178"/>
  <c r="K974" i="178"/>
  <c r="M970" i="178"/>
  <c r="K970" i="178"/>
  <c r="M966" i="178"/>
  <c r="K966" i="178"/>
  <c r="M962" i="178"/>
  <c r="K962" i="178"/>
  <c r="M958" i="178"/>
  <c r="K958" i="178"/>
  <c r="M954" i="178"/>
  <c r="K954" i="178"/>
  <c r="M950" i="178"/>
  <c r="K950" i="178"/>
  <c r="M946" i="178"/>
  <c r="K946" i="178"/>
  <c r="M942" i="178"/>
  <c r="K942" i="178"/>
  <c r="M938" i="178"/>
  <c r="K938" i="178"/>
  <c r="M934" i="178"/>
  <c r="K934" i="178"/>
  <c r="M930" i="178"/>
  <c r="K930" i="178"/>
  <c r="M926" i="178"/>
  <c r="K926" i="178"/>
  <c r="M922" i="178"/>
  <c r="K922" i="178"/>
  <c r="M918" i="178"/>
  <c r="K918" i="178"/>
  <c r="M914" i="178"/>
  <c r="K914" i="178"/>
  <c r="M910" i="178"/>
  <c r="K910" i="178"/>
  <c r="M906" i="178"/>
  <c r="K906" i="178"/>
  <c r="M902" i="178"/>
  <c r="K902" i="178"/>
  <c r="M898" i="178"/>
  <c r="K898" i="178"/>
  <c r="M894" i="178"/>
  <c r="K894" i="178"/>
  <c r="M890" i="178"/>
  <c r="K890" i="178"/>
  <c r="M886" i="178"/>
  <c r="K886" i="178"/>
  <c r="M882" i="178"/>
  <c r="K882" i="178"/>
  <c r="M878" i="178"/>
  <c r="K878" i="178"/>
  <c r="M874" i="178"/>
  <c r="K874" i="178"/>
  <c r="M870" i="178"/>
  <c r="K870" i="178"/>
  <c r="M866" i="178"/>
  <c r="K866" i="178"/>
  <c r="M862" i="178"/>
  <c r="K862" i="178"/>
  <c r="M858" i="178"/>
  <c r="K858" i="178"/>
  <c r="M854" i="178"/>
  <c r="K854" i="178"/>
  <c r="M850" i="178"/>
  <c r="K850" i="178"/>
  <c r="M846" i="178"/>
  <c r="K846" i="178"/>
  <c r="M842" i="178"/>
  <c r="K842" i="178"/>
  <c r="M838" i="178"/>
  <c r="K838" i="178"/>
  <c r="M834" i="178"/>
  <c r="K834" i="178"/>
  <c r="M830" i="178"/>
  <c r="K830" i="178"/>
  <c r="M826" i="178"/>
  <c r="K826" i="178"/>
  <c r="M822" i="178"/>
  <c r="K822" i="178"/>
  <c r="M818" i="178"/>
  <c r="K818" i="178"/>
  <c r="M814" i="178"/>
  <c r="K814" i="178"/>
  <c r="M810" i="178"/>
  <c r="K810" i="178"/>
  <c r="M806" i="178"/>
  <c r="K806" i="178"/>
  <c r="M802" i="178"/>
  <c r="K802" i="178"/>
  <c r="M798" i="178"/>
  <c r="K798" i="178"/>
  <c r="M794" i="178"/>
  <c r="K794" i="178"/>
  <c r="M790" i="178"/>
  <c r="K790" i="178"/>
  <c r="M786" i="178"/>
  <c r="K786" i="178"/>
  <c r="M782" i="178"/>
  <c r="K782" i="178"/>
  <c r="M778" i="178"/>
  <c r="K778" i="178"/>
  <c r="M774" i="178"/>
  <c r="K774" i="178"/>
  <c r="M770" i="178"/>
  <c r="K770" i="178"/>
  <c r="M766" i="178"/>
  <c r="K766" i="178"/>
  <c r="M762" i="178"/>
  <c r="K762" i="178"/>
  <c r="M758" i="178"/>
  <c r="K758" i="178"/>
  <c r="M754" i="178"/>
  <c r="K754" i="178"/>
  <c r="M750" i="178"/>
  <c r="K750" i="178"/>
  <c r="M746" i="178"/>
  <c r="K746" i="178"/>
  <c r="M742" i="178"/>
  <c r="K742" i="178"/>
  <c r="M738" i="178"/>
  <c r="K738" i="178"/>
  <c r="M734" i="178"/>
  <c r="K734" i="178"/>
  <c r="M730" i="178"/>
  <c r="K730" i="178"/>
  <c r="M726" i="178"/>
  <c r="K726" i="178"/>
  <c r="M722" i="178"/>
  <c r="K722" i="178"/>
  <c r="M718" i="178"/>
  <c r="K718" i="178"/>
  <c r="M400" i="178"/>
  <c r="K400" i="178"/>
  <c r="M714" i="178"/>
  <c r="K714" i="178"/>
  <c r="M399" i="178"/>
  <c r="K399" i="178"/>
  <c r="M624" i="178"/>
  <c r="K624" i="178"/>
  <c r="M716" i="178"/>
  <c r="K716" i="178"/>
  <c r="M49" i="178"/>
  <c r="K49" i="178"/>
  <c r="M397" i="178"/>
  <c r="K397" i="178"/>
  <c r="M247" i="178"/>
  <c r="K247" i="178"/>
  <c r="M91" i="178"/>
  <c r="K91" i="178"/>
  <c r="M598" i="178"/>
  <c r="K598" i="178"/>
  <c r="M392" i="178"/>
  <c r="K392" i="178"/>
  <c r="M587" i="178"/>
  <c r="K587" i="178"/>
  <c r="M668" i="178"/>
  <c r="K668" i="178"/>
  <c r="M665" i="178"/>
  <c r="K665" i="178"/>
  <c r="M646" i="178"/>
  <c r="K646" i="178"/>
  <c r="B407" i="178"/>
  <c r="B697" i="178"/>
  <c r="B413" i="178"/>
  <c r="B416" i="178"/>
  <c r="B419" i="178"/>
  <c r="B517" i="178"/>
  <c r="B425" i="178"/>
  <c r="B430" i="178"/>
  <c r="B433" i="178"/>
  <c r="B438" i="178"/>
  <c r="B161" i="178"/>
  <c r="B176" i="178"/>
  <c r="B181" i="178"/>
  <c r="B456" i="178"/>
  <c r="B571" i="178"/>
  <c r="B581" i="178"/>
  <c r="B560" i="178"/>
  <c r="B418" i="178"/>
  <c r="B708" i="178"/>
  <c r="B474" i="178"/>
  <c r="B639" i="178"/>
  <c r="B135" i="178"/>
  <c r="B212" i="178"/>
  <c r="B501" i="178"/>
  <c r="B169" i="178"/>
  <c r="B76" i="178"/>
  <c r="B255" i="178"/>
  <c r="B559" i="178"/>
  <c r="B531" i="178"/>
  <c r="B539" i="178"/>
  <c r="B543" i="178"/>
  <c r="B599" i="178"/>
  <c r="B507" i="178"/>
  <c r="B285" i="178"/>
  <c r="B220" i="178"/>
  <c r="B569" i="178"/>
  <c r="B700" i="178"/>
  <c r="B580" i="178"/>
  <c r="B342" i="178"/>
  <c r="B443" i="178"/>
  <c r="B137" i="178"/>
  <c r="B546" i="178"/>
  <c r="B484" i="178"/>
  <c r="B572" i="178"/>
  <c r="B608" i="178"/>
  <c r="B622" i="178"/>
  <c r="B82" i="178"/>
  <c r="B347" i="178"/>
  <c r="B653" i="178"/>
  <c r="B650" i="178"/>
  <c r="B656" i="178"/>
  <c r="B555" i="178"/>
  <c r="B636" i="178"/>
  <c r="B712" i="178"/>
  <c r="B620" i="178"/>
  <c r="B514" i="178"/>
  <c r="B651" i="178"/>
  <c r="B489" i="178"/>
  <c r="B350" i="178"/>
  <c r="B288" i="178"/>
  <c r="B390" i="178"/>
  <c r="A407" i="178"/>
  <c r="A408" i="178"/>
  <c r="B408" i="178"/>
  <c r="A409" i="178"/>
  <c r="B409" i="178"/>
  <c r="A697" i="178"/>
  <c r="A411" i="178"/>
  <c r="B411" i="178"/>
  <c r="A412" i="178"/>
  <c r="B412" i="178"/>
  <c r="A413" i="178"/>
  <c r="A414" i="178"/>
  <c r="B414" i="178"/>
  <c r="A124" i="178"/>
  <c r="B124" i="178"/>
  <c r="A415" i="178"/>
  <c r="B415" i="178"/>
  <c r="A38" i="178"/>
  <c r="B38" i="178"/>
  <c r="A416" i="178"/>
  <c r="A417" i="178"/>
  <c r="B417" i="178"/>
  <c r="A419" i="178"/>
  <c r="A324" i="178"/>
  <c r="B324" i="178"/>
  <c r="A670" i="178"/>
  <c r="B670" i="178"/>
  <c r="A422" i="178"/>
  <c r="B422" i="178"/>
  <c r="A517" i="178"/>
  <c r="A424" i="178"/>
  <c r="B424" i="178"/>
  <c r="A425" i="178"/>
  <c r="A494" i="178"/>
  <c r="B494" i="178"/>
  <c r="A427" i="178"/>
  <c r="B427" i="178"/>
  <c r="A516" i="178"/>
  <c r="B516" i="178"/>
  <c r="A330" i="178"/>
  <c r="B330" i="178"/>
  <c r="A430" i="178"/>
  <c r="A431" i="178"/>
  <c r="B431" i="178"/>
  <c r="A432" i="178"/>
  <c r="B432" i="178"/>
  <c r="A433" i="178"/>
  <c r="A434" i="178"/>
  <c r="B434" i="178"/>
  <c r="A435" i="178"/>
  <c r="B435" i="178"/>
  <c r="A423" i="178"/>
  <c r="B423" i="178"/>
  <c r="A462" i="178"/>
  <c r="B462" i="178"/>
  <c r="A445" i="178"/>
  <c r="B445" i="178"/>
  <c r="A438" i="178"/>
  <c r="A577" i="178"/>
  <c r="B577" i="178"/>
  <c r="A625" i="178"/>
  <c r="B625" i="178"/>
  <c r="A268" i="178"/>
  <c r="B268" i="178"/>
  <c r="A28" i="178"/>
  <c r="B28" i="178"/>
  <c r="A161" i="178"/>
  <c r="A175" i="178"/>
  <c r="B175" i="178"/>
  <c r="A264" i="178"/>
  <c r="B264" i="178"/>
  <c r="A176" i="178"/>
  <c r="A321" i="178"/>
  <c r="B321" i="178"/>
  <c r="A436" i="178"/>
  <c r="B436" i="178"/>
  <c r="A437" i="178"/>
  <c r="B437" i="178"/>
  <c r="A322" i="178"/>
  <c r="B322" i="178"/>
  <c r="A498" i="178"/>
  <c r="B498" i="178"/>
  <c r="A181" i="178"/>
  <c r="A483" i="178"/>
  <c r="B483" i="178"/>
  <c r="A485" i="178"/>
  <c r="B485" i="178"/>
  <c r="A188" i="178"/>
  <c r="B188" i="178"/>
  <c r="A205" i="178"/>
  <c r="B205" i="178"/>
  <c r="A449" i="178"/>
  <c r="B449" i="178"/>
  <c r="A257" i="178"/>
  <c r="B257" i="178"/>
  <c r="A215" i="178"/>
  <c r="B215" i="178"/>
  <c r="A358" i="178"/>
  <c r="B358" i="178"/>
  <c r="A453" i="178"/>
  <c r="B453" i="178"/>
  <c r="A454" i="178"/>
  <c r="B454" i="178"/>
  <c r="A455" i="178"/>
  <c r="B455" i="178"/>
  <c r="A456" i="178"/>
  <c r="A680" i="178"/>
  <c r="B680" i="178"/>
  <c r="A613" i="178"/>
  <c r="B613" i="178"/>
  <c r="A571" i="178"/>
  <c r="A579" i="178"/>
  <c r="B579" i="178"/>
  <c r="A89" i="178"/>
  <c r="B89" i="178"/>
  <c r="A581" i="178"/>
  <c r="A582" i="178"/>
  <c r="B582" i="178"/>
  <c r="A692" i="178"/>
  <c r="B692" i="178"/>
  <c r="A719" i="178"/>
  <c r="B719" i="178"/>
  <c r="A720" i="178"/>
  <c r="B720" i="178"/>
  <c r="A560" i="178"/>
  <c r="A402" i="178"/>
  <c r="B402" i="178"/>
  <c r="A410" i="178"/>
  <c r="B410" i="178"/>
  <c r="A418" i="178"/>
  <c r="A420" i="178"/>
  <c r="B420" i="178"/>
  <c r="A421" i="178"/>
  <c r="B421" i="178"/>
  <c r="A477" i="178"/>
  <c r="B477" i="178"/>
  <c r="A703" i="178"/>
  <c r="B703" i="178"/>
  <c r="A708" i="178"/>
  <c r="A710" i="178"/>
  <c r="B710" i="178"/>
  <c r="A711" i="178"/>
  <c r="B711" i="178"/>
  <c r="A474" i="178"/>
  <c r="A475" i="178"/>
  <c r="B475" i="178"/>
  <c r="A476" i="178"/>
  <c r="B476" i="178"/>
  <c r="A541" i="178"/>
  <c r="B541" i="178"/>
  <c r="A639" i="178"/>
  <c r="A644" i="178"/>
  <c r="B644" i="178"/>
  <c r="A576" i="178"/>
  <c r="B576" i="178"/>
  <c r="A135" i="178"/>
  <c r="A334" i="178"/>
  <c r="B334" i="178"/>
  <c r="A212" i="178"/>
  <c r="A457" i="178"/>
  <c r="B457" i="178"/>
  <c r="A497" i="178"/>
  <c r="B497" i="178"/>
  <c r="A155" i="178"/>
  <c r="B155" i="178"/>
  <c r="A240" i="178"/>
  <c r="B240" i="178"/>
  <c r="A500" i="178"/>
  <c r="B500" i="178"/>
  <c r="A501" i="178"/>
  <c r="A160" i="178"/>
  <c r="B160" i="178"/>
  <c r="A242" i="178"/>
  <c r="B242" i="178"/>
  <c r="A504" i="178"/>
  <c r="B504" i="178"/>
  <c r="A505" i="178"/>
  <c r="B505" i="178"/>
  <c r="A166" i="178"/>
  <c r="B166" i="178"/>
  <c r="A245" i="178"/>
  <c r="B245" i="178"/>
  <c r="A508" i="178"/>
  <c r="B508" i="178"/>
  <c r="A169" i="178"/>
  <c r="A510" i="178"/>
  <c r="B510" i="178"/>
  <c r="A511" i="178"/>
  <c r="B511" i="178"/>
  <c r="A512" i="178"/>
  <c r="B512" i="178"/>
  <c r="A513" i="178"/>
  <c r="B513" i="178"/>
  <c r="A561" i="178"/>
  <c r="B561" i="178"/>
  <c r="A70" i="178"/>
  <c r="B70" i="178"/>
  <c r="A72" i="178"/>
  <c r="B72" i="178"/>
  <c r="A76" i="178"/>
  <c r="A87" i="178"/>
  <c r="B87" i="178"/>
  <c r="A252" i="178"/>
  <c r="B252" i="178"/>
  <c r="A253" i="178"/>
  <c r="B253" i="178"/>
  <c r="A254" i="178"/>
  <c r="B254" i="178"/>
  <c r="A255" i="178"/>
  <c r="A522" i="178"/>
  <c r="B522" i="178"/>
  <c r="A705" i="178"/>
  <c r="B705" i="178"/>
  <c r="A64" i="178"/>
  <c r="B64" i="178"/>
  <c r="A526" i="178"/>
  <c r="B526" i="178"/>
  <c r="A527" i="178"/>
  <c r="B527" i="178"/>
  <c r="A68" i="178"/>
  <c r="B68" i="178"/>
  <c r="A559" i="178"/>
  <c r="A529" i="178"/>
  <c r="B529" i="178"/>
  <c r="A531" i="178"/>
  <c r="A532" i="178"/>
  <c r="B532" i="178"/>
  <c r="A26" i="178"/>
  <c r="B26" i="178"/>
  <c r="A439" i="178"/>
  <c r="B439" i="178"/>
  <c r="A441" i="178"/>
  <c r="B441" i="178"/>
  <c r="A538" i="178"/>
  <c r="B538" i="178"/>
  <c r="A539" i="178"/>
  <c r="A34" i="178"/>
  <c r="B34" i="178"/>
  <c r="A37" i="178"/>
  <c r="B37" i="178"/>
  <c r="A564" i="178"/>
  <c r="B564" i="178"/>
  <c r="A562" i="178"/>
  <c r="B562" i="178"/>
  <c r="A543" i="178"/>
  <c r="A545" i="178"/>
  <c r="B545" i="178"/>
  <c r="A599" i="178"/>
  <c r="A602" i="178"/>
  <c r="B602" i="178"/>
  <c r="A603" i="178"/>
  <c r="B603" i="178"/>
  <c r="A610" i="178"/>
  <c r="B610" i="178"/>
  <c r="A550" i="178"/>
  <c r="B550" i="178"/>
  <c r="A551" i="178"/>
  <c r="B551" i="178"/>
  <c r="A552" i="178"/>
  <c r="B552" i="178"/>
  <c r="A553" i="178"/>
  <c r="B553" i="178"/>
  <c r="A507" i="178"/>
  <c r="A323" i="178"/>
  <c r="B323" i="178"/>
  <c r="A503" i="178"/>
  <c r="B503" i="178"/>
  <c r="A113" i="178"/>
  <c r="B113" i="178"/>
  <c r="A655" i="178"/>
  <c r="B655" i="178"/>
  <c r="A314" i="178"/>
  <c r="B314" i="178"/>
  <c r="A125" i="178"/>
  <c r="B125" i="178"/>
  <c r="A272" i="178"/>
  <c r="B272" i="178"/>
  <c r="A285" i="178"/>
  <c r="A290" i="178"/>
  <c r="B290" i="178"/>
  <c r="A563" i="178"/>
  <c r="B563" i="178"/>
  <c r="A220" i="178"/>
  <c r="A565" i="178"/>
  <c r="B565" i="178"/>
  <c r="A566" i="178"/>
  <c r="B566" i="178"/>
  <c r="A440" i="178"/>
  <c r="B440" i="178"/>
  <c r="A568" i="178"/>
  <c r="B568" i="178"/>
  <c r="A569" i="178"/>
  <c r="A570" i="178"/>
  <c r="B570" i="178"/>
  <c r="A305" i="178"/>
  <c r="B305" i="178"/>
  <c r="A700" i="178"/>
  <c r="A573" i="178"/>
  <c r="B573" i="178"/>
  <c r="A575" i="178"/>
  <c r="B575" i="178"/>
  <c r="A491" i="178"/>
  <c r="B491" i="178"/>
  <c r="A583" i="178"/>
  <c r="B583" i="178"/>
  <c r="A487" i="178"/>
  <c r="B487" i="178"/>
  <c r="A536" i="178"/>
  <c r="B536" i="178"/>
  <c r="A580" i="178"/>
  <c r="A534" i="178"/>
  <c r="B534" i="178"/>
  <c r="A342" i="178"/>
  <c r="A584" i="178"/>
  <c r="B584" i="178"/>
  <c r="A585" i="178"/>
  <c r="B585" i="178"/>
  <c r="A371" i="178"/>
  <c r="B371" i="178"/>
  <c r="A472" i="178"/>
  <c r="B472" i="178"/>
  <c r="A443" i="178"/>
  <c r="A609" i="178"/>
  <c r="B609" i="178"/>
  <c r="A607" i="178"/>
  <c r="B607" i="178"/>
  <c r="A177" i="178"/>
  <c r="B177" i="178"/>
  <c r="A25" i="178"/>
  <c r="B25" i="178"/>
  <c r="A495" i="178"/>
  <c r="B495" i="178"/>
  <c r="A134" i="178"/>
  <c r="B134" i="178"/>
  <c r="A287" i="178"/>
  <c r="B287" i="178"/>
  <c r="A343" i="178"/>
  <c r="B343" i="178"/>
  <c r="A137" i="178"/>
  <c r="A615" i="178"/>
  <c r="B615" i="178"/>
  <c r="A614" i="178"/>
  <c r="B614" i="178"/>
  <c r="A546" i="178"/>
  <c r="A606" i="178"/>
  <c r="B606" i="178"/>
  <c r="A604" i="178"/>
  <c r="B604" i="178"/>
  <c r="A600" i="178"/>
  <c r="B600" i="178"/>
  <c r="A488" i="178"/>
  <c r="B488" i="178"/>
  <c r="A379" i="178"/>
  <c r="B379" i="178"/>
  <c r="A384" i="178"/>
  <c r="B384" i="178"/>
  <c r="A478" i="178"/>
  <c r="B478" i="178"/>
  <c r="A484" i="178"/>
  <c r="A617" i="178"/>
  <c r="B617" i="178"/>
  <c r="A572" i="178"/>
  <c r="A594" i="178"/>
  <c r="B594" i="178"/>
  <c r="A593" i="178"/>
  <c r="B593" i="178"/>
  <c r="A518" i="178"/>
  <c r="B518" i="178"/>
  <c r="A262" i="178"/>
  <c r="B262" i="178"/>
  <c r="A592" i="178"/>
  <c r="B592" i="178"/>
  <c r="A608" i="178"/>
  <c r="A619" i="178"/>
  <c r="B619" i="178"/>
  <c r="A631" i="178"/>
  <c r="B631" i="178"/>
  <c r="A595" i="178"/>
  <c r="B595" i="178"/>
  <c r="A623" i="178"/>
  <c r="B623" i="178"/>
  <c r="A622" i="178"/>
  <c r="A635" i="178"/>
  <c r="B635" i="178"/>
  <c r="A633" i="178"/>
  <c r="B633" i="178"/>
  <c r="A586" i="178"/>
  <c r="B586" i="178"/>
  <c r="A82" i="178"/>
  <c r="A637" i="178"/>
  <c r="B637" i="178"/>
  <c r="A521" i="178"/>
  <c r="B521" i="178"/>
  <c r="A378" i="178"/>
  <c r="B378" i="178"/>
  <c r="A638" i="178"/>
  <c r="B638" i="178"/>
  <c r="A642" i="178"/>
  <c r="B642" i="178"/>
  <c r="A347" i="178"/>
  <c r="A643" i="178"/>
  <c r="B643" i="178"/>
  <c r="A241" i="178"/>
  <c r="B241" i="178"/>
  <c r="A389" i="178"/>
  <c r="B389" i="178"/>
  <c r="A653" i="178"/>
  <c r="A650" i="178"/>
  <c r="A656" i="178"/>
  <c r="A683" i="178"/>
  <c r="B683" i="178"/>
  <c r="A659" i="178"/>
  <c r="B659" i="178"/>
  <c r="A693" i="178"/>
  <c r="B693" i="178"/>
  <c r="A555" i="178"/>
  <c r="A645" i="178"/>
  <c r="B645" i="178"/>
  <c r="A636" i="178"/>
  <c r="A712" i="178"/>
  <c r="A620" i="178"/>
  <c r="A514" i="178"/>
  <c r="A651" i="178"/>
  <c r="A489" i="178"/>
  <c r="A350" i="178"/>
  <c r="A288" i="178"/>
  <c r="A390" i="178"/>
  <c r="P602" i="178" l="1"/>
  <c r="Q602" i="178" s="1"/>
  <c r="O602" i="178"/>
  <c r="P527" i="178"/>
  <c r="Q527" i="178" s="1"/>
  <c r="O527" i="178"/>
  <c r="P418" i="178"/>
  <c r="Q418" i="178" s="1"/>
  <c r="O418" i="178"/>
  <c r="P89" i="178"/>
  <c r="Q89" i="178" s="1"/>
  <c r="O89" i="178"/>
  <c r="P205" i="178"/>
  <c r="Q205" i="178" s="1"/>
  <c r="O205" i="178"/>
  <c r="P350" i="178"/>
  <c r="Q350" i="178" s="1"/>
  <c r="O350" i="178"/>
  <c r="P645" i="178"/>
  <c r="Q645" i="178" s="1"/>
  <c r="O645" i="178"/>
  <c r="P656" i="178"/>
  <c r="Q656" i="178" s="1"/>
  <c r="O656" i="178"/>
  <c r="P643" i="178"/>
  <c r="Q643" i="178" s="1"/>
  <c r="O643" i="178"/>
  <c r="P379" i="178"/>
  <c r="Q379" i="178" s="1"/>
  <c r="O379" i="178"/>
  <c r="P606" i="178"/>
  <c r="Q606" i="178" s="1"/>
  <c r="O606" i="178"/>
  <c r="P343" i="178"/>
  <c r="Q343" i="178" s="1"/>
  <c r="O343" i="178"/>
  <c r="P25" i="178"/>
  <c r="Q25" i="178" s="1"/>
  <c r="O25" i="178"/>
  <c r="P342" i="178"/>
  <c r="Q342" i="178" s="1"/>
  <c r="O342" i="178"/>
  <c r="P475" i="178"/>
  <c r="Q475" i="178" s="1"/>
  <c r="O475" i="178"/>
  <c r="P703" i="178"/>
  <c r="Q703" i="178" s="1"/>
  <c r="O703" i="178"/>
  <c r="P321" i="178"/>
  <c r="Q321" i="178" s="1"/>
  <c r="O321" i="178"/>
  <c r="P28" i="178"/>
  <c r="Q28" i="178" s="1"/>
  <c r="O28" i="178"/>
  <c r="P412" i="178"/>
  <c r="Q412" i="178" s="1"/>
  <c r="O412" i="178"/>
  <c r="P407" i="178"/>
  <c r="Q407" i="178" s="1"/>
  <c r="O407" i="178"/>
  <c r="P534" i="178"/>
  <c r="Q534" i="178" s="1"/>
  <c r="O534" i="178"/>
  <c r="P508" i="178"/>
  <c r="Q508" i="178" s="1"/>
  <c r="O508" i="178"/>
  <c r="P504" i="178"/>
  <c r="Q504" i="178" s="1"/>
  <c r="O504" i="178"/>
  <c r="P268" i="178"/>
  <c r="Q268" i="178" s="1"/>
  <c r="O268" i="178"/>
  <c r="P642" i="178"/>
  <c r="Q642" i="178" s="1"/>
  <c r="O642" i="178"/>
  <c r="P637" i="178"/>
  <c r="Q637" i="178" s="1"/>
  <c r="O637" i="178"/>
  <c r="P622" i="178"/>
  <c r="Q622" i="178" s="1"/>
  <c r="O622" i="178"/>
  <c r="P619" i="178"/>
  <c r="Q619" i="178" s="1"/>
  <c r="O619" i="178"/>
  <c r="P614" i="178"/>
  <c r="Q614" i="178" s="1"/>
  <c r="O614" i="178"/>
  <c r="P371" i="178"/>
  <c r="Q371" i="178" s="1"/>
  <c r="O371" i="178"/>
  <c r="P580" i="178"/>
  <c r="Q580" i="178" s="1"/>
  <c r="O580" i="178"/>
  <c r="P491" i="178"/>
  <c r="Q491" i="178" s="1"/>
  <c r="O491" i="178"/>
  <c r="P559" i="178"/>
  <c r="Q559" i="178" s="1"/>
  <c r="O559" i="178"/>
  <c r="P64" i="178"/>
  <c r="Q64" i="178" s="1"/>
  <c r="O64" i="178"/>
  <c r="P454" i="178"/>
  <c r="Q454" i="178" s="1"/>
  <c r="O454" i="178"/>
  <c r="P264" i="178"/>
  <c r="Q264" i="178" s="1"/>
  <c r="O264" i="178"/>
  <c r="P462" i="178"/>
  <c r="Q462" i="178" s="1"/>
  <c r="O462" i="178"/>
  <c r="P255" i="178"/>
  <c r="Q255" i="178" s="1"/>
  <c r="O255" i="178"/>
  <c r="P87" i="178"/>
  <c r="Q87" i="178" s="1"/>
  <c r="O87" i="178"/>
  <c r="P169" i="178"/>
  <c r="Q169" i="178" s="1"/>
  <c r="O169" i="178"/>
  <c r="P505" i="178"/>
  <c r="Q505" i="178" s="1"/>
  <c r="O505" i="178"/>
  <c r="P635" i="178"/>
  <c r="Q635" i="178" s="1"/>
  <c r="O635" i="178"/>
  <c r="P484" i="178"/>
  <c r="Q484" i="178" s="1"/>
  <c r="O484" i="178"/>
  <c r="P305" i="178"/>
  <c r="Q305" i="178" s="1"/>
  <c r="O305" i="178"/>
  <c r="P529" i="178"/>
  <c r="Q529" i="178" s="1"/>
  <c r="O529" i="178"/>
  <c r="P212" i="178"/>
  <c r="Q212" i="178" s="1"/>
  <c r="O212" i="178"/>
  <c r="P639" i="178"/>
  <c r="Q639" i="178" s="1"/>
  <c r="O639" i="178"/>
  <c r="P477" i="178"/>
  <c r="Q477" i="178" s="1"/>
  <c r="O477" i="178"/>
  <c r="P424" i="178"/>
  <c r="Q424" i="178" s="1"/>
  <c r="O424" i="178"/>
  <c r="P419" i="178"/>
  <c r="Q419" i="178" s="1"/>
  <c r="O419" i="178"/>
  <c r="P411" i="178"/>
  <c r="Q411" i="178" s="1"/>
  <c r="O411" i="178"/>
  <c r="P514" i="178"/>
  <c r="Q514" i="178" s="1"/>
  <c r="O514" i="178"/>
  <c r="P693" i="178"/>
  <c r="Q693" i="178" s="1"/>
  <c r="O693" i="178"/>
  <c r="P566" i="178"/>
  <c r="Q566" i="178" s="1"/>
  <c r="O566" i="178"/>
  <c r="P285" i="178"/>
  <c r="Q285" i="178" s="1"/>
  <c r="O285" i="178"/>
  <c r="P655" i="178"/>
  <c r="Q655" i="178" s="1"/>
  <c r="O655" i="178"/>
  <c r="P545" i="178"/>
  <c r="Q545" i="178" s="1"/>
  <c r="O545" i="178"/>
  <c r="P439" i="178"/>
  <c r="Q439" i="178" s="1"/>
  <c r="O439" i="178"/>
  <c r="P72" i="178"/>
  <c r="Q72" i="178" s="1"/>
  <c r="O72" i="178"/>
  <c r="P512" i="178"/>
  <c r="Q512" i="178" s="1"/>
  <c r="O512" i="178"/>
  <c r="P240" i="178"/>
  <c r="Q240" i="178" s="1"/>
  <c r="O240" i="178"/>
  <c r="P711" i="178"/>
  <c r="Q711" i="178" s="1"/>
  <c r="O711" i="178"/>
  <c r="P402" i="178"/>
  <c r="Q402" i="178" s="1"/>
  <c r="O402" i="178"/>
  <c r="P257" i="178"/>
  <c r="Q257" i="178" s="1"/>
  <c r="O257" i="178"/>
  <c r="P485" i="178"/>
  <c r="Q485" i="178" s="1"/>
  <c r="O485" i="178"/>
  <c r="P516" i="178"/>
  <c r="Q516" i="178" s="1"/>
  <c r="O516" i="178"/>
  <c r="P517" i="178"/>
  <c r="Q517" i="178" s="1"/>
  <c r="O517" i="178"/>
  <c r="P124" i="178"/>
  <c r="Q124" i="178" s="1"/>
  <c r="O124" i="178"/>
  <c r="P697" i="178"/>
  <c r="Q697" i="178" s="1"/>
  <c r="O697" i="178"/>
  <c r="P620" i="178"/>
  <c r="Q620" i="178" s="1"/>
  <c r="O620" i="178"/>
  <c r="P389" i="178"/>
  <c r="Q389" i="178" s="1"/>
  <c r="O389" i="178"/>
  <c r="P82" i="178"/>
  <c r="Q82" i="178" s="1"/>
  <c r="O82" i="178"/>
  <c r="P608" i="178"/>
  <c r="Q608" i="178" s="1"/>
  <c r="O608" i="178"/>
  <c r="P593" i="178"/>
  <c r="Q593" i="178" s="1"/>
  <c r="O593" i="178"/>
  <c r="P478" i="178"/>
  <c r="Q478" i="178" s="1"/>
  <c r="O478" i="178"/>
  <c r="P600" i="178"/>
  <c r="Q600" i="178" s="1"/>
  <c r="O600" i="178"/>
  <c r="P134" i="178"/>
  <c r="Q134" i="178" s="1"/>
  <c r="O134" i="178"/>
  <c r="P607" i="178"/>
  <c r="Q607" i="178" s="1"/>
  <c r="O607" i="178"/>
  <c r="P570" i="178"/>
  <c r="Q570" i="178" s="1"/>
  <c r="O570" i="178"/>
  <c r="P553" i="178"/>
  <c r="Q553" i="178" s="1"/>
  <c r="O553" i="178"/>
  <c r="P610" i="178"/>
  <c r="Q610" i="178" s="1"/>
  <c r="O610" i="178"/>
  <c r="P543" i="178"/>
  <c r="Q543" i="178" s="1"/>
  <c r="O543" i="178"/>
  <c r="P34" i="178"/>
  <c r="Q34" i="178" s="1"/>
  <c r="O34" i="178"/>
  <c r="P253" i="178"/>
  <c r="Q253" i="178" s="1"/>
  <c r="O253" i="178"/>
  <c r="P245" i="178"/>
  <c r="Q245" i="178" s="1"/>
  <c r="O245" i="178"/>
  <c r="P242" i="178"/>
  <c r="Q242" i="178" s="1"/>
  <c r="O242" i="178"/>
  <c r="P334" i="178"/>
  <c r="Q334" i="178" s="1"/>
  <c r="O334" i="178"/>
  <c r="P541" i="178"/>
  <c r="Q541" i="178" s="1"/>
  <c r="O541" i="178"/>
  <c r="P421" i="178"/>
  <c r="Q421" i="178" s="1"/>
  <c r="O421" i="178"/>
  <c r="P560" i="178"/>
  <c r="Q560" i="178" s="1"/>
  <c r="O560" i="178"/>
  <c r="P582" i="178"/>
  <c r="Q582" i="178" s="1"/>
  <c r="O582" i="178"/>
  <c r="P613" i="178"/>
  <c r="Q613" i="178" s="1"/>
  <c r="O613" i="178"/>
  <c r="P437" i="178"/>
  <c r="Q437" i="178" s="1"/>
  <c r="O437" i="178"/>
  <c r="P625" i="178"/>
  <c r="Q625" i="178" s="1"/>
  <c r="O625" i="178"/>
  <c r="P432" i="178"/>
  <c r="Q432" i="178" s="1"/>
  <c r="O432" i="178"/>
  <c r="P417" i="178"/>
  <c r="Q417" i="178" s="1"/>
  <c r="O417" i="178"/>
  <c r="P572" i="178"/>
  <c r="Q572" i="178" s="1"/>
  <c r="O572" i="178"/>
  <c r="P532" i="178"/>
  <c r="Q532" i="178" s="1"/>
  <c r="O532" i="178"/>
  <c r="P358" i="178"/>
  <c r="Q358" i="178" s="1"/>
  <c r="O358" i="178"/>
  <c r="P633" i="178"/>
  <c r="Q633" i="178" s="1"/>
  <c r="O633" i="178"/>
  <c r="P262" i="178"/>
  <c r="Q262" i="178" s="1"/>
  <c r="O262" i="178"/>
  <c r="P700" i="178"/>
  <c r="Q700" i="178" s="1"/>
  <c r="O700" i="178"/>
  <c r="P563" i="178"/>
  <c r="Q563" i="178" s="1"/>
  <c r="O563" i="178"/>
  <c r="O425" i="178"/>
  <c r="P425" i="178"/>
  <c r="Q425" i="178" s="1"/>
  <c r="P651" i="178"/>
  <c r="Q651" i="178" s="1"/>
  <c r="O651" i="178"/>
  <c r="P518" i="178"/>
  <c r="Q518" i="178" s="1"/>
  <c r="O518" i="178"/>
  <c r="P488" i="178"/>
  <c r="Q488" i="178" s="1"/>
  <c r="O488" i="178"/>
  <c r="P177" i="178"/>
  <c r="Q177" i="178" s="1"/>
  <c r="O177" i="178"/>
  <c r="P254" i="178"/>
  <c r="Q254" i="178" s="1"/>
  <c r="O254" i="178"/>
  <c r="P692" i="178"/>
  <c r="Q692" i="178" s="1"/>
  <c r="O692" i="178"/>
  <c r="P433" i="178"/>
  <c r="Q433" i="178" s="1"/>
  <c r="O433" i="178"/>
  <c r="P712" i="178"/>
  <c r="Q712" i="178" s="1"/>
  <c r="O712" i="178"/>
  <c r="P659" i="178"/>
  <c r="Q659" i="178" s="1"/>
  <c r="O659" i="178"/>
  <c r="P638" i="178"/>
  <c r="Q638" i="178" s="1"/>
  <c r="O638" i="178"/>
  <c r="P623" i="178"/>
  <c r="Q623" i="178" s="1"/>
  <c r="O623" i="178"/>
  <c r="P615" i="178"/>
  <c r="Q615" i="178" s="1"/>
  <c r="O615" i="178"/>
  <c r="P585" i="178"/>
  <c r="Q585" i="178" s="1"/>
  <c r="O585" i="178"/>
  <c r="P536" i="178"/>
  <c r="Q536" i="178" s="1"/>
  <c r="O536" i="178"/>
  <c r="P575" i="178"/>
  <c r="Q575" i="178" s="1"/>
  <c r="O575" i="178"/>
  <c r="P569" i="178"/>
  <c r="Q569" i="178" s="1"/>
  <c r="O569" i="178"/>
  <c r="P565" i="178"/>
  <c r="Q565" i="178" s="1"/>
  <c r="O565" i="178"/>
  <c r="P272" i="178"/>
  <c r="Q272" i="178" s="1"/>
  <c r="O272" i="178"/>
  <c r="P113" i="178"/>
  <c r="Q113" i="178" s="1"/>
  <c r="O113" i="178"/>
  <c r="P539" i="178"/>
  <c r="Q539" i="178" s="1"/>
  <c r="O539" i="178"/>
  <c r="P26" i="178"/>
  <c r="Q26" i="178" s="1"/>
  <c r="O26" i="178"/>
  <c r="P68" i="178"/>
  <c r="Q68" i="178" s="1"/>
  <c r="O68" i="178"/>
  <c r="P705" i="178"/>
  <c r="Q705" i="178" s="1"/>
  <c r="O705" i="178"/>
  <c r="P70" i="178"/>
  <c r="Q70" i="178" s="1"/>
  <c r="O70" i="178"/>
  <c r="P511" i="178"/>
  <c r="Q511" i="178" s="1"/>
  <c r="O511" i="178"/>
  <c r="P155" i="178"/>
  <c r="Q155" i="178" s="1"/>
  <c r="O155" i="178"/>
  <c r="P135" i="178"/>
  <c r="Q135" i="178" s="1"/>
  <c r="O135" i="178"/>
  <c r="P710" i="178"/>
  <c r="Q710" i="178" s="1"/>
  <c r="O710" i="178"/>
  <c r="P581" i="178"/>
  <c r="Q581" i="178" s="1"/>
  <c r="O581" i="178"/>
  <c r="P453" i="178"/>
  <c r="Q453" i="178" s="1"/>
  <c r="O453" i="178"/>
  <c r="P449" i="178"/>
  <c r="Q449" i="178" s="1"/>
  <c r="O449" i="178"/>
  <c r="P483" i="178"/>
  <c r="Q483" i="178" s="1"/>
  <c r="O483" i="178"/>
  <c r="P175" i="178"/>
  <c r="Q175" i="178" s="1"/>
  <c r="O175" i="178"/>
  <c r="P423" i="178"/>
  <c r="Q423" i="178" s="1"/>
  <c r="O423" i="178"/>
  <c r="P427" i="178"/>
  <c r="Q427" i="178" s="1"/>
  <c r="O427" i="178"/>
  <c r="P422" i="178"/>
  <c r="Q422" i="178" s="1"/>
  <c r="O422" i="178"/>
  <c r="P416" i="178"/>
  <c r="Q416" i="178" s="1"/>
  <c r="O416" i="178"/>
  <c r="P414" i="178"/>
  <c r="Q414" i="178" s="1"/>
  <c r="O414" i="178"/>
  <c r="P409" i="178"/>
  <c r="Q409" i="178" s="1"/>
  <c r="O409" i="178"/>
  <c r="P683" i="178"/>
  <c r="Q683" i="178" s="1"/>
  <c r="O683" i="178"/>
  <c r="P378" i="178"/>
  <c r="Q378" i="178" s="1"/>
  <c r="O378" i="178"/>
  <c r="P584" i="178"/>
  <c r="Q584" i="178" s="1"/>
  <c r="O584" i="178"/>
  <c r="P573" i="178"/>
  <c r="Q573" i="178" s="1"/>
  <c r="O573" i="178"/>
  <c r="P561" i="178"/>
  <c r="Q561" i="178" s="1"/>
  <c r="O561" i="178"/>
  <c r="P510" i="178"/>
  <c r="Q510" i="178" s="1"/>
  <c r="O510" i="178"/>
  <c r="P576" i="178"/>
  <c r="Q576" i="178" s="1"/>
  <c r="O576" i="178"/>
  <c r="P430" i="178"/>
  <c r="Q430" i="178" s="1"/>
  <c r="O430" i="178"/>
  <c r="P564" i="178"/>
  <c r="Q564" i="178" s="1"/>
  <c r="O564" i="178"/>
  <c r="P719" i="178"/>
  <c r="Q719" i="178" s="1"/>
  <c r="O719" i="178"/>
  <c r="P653" i="178"/>
  <c r="Q653" i="178" s="1"/>
  <c r="O653" i="178"/>
  <c r="P287" i="178"/>
  <c r="Q287" i="178" s="1"/>
  <c r="O287" i="178"/>
  <c r="P290" i="178"/>
  <c r="Q290" i="178" s="1"/>
  <c r="O290" i="178"/>
  <c r="P507" i="178"/>
  <c r="Q507" i="178" s="1"/>
  <c r="O507" i="178"/>
  <c r="P550" i="178"/>
  <c r="Q550" i="178" s="1"/>
  <c r="O550" i="178"/>
  <c r="P37" i="178"/>
  <c r="Q37" i="178" s="1"/>
  <c r="O37" i="178"/>
  <c r="P571" i="178"/>
  <c r="Q571" i="178" s="1"/>
  <c r="O571" i="178"/>
  <c r="P322" i="178"/>
  <c r="Q322" i="178" s="1"/>
  <c r="O322" i="178"/>
  <c r="P390" i="178"/>
  <c r="Q390" i="178" s="1"/>
  <c r="O390" i="178"/>
  <c r="P636" i="178"/>
  <c r="Q636" i="178" s="1"/>
  <c r="O636" i="178"/>
  <c r="P241" i="178"/>
  <c r="Q241" i="178" s="1"/>
  <c r="O241" i="178"/>
  <c r="P586" i="178"/>
  <c r="Q586" i="178" s="1"/>
  <c r="O586" i="178"/>
  <c r="P592" i="178"/>
  <c r="Q592" i="178" s="1"/>
  <c r="O592" i="178"/>
  <c r="P594" i="178"/>
  <c r="Q594" i="178" s="1"/>
  <c r="O594" i="178"/>
  <c r="P384" i="178"/>
  <c r="Q384" i="178" s="1"/>
  <c r="O384" i="178"/>
  <c r="P604" i="178"/>
  <c r="Q604" i="178" s="1"/>
  <c r="O604" i="178"/>
  <c r="P137" i="178"/>
  <c r="Q137" i="178" s="1"/>
  <c r="O137" i="178"/>
  <c r="P495" i="178"/>
  <c r="Q495" i="178" s="1"/>
  <c r="O495" i="178"/>
  <c r="P609" i="178"/>
  <c r="Q609" i="178" s="1"/>
  <c r="O609" i="178"/>
  <c r="P220" i="178"/>
  <c r="Q220" i="178" s="1"/>
  <c r="O220" i="178"/>
  <c r="P552" i="178"/>
  <c r="Q552" i="178" s="1"/>
  <c r="O552" i="178"/>
  <c r="P603" i="178"/>
  <c r="Q603" i="178" s="1"/>
  <c r="O603" i="178"/>
  <c r="P562" i="178"/>
  <c r="Q562" i="178" s="1"/>
  <c r="O562" i="178"/>
  <c r="P252" i="178"/>
  <c r="Q252" i="178" s="1"/>
  <c r="O252" i="178"/>
  <c r="P166" i="178"/>
  <c r="Q166" i="178" s="1"/>
  <c r="O166" i="178"/>
  <c r="P160" i="178"/>
  <c r="Q160" i="178" s="1"/>
  <c r="O160" i="178"/>
  <c r="P476" i="178"/>
  <c r="Q476" i="178" s="1"/>
  <c r="O476" i="178"/>
  <c r="P708" i="178"/>
  <c r="Q708" i="178" s="1"/>
  <c r="O708" i="178"/>
  <c r="P420" i="178"/>
  <c r="Q420" i="178" s="1"/>
  <c r="O420" i="178"/>
  <c r="P720" i="178"/>
  <c r="Q720" i="178" s="1"/>
  <c r="O720" i="178"/>
  <c r="P680" i="178"/>
  <c r="Q680" i="178" s="1"/>
  <c r="O680" i="178"/>
  <c r="P181" i="178"/>
  <c r="Q181" i="178" s="1"/>
  <c r="O181" i="178"/>
  <c r="P436" i="178"/>
  <c r="Q436" i="178" s="1"/>
  <c r="O436" i="178"/>
  <c r="P161" i="178"/>
  <c r="Q161" i="178" s="1"/>
  <c r="O161" i="178"/>
  <c r="P577" i="178"/>
  <c r="Q577" i="178" s="1"/>
  <c r="O577" i="178"/>
  <c r="P431" i="178"/>
  <c r="Q431" i="178" s="1"/>
  <c r="O431" i="178"/>
  <c r="P413" i="178"/>
  <c r="Q413" i="178" s="1"/>
  <c r="O413" i="178"/>
  <c r="P288" i="178"/>
  <c r="Q288" i="178" s="1"/>
  <c r="O288" i="178"/>
  <c r="P538" i="178"/>
  <c r="Q538" i="178" s="1"/>
  <c r="O538" i="178"/>
  <c r="P522" i="178"/>
  <c r="Q522" i="178" s="1"/>
  <c r="O522" i="178"/>
  <c r="P456" i="178"/>
  <c r="Q456" i="178" s="1"/>
  <c r="O456" i="178"/>
  <c r="P408" i="178"/>
  <c r="Q408" i="178" s="1"/>
  <c r="O408" i="178"/>
  <c r="P595" i="178"/>
  <c r="Q595" i="178" s="1"/>
  <c r="O595" i="178"/>
  <c r="P125" i="178"/>
  <c r="Q125" i="178" s="1"/>
  <c r="O125" i="178"/>
  <c r="P503" i="178"/>
  <c r="Q503" i="178" s="1"/>
  <c r="O503" i="178"/>
  <c r="P438" i="178"/>
  <c r="Q438" i="178" s="1"/>
  <c r="O438" i="178"/>
  <c r="P38" i="178"/>
  <c r="Q38" i="178" s="1"/>
  <c r="O38" i="178"/>
  <c r="P551" i="178"/>
  <c r="Q551" i="178" s="1"/>
  <c r="O551" i="178"/>
  <c r="P443" i="178"/>
  <c r="Q443" i="178" s="1"/>
  <c r="O443" i="178"/>
  <c r="P487" i="178"/>
  <c r="Q487" i="178" s="1"/>
  <c r="O487" i="178"/>
  <c r="P568" i="178"/>
  <c r="Q568" i="178" s="1"/>
  <c r="O568" i="178"/>
  <c r="P501" i="178"/>
  <c r="Q501" i="178" s="1"/>
  <c r="O501" i="178"/>
  <c r="P497" i="178"/>
  <c r="Q497" i="178" s="1"/>
  <c r="O497" i="178"/>
  <c r="P435" i="178"/>
  <c r="Q435" i="178" s="1"/>
  <c r="O435" i="178"/>
  <c r="P494" i="178"/>
  <c r="Q494" i="178" s="1"/>
  <c r="O494" i="178"/>
  <c r="P670" i="178"/>
  <c r="Q670" i="178" s="1"/>
  <c r="O670" i="178"/>
  <c r="P531" i="178"/>
  <c r="Q531" i="178" s="1"/>
  <c r="O531" i="178"/>
  <c r="P498" i="178"/>
  <c r="Q498" i="178" s="1"/>
  <c r="O498" i="178"/>
  <c r="P489" i="178"/>
  <c r="Q489" i="178" s="1"/>
  <c r="O489" i="178"/>
  <c r="P555" i="178"/>
  <c r="Q555" i="178" s="1"/>
  <c r="O555" i="178"/>
  <c r="P650" i="178"/>
  <c r="Q650" i="178" s="1"/>
  <c r="O650" i="178"/>
  <c r="P347" i="178"/>
  <c r="Q347" i="178" s="1"/>
  <c r="O347" i="178"/>
  <c r="P521" i="178"/>
  <c r="Q521" i="178" s="1"/>
  <c r="O521" i="178"/>
  <c r="P631" i="178"/>
  <c r="Q631" i="178" s="1"/>
  <c r="O631" i="178"/>
  <c r="O617" i="178"/>
  <c r="P617" i="178"/>
  <c r="Q617" i="178" s="1"/>
  <c r="P546" i="178"/>
  <c r="Q546" i="178" s="1"/>
  <c r="O546" i="178"/>
  <c r="P472" i="178"/>
  <c r="Q472" i="178" s="1"/>
  <c r="O472" i="178"/>
  <c r="P583" i="178"/>
  <c r="Q583" i="178" s="1"/>
  <c r="O583" i="178"/>
  <c r="P440" i="178"/>
  <c r="Q440" i="178" s="1"/>
  <c r="O440" i="178"/>
  <c r="P314" i="178"/>
  <c r="Q314" i="178" s="1"/>
  <c r="O314" i="178"/>
  <c r="P323" i="178"/>
  <c r="Q323" i="178" s="1"/>
  <c r="O323" i="178"/>
  <c r="P599" i="178"/>
  <c r="Q599" i="178" s="1"/>
  <c r="O599" i="178"/>
  <c r="P441" i="178"/>
  <c r="Q441" i="178" s="1"/>
  <c r="O441" i="178"/>
  <c r="P526" i="178"/>
  <c r="Q526" i="178" s="1"/>
  <c r="O526" i="178"/>
  <c r="P76" i="178"/>
  <c r="Q76" i="178" s="1"/>
  <c r="O76" i="178"/>
  <c r="P513" i="178"/>
  <c r="Q513" i="178" s="1"/>
  <c r="O513" i="178"/>
  <c r="P500" i="178"/>
  <c r="Q500" i="178" s="1"/>
  <c r="O500" i="178"/>
  <c r="P457" i="178"/>
  <c r="Q457" i="178" s="1"/>
  <c r="O457" i="178"/>
  <c r="P644" i="178"/>
  <c r="Q644" i="178" s="1"/>
  <c r="O644" i="178"/>
  <c r="P474" i="178"/>
  <c r="Q474" i="178" s="1"/>
  <c r="O474" i="178"/>
  <c r="P410" i="178"/>
  <c r="Q410" i="178" s="1"/>
  <c r="O410" i="178"/>
  <c r="P579" i="178"/>
  <c r="Q579" i="178" s="1"/>
  <c r="O579" i="178"/>
  <c r="P455" i="178"/>
  <c r="Q455" i="178" s="1"/>
  <c r="O455" i="178"/>
  <c r="P215" i="178"/>
  <c r="Q215" i="178" s="1"/>
  <c r="O215" i="178"/>
  <c r="P188" i="178"/>
  <c r="Q188" i="178" s="1"/>
  <c r="O188" i="178"/>
  <c r="P176" i="178"/>
  <c r="Q176" i="178" s="1"/>
  <c r="O176" i="178"/>
  <c r="P445" i="178"/>
  <c r="Q445" i="178" s="1"/>
  <c r="O445" i="178"/>
  <c r="P434" i="178"/>
  <c r="Q434" i="178" s="1"/>
  <c r="O434" i="178"/>
  <c r="P330" i="178"/>
  <c r="Q330" i="178" s="1"/>
  <c r="O330" i="178"/>
  <c r="P324" i="178"/>
  <c r="Q324" i="178" s="1"/>
  <c r="O324" i="178"/>
  <c r="P415" i="178"/>
  <c r="Q415" i="178" s="1"/>
  <c r="O415" i="178"/>
  <c r="M342" i="178"/>
  <c r="K342" i="178"/>
  <c r="M595" i="178"/>
  <c r="K595" i="178"/>
  <c r="M220" i="178"/>
  <c r="K220" i="178"/>
  <c r="M531" i="178"/>
  <c r="K531" i="178"/>
  <c r="M70" i="178"/>
  <c r="K70" i="178"/>
  <c r="M390" i="178"/>
  <c r="K390" i="178"/>
  <c r="M651" i="178"/>
  <c r="K651" i="178"/>
  <c r="M636" i="178"/>
  <c r="K636" i="178"/>
  <c r="M659" i="178"/>
  <c r="K659" i="178"/>
  <c r="M650" i="178"/>
  <c r="K650" i="178"/>
  <c r="M643" i="178"/>
  <c r="K643" i="178"/>
  <c r="M378" i="178"/>
  <c r="K378" i="178"/>
  <c r="M586" i="178"/>
  <c r="K586" i="178"/>
  <c r="M633" i="178"/>
  <c r="K633" i="178"/>
  <c r="M619" i="178"/>
  <c r="K619" i="178"/>
  <c r="M262" i="178"/>
  <c r="K262" i="178"/>
  <c r="M384" i="178"/>
  <c r="K384" i="178"/>
  <c r="M606" i="178"/>
  <c r="K606" i="178"/>
  <c r="M287" i="178"/>
  <c r="K287" i="178"/>
  <c r="M177" i="178"/>
  <c r="K177" i="178"/>
  <c r="M472" i="178"/>
  <c r="K472" i="178"/>
  <c r="M585" i="178"/>
  <c r="K585" i="178"/>
  <c r="M583" i="178"/>
  <c r="K583" i="178"/>
  <c r="M568" i="178"/>
  <c r="K568" i="178"/>
  <c r="M552" i="178"/>
  <c r="K552" i="178"/>
  <c r="M603" i="178"/>
  <c r="K603" i="178"/>
  <c r="M543" i="178"/>
  <c r="K543" i="178"/>
  <c r="M34" i="178"/>
  <c r="K34" i="178"/>
  <c r="M441" i="178"/>
  <c r="K441" i="178"/>
  <c r="M527" i="178"/>
  <c r="K527" i="178"/>
  <c r="M252" i="178"/>
  <c r="K252" i="178"/>
  <c r="M513" i="178"/>
  <c r="K513" i="178"/>
  <c r="M500" i="178"/>
  <c r="K500" i="178"/>
  <c r="M457" i="178"/>
  <c r="K457" i="178"/>
  <c r="M639" i="178"/>
  <c r="K639" i="178"/>
  <c r="M475" i="178"/>
  <c r="K475" i="178"/>
  <c r="M703" i="178"/>
  <c r="K703" i="178"/>
  <c r="M456" i="178"/>
  <c r="K456" i="178"/>
  <c r="M358" i="178"/>
  <c r="K358" i="178"/>
  <c r="M181" i="178"/>
  <c r="K181" i="178"/>
  <c r="M322" i="178"/>
  <c r="K322" i="178"/>
  <c r="M268" i="178"/>
  <c r="K268" i="178"/>
  <c r="M435" i="178"/>
  <c r="K435" i="178"/>
  <c r="M430" i="178"/>
  <c r="K430" i="178"/>
  <c r="M494" i="178"/>
  <c r="K494" i="178"/>
  <c r="M415" i="178"/>
  <c r="K415" i="178"/>
  <c r="M614" i="178"/>
  <c r="K614" i="178"/>
  <c r="M570" i="178"/>
  <c r="K570" i="178"/>
  <c r="M285" i="178"/>
  <c r="K285" i="178"/>
  <c r="M545" i="178"/>
  <c r="K545" i="178"/>
  <c r="M705" i="178"/>
  <c r="K705" i="178"/>
  <c r="M623" i="178"/>
  <c r="K623" i="178"/>
  <c r="M609" i="178"/>
  <c r="K609" i="178"/>
  <c r="M576" i="178"/>
  <c r="K576" i="178"/>
  <c r="M489" i="178"/>
  <c r="K489" i="178"/>
  <c r="M350" i="178"/>
  <c r="K350" i="178"/>
  <c r="M645" i="178"/>
  <c r="K645" i="178"/>
  <c r="M683" i="178"/>
  <c r="K683" i="178"/>
  <c r="M635" i="178"/>
  <c r="K635" i="178"/>
  <c r="M518" i="178"/>
  <c r="K518" i="178"/>
  <c r="M379" i="178"/>
  <c r="K379" i="178"/>
  <c r="M137" i="178"/>
  <c r="K137" i="178"/>
  <c r="M134" i="178"/>
  <c r="K134" i="178"/>
  <c r="M371" i="178"/>
  <c r="K371" i="178"/>
  <c r="M584" i="178"/>
  <c r="K584" i="178"/>
  <c r="M580" i="178"/>
  <c r="K580" i="178"/>
  <c r="M491" i="178"/>
  <c r="K491" i="178"/>
  <c r="M440" i="178"/>
  <c r="K440" i="178"/>
  <c r="M551" i="178"/>
  <c r="K551" i="178"/>
  <c r="M602" i="178"/>
  <c r="K602" i="178"/>
  <c r="M562" i="178"/>
  <c r="K562" i="178"/>
  <c r="M439" i="178"/>
  <c r="K439" i="178"/>
  <c r="M526" i="178"/>
  <c r="K526" i="178"/>
  <c r="M255" i="178"/>
  <c r="K255" i="178"/>
  <c r="M87" i="178"/>
  <c r="K87" i="178"/>
  <c r="M561" i="178"/>
  <c r="K561" i="178"/>
  <c r="M512" i="178"/>
  <c r="K512" i="178"/>
  <c r="M240" i="178"/>
  <c r="K240" i="178"/>
  <c r="M541" i="178"/>
  <c r="K541" i="178"/>
  <c r="M477" i="178"/>
  <c r="K477" i="178"/>
  <c r="M720" i="178"/>
  <c r="K720" i="178"/>
  <c r="M581" i="178"/>
  <c r="K581" i="178"/>
  <c r="M579" i="178"/>
  <c r="K579" i="178"/>
  <c r="M455" i="178"/>
  <c r="K455" i="178"/>
  <c r="M498" i="178"/>
  <c r="K498" i="178"/>
  <c r="M437" i="178"/>
  <c r="K437" i="178"/>
  <c r="M625" i="178"/>
  <c r="K625" i="178"/>
  <c r="M434" i="178"/>
  <c r="K434" i="178"/>
  <c r="M330" i="178"/>
  <c r="K330" i="178"/>
  <c r="M422" i="178"/>
  <c r="K422" i="178"/>
  <c r="M124" i="178"/>
  <c r="K124" i="178"/>
  <c r="M697" i="178"/>
  <c r="K697" i="178"/>
  <c r="M408" i="178"/>
  <c r="K408" i="178"/>
  <c r="M615" i="178"/>
  <c r="K615" i="178"/>
  <c r="M710" i="178"/>
  <c r="K710" i="178"/>
  <c r="M432" i="178"/>
  <c r="K432" i="178"/>
  <c r="M272" i="178"/>
  <c r="K272" i="178"/>
  <c r="M113" i="178"/>
  <c r="K113" i="178"/>
  <c r="M169" i="178"/>
  <c r="K169" i="178"/>
  <c r="M505" i="178"/>
  <c r="K505" i="178"/>
  <c r="M334" i="178"/>
  <c r="K334" i="178"/>
  <c r="M644" i="178"/>
  <c r="K644" i="178"/>
  <c r="M418" i="178"/>
  <c r="K418" i="178"/>
  <c r="M692" i="178"/>
  <c r="K692" i="178"/>
  <c r="M680" i="178"/>
  <c r="K680" i="178"/>
  <c r="M449" i="178"/>
  <c r="K449" i="178"/>
  <c r="M483" i="178"/>
  <c r="K483" i="178"/>
  <c r="M176" i="178"/>
  <c r="K176" i="178"/>
  <c r="M445" i="178"/>
  <c r="K445" i="178"/>
  <c r="M431" i="178"/>
  <c r="K431" i="178"/>
  <c r="M419" i="178"/>
  <c r="K419" i="178"/>
  <c r="M412" i="178"/>
  <c r="K412" i="178"/>
  <c r="M288" i="178"/>
  <c r="K288" i="178"/>
  <c r="M514" i="178"/>
  <c r="K514" i="178"/>
  <c r="M653" i="178"/>
  <c r="K653" i="178"/>
  <c r="M347" i="178"/>
  <c r="K347" i="178"/>
  <c r="M608" i="178"/>
  <c r="K608" i="178"/>
  <c r="M617" i="178"/>
  <c r="K617" i="178"/>
  <c r="M534" i="178"/>
  <c r="K534" i="178"/>
  <c r="M700" i="178"/>
  <c r="K700" i="178"/>
  <c r="M563" i="178"/>
  <c r="K563" i="178"/>
  <c r="M125" i="178"/>
  <c r="K125" i="178"/>
  <c r="M503" i="178"/>
  <c r="K503" i="178"/>
  <c r="M539" i="178"/>
  <c r="K539" i="178"/>
  <c r="M522" i="178"/>
  <c r="K522" i="178"/>
  <c r="M508" i="178"/>
  <c r="K508" i="178"/>
  <c r="M504" i="178"/>
  <c r="K504" i="178"/>
  <c r="M474" i="178"/>
  <c r="K474" i="178"/>
  <c r="M410" i="178"/>
  <c r="K410" i="178"/>
  <c r="M582" i="178"/>
  <c r="K582" i="178"/>
  <c r="M205" i="178"/>
  <c r="K205" i="178"/>
  <c r="M264" i="178"/>
  <c r="K264" i="178"/>
  <c r="M462" i="178"/>
  <c r="K462" i="178"/>
  <c r="M425" i="178"/>
  <c r="K425" i="178"/>
  <c r="M411" i="178"/>
  <c r="K411" i="178"/>
  <c r="M620" i="178"/>
  <c r="K620" i="178"/>
  <c r="M555" i="178"/>
  <c r="K555" i="178"/>
  <c r="M656" i="178"/>
  <c r="K656" i="178"/>
  <c r="M389" i="178"/>
  <c r="K389" i="178"/>
  <c r="M521" i="178"/>
  <c r="K521" i="178"/>
  <c r="M622" i="178"/>
  <c r="K622" i="178"/>
  <c r="M592" i="178"/>
  <c r="K592" i="178"/>
  <c r="M546" i="178"/>
  <c r="K546" i="178"/>
  <c r="M607" i="178"/>
  <c r="K607" i="178"/>
  <c r="M305" i="178"/>
  <c r="K305" i="178"/>
  <c r="M314" i="178"/>
  <c r="K314" i="178"/>
  <c r="M323" i="178"/>
  <c r="K323" i="178"/>
  <c r="M599" i="178"/>
  <c r="K599" i="178"/>
  <c r="M538" i="178"/>
  <c r="K538" i="178"/>
  <c r="M529" i="178"/>
  <c r="K529" i="178"/>
  <c r="M76" i="178"/>
  <c r="K76" i="178"/>
  <c r="M245" i="178"/>
  <c r="K245" i="178"/>
  <c r="M242" i="178"/>
  <c r="K242" i="178"/>
  <c r="M135" i="178"/>
  <c r="K135" i="178"/>
  <c r="M711" i="178"/>
  <c r="K711" i="178"/>
  <c r="M402" i="178"/>
  <c r="K402" i="178"/>
  <c r="M571" i="178"/>
  <c r="K571" i="178"/>
  <c r="M215" i="178"/>
  <c r="K215" i="178"/>
  <c r="M188" i="178"/>
  <c r="K188" i="178"/>
  <c r="M175" i="178"/>
  <c r="K175" i="178"/>
  <c r="M433" i="178"/>
  <c r="K433" i="178"/>
  <c r="M424" i="178"/>
  <c r="K424" i="178"/>
  <c r="M417" i="178"/>
  <c r="K417" i="178"/>
  <c r="M407" i="178"/>
  <c r="K407" i="178"/>
  <c r="M712" i="178"/>
  <c r="K712" i="178"/>
  <c r="M637" i="178"/>
  <c r="K637" i="178"/>
  <c r="M72" i="178"/>
  <c r="K72" i="178"/>
  <c r="M166" i="178"/>
  <c r="K166" i="178"/>
  <c r="M212" i="178"/>
  <c r="K212" i="178"/>
  <c r="M485" i="178"/>
  <c r="K485" i="178"/>
  <c r="M438" i="178"/>
  <c r="K438" i="178"/>
  <c r="M572" i="178"/>
  <c r="K572" i="178"/>
  <c r="M642" i="178"/>
  <c r="K642" i="178"/>
  <c r="M593" i="178"/>
  <c r="K593" i="178"/>
  <c r="M484" i="178"/>
  <c r="K484" i="178"/>
  <c r="M488" i="178"/>
  <c r="K488" i="178"/>
  <c r="M600" i="178"/>
  <c r="K600" i="178"/>
  <c r="M495" i="178"/>
  <c r="K495" i="178"/>
  <c r="M536" i="178"/>
  <c r="K536" i="178"/>
  <c r="M573" i="178"/>
  <c r="K573" i="178"/>
  <c r="M566" i="178"/>
  <c r="K566" i="178"/>
  <c r="M290" i="178"/>
  <c r="K290" i="178"/>
  <c r="M507" i="178"/>
  <c r="K507" i="178"/>
  <c r="M550" i="178"/>
  <c r="K550" i="178"/>
  <c r="M564" i="178"/>
  <c r="K564" i="178"/>
  <c r="M26" i="178"/>
  <c r="K26" i="178"/>
  <c r="M559" i="178"/>
  <c r="K559" i="178"/>
  <c r="M64" i="178"/>
  <c r="K64" i="178"/>
  <c r="M254" i="178"/>
  <c r="K254" i="178"/>
  <c r="M511" i="178"/>
  <c r="K511" i="178"/>
  <c r="M155" i="178"/>
  <c r="K155" i="178"/>
  <c r="M421" i="178"/>
  <c r="K421" i="178"/>
  <c r="M560" i="178"/>
  <c r="K560" i="178"/>
  <c r="M719" i="178"/>
  <c r="K719" i="178"/>
  <c r="M89" i="178"/>
  <c r="K89" i="178"/>
  <c r="M454" i="178"/>
  <c r="K454" i="178"/>
  <c r="M436" i="178"/>
  <c r="K436" i="178"/>
  <c r="M161" i="178"/>
  <c r="K161" i="178"/>
  <c r="M577" i="178"/>
  <c r="K577" i="178"/>
  <c r="M516" i="178"/>
  <c r="K516" i="178"/>
  <c r="M670" i="178"/>
  <c r="K670" i="178"/>
  <c r="M416" i="178"/>
  <c r="K416" i="178"/>
  <c r="M414" i="178"/>
  <c r="K414" i="178"/>
  <c r="M613" i="178"/>
  <c r="K613" i="178"/>
  <c r="M257" i="178"/>
  <c r="K257" i="178"/>
  <c r="M575" i="178"/>
  <c r="K575" i="178"/>
  <c r="M655" i="178"/>
  <c r="K655" i="178"/>
  <c r="M160" i="178"/>
  <c r="K160" i="178"/>
  <c r="M413" i="178"/>
  <c r="K413" i="178"/>
  <c r="M693" i="178"/>
  <c r="K693" i="178"/>
  <c r="M241" i="178"/>
  <c r="K241" i="178"/>
  <c r="M638" i="178"/>
  <c r="K638" i="178"/>
  <c r="M82" i="178"/>
  <c r="K82" i="178"/>
  <c r="M631" i="178"/>
  <c r="K631" i="178"/>
  <c r="M594" i="178"/>
  <c r="K594" i="178"/>
  <c r="M478" i="178"/>
  <c r="K478" i="178"/>
  <c r="M604" i="178"/>
  <c r="K604" i="178"/>
  <c r="M343" i="178"/>
  <c r="K343" i="178"/>
  <c r="M25" i="178"/>
  <c r="K25" i="178"/>
  <c r="M443" i="178"/>
  <c r="K443" i="178"/>
  <c r="M487" i="178"/>
  <c r="K487" i="178"/>
  <c r="M569" i="178"/>
  <c r="K569" i="178"/>
  <c r="M565" i="178"/>
  <c r="K565" i="178"/>
  <c r="M553" i="178"/>
  <c r="K553" i="178"/>
  <c r="M610" i="178"/>
  <c r="K610" i="178"/>
  <c r="M37" i="178"/>
  <c r="K37" i="178"/>
  <c r="M532" i="178"/>
  <c r="K532" i="178"/>
  <c r="M68" i="178"/>
  <c r="K68" i="178"/>
  <c r="M253" i="178"/>
  <c r="K253" i="178"/>
  <c r="M510" i="178"/>
  <c r="K510" i="178"/>
  <c r="M501" i="178"/>
  <c r="K501" i="178"/>
  <c r="M497" i="178"/>
  <c r="K497" i="178"/>
  <c r="M476" i="178"/>
  <c r="K476" i="178"/>
  <c r="M708" i="178"/>
  <c r="K708" i="178"/>
  <c r="M420" i="178"/>
  <c r="K420" i="178"/>
  <c r="M453" i="178"/>
  <c r="K453" i="178"/>
  <c r="M321" i="178"/>
  <c r="K321" i="178"/>
  <c r="M28" i="178"/>
  <c r="K28" i="178"/>
  <c r="M423" i="178"/>
  <c r="K423" i="178"/>
  <c r="M427" i="178"/>
  <c r="K427" i="178"/>
  <c r="M517" i="178"/>
  <c r="K517" i="178"/>
  <c r="M324" i="178"/>
  <c r="K324" i="178"/>
  <c r="M38" i="178"/>
  <c r="K38" i="178"/>
  <c r="M409" i="178"/>
  <c r="K409" i="178"/>
  <c r="B3" i="178" l="1"/>
  <c r="B2" i="178"/>
  <c r="R2" i="178" l="1"/>
  <c r="B4" i="178" l="1"/>
  <c r="B5" i="178"/>
  <c r="B6" i="178"/>
  <c r="B8" i="178"/>
  <c r="B9" i="178"/>
  <c r="B13" i="178"/>
  <c r="B14" i="178"/>
  <c r="B15" i="178"/>
  <c r="B11" i="178"/>
  <c r="B22" i="178"/>
  <c r="B23" i="178"/>
  <c r="B24" i="178"/>
  <c r="B17" i="178"/>
  <c r="B30" i="178"/>
  <c r="B31" i="178"/>
  <c r="B32" i="178"/>
  <c r="B33" i="178"/>
  <c r="B35" i="178"/>
  <c r="B18" i="178"/>
  <c r="B45" i="178"/>
  <c r="B48" i="178"/>
  <c r="B50" i="178"/>
  <c r="B39" i="178"/>
  <c r="B62" i="178"/>
  <c r="B71" i="178"/>
  <c r="B19" i="178"/>
  <c r="B85" i="178"/>
  <c r="B86" i="178"/>
  <c r="B51" i="178"/>
  <c r="B55" i="178"/>
  <c r="B112" i="178"/>
  <c r="B115" i="178"/>
  <c r="B61" i="178"/>
  <c r="B123" i="178"/>
  <c r="B126" i="178"/>
  <c r="B131" i="178"/>
  <c r="B132" i="178"/>
  <c r="B63" i="178"/>
  <c r="B140" i="178"/>
  <c r="B144" i="178"/>
  <c r="B21" i="178"/>
  <c r="B182" i="178"/>
  <c r="B183" i="178"/>
  <c r="B184" i="178"/>
  <c r="B143" i="178"/>
  <c r="B159" i="178"/>
  <c r="B27" i="178"/>
  <c r="B217" i="178"/>
  <c r="B118" i="178"/>
  <c r="B133" i="178"/>
  <c r="B158" i="178"/>
  <c r="B341" i="178"/>
  <c r="B681" i="178"/>
  <c r="B429" i="178"/>
  <c r="B660" i="178"/>
  <c r="B65" i="178"/>
  <c r="B470" i="178"/>
  <c r="B482" i="178"/>
  <c r="B496" i="178"/>
  <c r="B717" i="178"/>
  <c r="B67" i="178"/>
  <c r="B444" i="178"/>
  <c r="B78" i="178"/>
  <c r="B502" i="178"/>
  <c r="B506" i="178"/>
  <c r="B442" i="178"/>
  <c r="B509" i="178"/>
  <c r="B519" i="178"/>
  <c r="B520" i="178"/>
  <c r="B523" i="178"/>
  <c r="B40" i="178"/>
  <c r="B74" i="178"/>
  <c r="B446" i="178"/>
  <c r="B525" i="178"/>
  <c r="B528" i="178"/>
  <c r="B533" i="178"/>
  <c r="B548" i="178"/>
  <c r="B452" i="178"/>
  <c r="B149" i="178"/>
  <c r="B578" i="178"/>
  <c r="B152" i="178"/>
  <c r="B153" i="178"/>
  <c r="B154" i="178"/>
  <c r="B93" i="178"/>
  <c r="B459" i="178"/>
  <c r="B95" i="178"/>
  <c r="B549" i="178"/>
  <c r="B97" i="178"/>
  <c r="B58" i="178"/>
  <c r="B100" i="178"/>
  <c r="B695" i="178"/>
  <c r="B567" i="178"/>
  <c r="B103" i="178"/>
  <c r="B53" i="178"/>
  <c r="B109" i="178"/>
  <c r="B156" i="178"/>
  <c r="B99" i="178"/>
  <c r="B136" i="178"/>
  <c r="B43" i="178"/>
  <c r="B142" i="178"/>
  <c r="B105" i="178"/>
  <c r="B145" i="178"/>
  <c r="B706" i="178"/>
  <c r="B60" i="178"/>
  <c r="B167" i="178"/>
  <c r="B336" i="178"/>
  <c r="B185" i="178"/>
  <c r="B186" i="178"/>
  <c r="B77" i="178"/>
  <c r="B146" i="178"/>
  <c r="B150" i="178"/>
  <c r="B499" i="178"/>
  <c r="B127" i="178"/>
  <c r="B171" i="178"/>
  <c r="B557" i="178"/>
  <c r="B170" i="178"/>
  <c r="B471" i="178"/>
  <c r="B492" i="178"/>
  <c r="B448" i="178"/>
  <c r="B544" i="178"/>
  <c r="B537" i="178"/>
  <c r="B466" i="178"/>
  <c r="B486" i="178"/>
  <c r="B405" i="178"/>
  <c r="B682" i="178"/>
  <c r="B686" i="178"/>
  <c r="B130" i="178"/>
  <c r="B57" i="178"/>
  <c r="B649" i="178"/>
  <c r="B515" i="178"/>
  <c r="B524" i="178"/>
  <c r="B406" i="178"/>
  <c r="B447" i="178"/>
  <c r="B404" i="178"/>
  <c r="B56" i="178"/>
  <c r="B138" i="178"/>
  <c r="B88" i="178"/>
  <c r="B98" i="178"/>
  <c r="B490" i="178"/>
  <c r="B467" i="178"/>
  <c r="B403" i="178"/>
  <c r="B458" i="178"/>
  <c r="B373" i="178"/>
  <c r="B12" i="178"/>
  <c r="B398" i="178"/>
  <c r="B542" i="178"/>
  <c r="B547" i="178"/>
  <c r="B554" i="178"/>
  <c r="B363" i="178"/>
  <c r="B141" i="178"/>
  <c r="B16" i="178"/>
  <c r="B291" i="178"/>
  <c r="B54" i="178"/>
  <c r="B20" i="178"/>
  <c r="B66" i="178"/>
  <c r="B36" i="178"/>
  <c r="B73" i="178"/>
  <c r="B80" i="178"/>
  <c r="B52" i="178"/>
  <c r="B480" i="178"/>
  <c r="B479" i="178"/>
  <c r="B481" i="178"/>
  <c r="B106" i="178"/>
  <c r="B107" i="178"/>
  <c r="B7" i="178"/>
  <c r="B189" i="178"/>
  <c r="B190" i="178"/>
  <c r="B191" i="178"/>
  <c r="B192" i="178"/>
  <c r="B193" i="178"/>
  <c r="B194" i="178"/>
  <c r="B121" i="178"/>
  <c r="B226" i="178"/>
  <c r="B197" i="178"/>
  <c r="B674" i="178"/>
  <c r="B198" i="178"/>
  <c r="B196" i="178"/>
  <c r="B236" i="178"/>
  <c r="B238" i="178"/>
  <c r="B243" i="178"/>
  <c r="B246" i="178"/>
  <c r="B128" i="178"/>
  <c r="B203" i="178"/>
  <c r="B621" i="178"/>
  <c r="B204" i="178"/>
  <c r="B558" i="178"/>
  <c r="B139" i="178"/>
  <c r="B206" i="178"/>
  <c r="B207" i="178"/>
  <c r="B208" i="178"/>
  <c r="B210" i="178"/>
  <c r="B211" i="178"/>
  <c r="B162" i="178"/>
  <c r="B46" i="178"/>
  <c r="B213" i="178"/>
  <c r="B214" i="178"/>
  <c r="B493" i="178"/>
  <c r="B269" i="178"/>
  <c r="B218" i="178"/>
  <c r="B219" i="178"/>
  <c r="B611" i="178"/>
  <c r="B221" i="178"/>
  <c r="B222" i="178"/>
  <c r="B281" i="178"/>
  <c r="B282" i="178"/>
  <c r="B556" i="178"/>
  <c r="B225" i="178"/>
  <c r="B309" i="178"/>
  <c r="B172" i="178"/>
  <c r="B588" i="178"/>
  <c r="B461" i="178"/>
  <c r="B364" i="178"/>
  <c r="B119" i="178"/>
  <c r="B426" i="178"/>
  <c r="B465" i="178"/>
  <c r="B464" i="178"/>
  <c r="B270" i="178"/>
  <c r="B233" i="178"/>
  <c r="B234" i="178"/>
  <c r="B195" i="178"/>
  <c r="B574" i="178"/>
  <c r="B199" i="178"/>
  <c r="B248" i="178"/>
  <c r="B294" i="178"/>
  <c r="B286" i="178"/>
  <c r="B129" i="178"/>
  <c r="B244" i="178"/>
  <c r="B325" i="178"/>
  <c r="B596" i="178"/>
  <c r="B278" i="178"/>
  <c r="B200" i="178"/>
  <c r="B249" i="178"/>
  <c r="B250" i="178"/>
  <c r="B251" i="178"/>
  <c r="B187" i="178"/>
  <c r="B332" i="178"/>
  <c r="B632" i="178"/>
  <c r="B626" i="178"/>
  <c r="B627" i="178"/>
  <c r="B629" i="178"/>
  <c r="B202" i="178"/>
  <c r="B331" i="178"/>
  <c r="B654" i="178"/>
  <c r="B652" i="178"/>
  <c r="B658" i="178"/>
  <c r="B667" i="178"/>
  <c r="B201" i="178"/>
  <c r="B273" i="178"/>
  <c r="B260" i="178"/>
  <c r="B261" i="178"/>
  <c r="B689" i="178"/>
  <c r="B690" i="178"/>
  <c r="B284" i="178"/>
  <c r="B265" i="178"/>
  <c r="B266" i="178"/>
  <c r="B361" i="178"/>
  <c r="B231" i="178"/>
  <c r="B69" i="178"/>
  <c r="B232" i="178"/>
  <c r="B271" i="178"/>
  <c r="B235" i="178"/>
  <c r="B274" i="178"/>
  <c r="B259" i="178"/>
  <c r="B276" i="178"/>
  <c r="B367" i="178"/>
  <c r="B277" i="178"/>
  <c r="B42" i="178"/>
  <c r="B279" i="178"/>
  <c r="B280" i="178"/>
  <c r="B468" i="178"/>
  <c r="B29" i="178"/>
  <c r="B10" i="178"/>
  <c r="B295" i="178"/>
  <c r="B296" i="178"/>
  <c r="B297" i="178"/>
  <c r="B298" i="178"/>
  <c r="B380" i="178"/>
  <c r="B44" i="178"/>
  <c r="B114" i="178"/>
  <c r="B302" i="178"/>
  <c r="B303" i="178"/>
  <c r="B304" i="178"/>
  <c r="B174" i="178"/>
  <c r="B306" i="178"/>
  <c r="B307" i="178"/>
  <c r="B163" i="178"/>
  <c r="B122" i="178"/>
  <c r="B165" i="178"/>
  <c r="B310" i="178"/>
  <c r="B311" i="178"/>
  <c r="B312" i="178"/>
  <c r="B313" i="178"/>
  <c r="B148" i="178"/>
  <c r="B164" i="178"/>
  <c r="B315" i="178"/>
  <c r="B316" i="178"/>
  <c r="B317" i="178"/>
  <c r="B318" i="178"/>
  <c r="B110" i="178"/>
  <c r="B151" i="178"/>
  <c r="B319" i="178"/>
  <c r="B320" i="178"/>
  <c r="B657" i="178"/>
  <c r="B75" i="178"/>
  <c r="B326" i="178"/>
  <c r="B327" i="178"/>
  <c r="B328" i="178"/>
  <c r="B329" i="178"/>
  <c r="B90" i="178"/>
  <c r="B79" i="178"/>
  <c r="B147" i="178"/>
  <c r="B333" i="178"/>
  <c r="B108" i="178"/>
  <c r="B216" i="178"/>
  <c r="B335" i="178"/>
  <c r="B224" i="178"/>
  <c r="B228" i="178"/>
  <c r="B662" i="178"/>
  <c r="B338" i="178"/>
  <c r="B104" i="178"/>
  <c r="B641" i="178"/>
  <c r="B157" i="178"/>
  <c r="B640" i="178"/>
  <c r="B340" i="178"/>
  <c r="B94" i="178"/>
  <c r="B84" i="178"/>
  <c r="B59" i="178"/>
  <c r="B630" i="178"/>
  <c r="B308" i="178"/>
  <c r="B292" i="178"/>
  <c r="B647" i="178"/>
  <c r="B337" i="178"/>
  <c r="B687" i="178"/>
  <c r="B691" i="178"/>
  <c r="B229" i="178"/>
  <c r="B223" i="178"/>
  <c r="B386" i="178"/>
  <c r="B168" i="178"/>
  <c r="B209" i="178"/>
  <c r="B346" i="178"/>
  <c r="B256" i="178"/>
  <c r="B258" i="178"/>
  <c r="B263" i="178"/>
  <c r="B359" i="178"/>
  <c r="B301" i="178"/>
  <c r="B694" i="178"/>
  <c r="B354" i="178"/>
  <c r="B355" i="178"/>
  <c r="B356" i="178"/>
  <c r="B352" i="178"/>
  <c r="B102" i="178"/>
  <c r="B370" i="178"/>
  <c r="B388" i="178"/>
  <c r="B348" i="178"/>
  <c r="B671" i="178"/>
  <c r="B679" i="178"/>
  <c r="B672" i="178"/>
  <c r="B339" i="178"/>
  <c r="B365" i="178"/>
  <c r="B366" i="178"/>
  <c r="B381" i="178"/>
  <c r="B299" i="178"/>
  <c r="B701" i="178"/>
  <c r="B707" i="178"/>
  <c r="B368" i="178"/>
  <c r="B374" i="178"/>
  <c r="B275" i="178"/>
  <c r="B372" i="178"/>
  <c r="B601" i="178"/>
  <c r="B605" i="178"/>
  <c r="B178" i="178"/>
  <c r="B385" i="178"/>
  <c r="B375" i="178"/>
  <c r="B685" i="178"/>
  <c r="B376" i="178"/>
  <c r="B612" i="178"/>
  <c r="B450" i="178"/>
  <c r="B351" i="178"/>
  <c r="B460" i="178"/>
  <c r="B451" i="178"/>
  <c r="B382" i="178"/>
  <c r="B396" i="178"/>
  <c r="B393" i="178"/>
  <c r="B530" i="178"/>
  <c r="B357" i="178"/>
  <c r="B387" i="178"/>
  <c r="B111" i="178"/>
  <c r="B239" i="178"/>
  <c r="B101" i="178"/>
  <c r="B469" i="178"/>
  <c r="B283" i="178"/>
  <c r="B237" i="178"/>
  <c r="B616" i="178"/>
  <c r="B394" i="178"/>
  <c r="B678" i="178"/>
  <c r="B180" i="178"/>
  <c r="B473" i="178"/>
  <c r="S2" i="178"/>
  <c r="A6" i="178" l="1"/>
  <c r="A3" i="178"/>
  <c r="A4" i="178"/>
  <c r="P3" i="178" l="1"/>
  <c r="Q3" i="178" s="1"/>
  <c r="O3" i="178"/>
  <c r="P4" i="178"/>
  <c r="Q4" i="178" s="1"/>
  <c r="O4" i="178"/>
  <c r="P6" i="178"/>
  <c r="Q6" i="178" s="1"/>
  <c r="O6" i="178"/>
  <c r="M3" i="178"/>
  <c r="K3" i="178"/>
  <c r="M4" i="178"/>
  <c r="K4" i="178"/>
  <c r="M6" i="178"/>
  <c r="K6" i="178"/>
  <c r="J11" i="44"/>
  <c r="J9" i="44"/>
  <c r="J7" i="44"/>
  <c r="J4" i="44"/>
  <c r="H11" i="44"/>
  <c r="H9" i="44"/>
  <c r="H7" i="44"/>
  <c r="H4" i="44"/>
  <c r="G11" i="44"/>
  <c r="G10" i="44"/>
  <c r="G9" i="44"/>
  <c r="G8" i="44"/>
  <c r="G7" i="44"/>
  <c r="G6" i="44"/>
  <c r="G5" i="44"/>
  <c r="G4" i="44"/>
  <c r="G3" i="44"/>
  <c r="G2" i="44"/>
  <c r="E11" i="44"/>
  <c r="E10" i="44"/>
  <c r="E9" i="44"/>
  <c r="E8" i="44"/>
  <c r="E7" i="44"/>
  <c r="E6" i="44"/>
  <c r="E5" i="44"/>
  <c r="E4" i="44"/>
  <c r="E3" i="44"/>
  <c r="E2" i="44"/>
  <c r="A2" i="178" l="1"/>
  <c r="A5" i="178"/>
  <c r="A8" i="178"/>
  <c r="A9" i="178"/>
  <c r="A13" i="178"/>
  <c r="A14" i="178"/>
  <c r="A15" i="178"/>
  <c r="A11" i="178"/>
  <c r="A22" i="178"/>
  <c r="A23" i="178"/>
  <c r="A24" i="178"/>
  <c r="A17" i="178"/>
  <c r="A30" i="178"/>
  <c r="A31" i="178"/>
  <c r="A32" i="178"/>
  <c r="A33" i="178"/>
  <c r="A35" i="178"/>
  <c r="A18" i="178"/>
  <c r="A45" i="178"/>
  <c r="A48" i="178"/>
  <c r="A50" i="178"/>
  <c r="A39" i="178"/>
  <c r="A62" i="178"/>
  <c r="A71" i="178"/>
  <c r="A19" i="178"/>
  <c r="A85" i="178"/>
  <c r="A86" i="178"/>
  <c r="A51" i="178"/>
  <c r="A55" i="178"/>
  <c r="A112" i="178"/>
  <c r="A115" i="178"/>
  <c r="A61" i="178"/>
  <c r="A123" i="178"/>
  <c r="A126" i="178"/>
  <c r="A131" i="178"/>
  <c r="A132" i="178"/>
  <c r="A63" i="178"/>
  <c r="A140" i="178"/>
  <c r="A144" i="178"/>
  <c r="A21" i="178"/>
  <c r="A182" i="178"/>
  <c r="A183" i="178"/>
  <c r="A184" i="178"/>
  <c r="A143" i="178"/>
  <c r="A159" i="178"/>
  <c r="A27" i="178"/>
  <c r="A217" i="178"/>
  <c r="A118" i="178"/>
  <c r="A133" i="178"/>
  <c r="A158" i="178"/>
  <c r="A341" i="178"/>
  <c r="A681" i="178"/>
  <c r="A429" i="178"/>
  <c r="A660" i="178"/>
  <c r="A65" i="178"/>
  <c r="A470" i="178"/>
  <c r="A482" i="178"/>
  <c r="A496" i="178"/>
  <c r="A717" i="178"/>
  <c r="A67" i="178"/>
  <c r="A444" i="178"/>
  <c r="A78" i="178"/>
  <c r="A502" i="178"/>
  <c r="A506" i="178"/>
  <c r="A442" i="178"/>
  <c r="A509" i="178"/>
  <c r="A519" i="178"/>
  <c r="A520" i="178"/>
  <c r="A523" i="178"/>
  <c r="A40" i="178"/>
  <c r="A74" i="178"/>
  <c r="A446" i="178"/>
  <c r="A525" i="178"/>
  <c r="A528" i="178"/>
  <c r="A533" i="178"/>
  <c r="A548" i="178"/>
  <c r="A452" i="178"/>
  <c r="A149" i="178"/>
  <c r="A578" i="178"/>
  <c r="A152" i="178"/>
  <c r="A153" i="178"/>
  <c r="A154" i="178"/>
  <c r="A93" i="178"/>
  <c r="A459" i="178"/>
  <c r="A95" i="178"/>
  <c r="A549" i="178"/>
  <c r="A97" i="178"/>
  <c r="A58" i="178"/>
  <c r="A100" i="178"/>
  <c r="A695" i="178"/>
  <c r="A567" i="178"/>
  <c r="A103" i="178"/>
  <c r="A53" i="178"/>
  <c r="A109" i="178"/>
  <c r="A156" i="178"/>
  <c r="A99" i="178"/>
  <c r="A136" i="178"/>
  <c r="A43" i="178"/>
  <c r="A142" i="178"/>
  <c r="A105" i="178"/>
  <c r="A145" i="178"/>
  <c r="A706" i="178"/>
  <c r="A60" i="178"/>
  <c r="A167" i="178"/>
  <c r="A336" i="178"/>
  <c r="A185" i="178"/>
  <c r="A186" i="178"/>
  <c r="A77" i="178"/>
  <c r="A146" i="178"/>
  <c r="A150" i="178"/>
  <c r="A499" i="178"/>
  <c r="A127" i="178"/>
  <c r="A171" i="178"/>
  <c r="A557" i="178"/>
  <c r="A170" i="178"/>
  <c r="A471" i="178"/>
  <c r="A492" i="178"/>
  <c r="A448" i="178"/>
  <c r="A544" i="178"/>
  <c r="A537" i="178"/>
  <c r="A466" i="178"/>
  <c r="A486" i="178"/>
  <c r="A405" i="178"/>
  <c r="A682" i="178"/>
  <c r="A686" i="178"/>
  <c r="A130" i="178"/>
  <c r="A57" i="178"/>
  <c r="A649" i="178"/>
  <c r="A515" i="178"/>
  <c r="A524" i="178"/>
  <c r="A406" i="178"/>
  <c r="A447" i="178"/>
  <c r="A404" i="178"/>
  <c r="A56" i="178"/>
  <c r="A138" i="178"/>
  <c r="A88" i="178"/>
  <c r="A98" i="178"/>
  <c r="A490" i="178"/>
  <c r="A467" i="178"/>
  <c r="A403" i="178"/>
  <c r="A458" i="178"/>
  <c r="A373" i="178"/>
  <c r="A12" i="178"/>
  <c r="A398" i="178"/>
  <c r="A542" i="178"/>
  <c r="A547" i="178"/>
  <c r="A554" i="178"/>
  <c r="A363" i="178"/>
  <c r="A141" i="178"/>
  <c r="A16" i="178"/>
  <c r="A291" i="178"/>
  <c r="A54" i="178"/>
  <c r="A20" i="178"/>
  <c r="A66" i="178"/>
  <c r="A36" i="178"/>
  <c r="A73" i="178"/>
  <c r="A80" i="178"/>
  <c r="A52" i="178"/>
  <c r="A480" i="178"/>
  <c r="A479" i="178"/>
  <c r="A481" i="178"/>
  <c r="A106" i="178"/>
  <c r="A107" i="178"/>
  <c r="A7" i="178"/>
  <c r="A189" i="178"/>
  <c r="A190" i="178"/>
  <c r="A191" i="178"/>
  <c r="A192" i="178"/>
  <c r="A193" i="178"/>
  <c r="A194" i="178"/>
  <c r="A121" i="178"/>
  <c r="A226" i="178"/>
  <c r="A197" i="178"/>
  <c r="A674" i="178"/>
  <c r="A198" i="178"/>
  <c r="A196" i="178"/>
  <c r="A236" i="178"/>
  <c r="A238" i="178"/>
  <c r="A243" i="178"/>
  <c r="A246" i="178"/>
  <c r="A128" i="178"/>
  <c r="A203" i="178"/>
  <c r="A621" i="178"/>
  <c r="A204" i="178"/>
  <c r="A558" i="178"/>
  <c r="A139" i="178"/>
  <c r="A206" i="178"/>
  <c r="A207" i="178"/>
  <c r="A208" i="178"/>
  <c r="A210" i="178"/>
  <c r="A211" i="178"/>
  <c r="A162" i="178"/>
  <c r="A46" i="178"/>
  <c r="A213" i="178"/>
  <c r="A214" i="178"/>
  <c r="A493" i="178"/>
  <c r="A269" i="178"/>
  <c r="A218" i="178"/>
  <c r="A219" i="178"/>
  <c r="A611" i="178"/>
  <c r="A221" i="178"/>
  <c r="A222" i="178"/>
  <c r="A281" i="178"/>
  <c r="A282" i="178"/>
  <c r="A556" i="178"/>
  <c r="A225" i="178"/>
  <c r="A309" i="178"/>
  <c r="A172" i="178"/>
  <c r="A588" i="178"/>
  <c r="A461" i="178"/>
  <c r="A364" i="178"/>
  <c r="A119" i="178"/>
  <c r="A426" i="178"/>
  <c r="A465" i="178"/>
  <c r="A464" i="178"/>
  <c r="A270" i="178"/>
  <c r="A233" i="178"/>
  <c r="A234" i="178"/>
  <c r="A195" i="178"/>
  <c r="A574" i="178"/>
  <c r="A199" i="178"/>
  <c r="A248" i="178"/>
  <c r="A294" i="178"/>
  <c r="A286" i="178"/>
  <c r="A129" i="178"/>
  <c r="A244" i="178"/>
  <c r="A325" i="178"/>
  <c r="A596" i="178"/>
  <c r="A278" i="178"/>
  <c r="A200" i="178"/>
  <c r="A249" i="178"/>
  <c r="A250" i="178"/>
  <c r="A251" i="178"/>
  <c r="A187" i="178"/>
  <c r="A332" i="178"/>
  <c r="A632" i="178"/>
  <c r="A626" i="178"/>
  <c r="A627" i="178"/>
  <c r="A629" i="178"/>
  <c r="A202" i="178"/>
  <c r="A331" i="178"/>
  <c r="A654" i="178"/>
  <c r="A652" i="178"/>
  <c r="A658" i="178"/>
  <c r="A667" i="178"/>
  <c r="A201" i="178"/>
  <c r="A273" i="178"/>
  <c r="A260" i="178"/>
  <c r="A261" i="178"/>
  <c r="A689" i="178"/>
  <c r="A690" i="178"/>
  <c r="A284" i="178"/>
  <c r="A265" i="178"/>
  <c r="A266" i="178"/>
  <c r="A361" i="178"/>
  <c r="A231" i="178"/>
  <c r="A69" i="178"/>
  <c r="A232" i="178"/>
  <c r="A271" i="178"/>
  <c r="A235" i="178"/>
  <c r="A274" i="178"/>
  <c r="A259" i="178"/>
  <c r="A276" i="178"/>
  <c r="A367" i="178"/>
  <c r="A277" i="178"/>
  <c r="A42" i="178"/>
  <c r="A279" i="178"/>
  <c r="A280" i="178"/>
  <c r="A468" i="178"/>
  <c r="A29" i="178"/>
  <c r="A10" i="178"/>
  <c r="A295" i="178"/>
  <c r="A296" i="178"/>
  <c r="A297" i="178"/>
  <c r="A298" i="178"/>
  <c r="A380" i="178"/>
  <c r="A44" i="178"/>
  <c r="A114" i="178"/>
  <c r="A302" i="178"/>
  <c r="A303" i="178"/>
  <c r="A304" i="178"/>
  <c r="A174" i="178"/>
  <c r="A306" i="178"/>
  <c r="A307" i="178"/>
  <c r="A163" i="178"/>
  <c r="A122" i="178"/>
  <c r="A165" i="178"/>
  <c r="A310" i="178"/>
  <c r="A311" i="178"/>
  <c r="A312" i="178"/>
  <c r="A313" i="178"/>
  <c r="A148" i="178"/>
  <c r="A164" i="178"/>
  <c r="A315" i="178"/>
  <c r="A316" i="178"/>
  <c r="A317" i="178"/>
  <c r="A318" i="178"/>
  <c r="A110" i="178"/>
  <c r="A151" i="178"/>
  <c r="A319" i="178"/>
  <c r="A320" i="178"/>
  <c r="A657" i="178"/>
  <c r="A75" i="178"/>
  <c r="A326" i="178"/>
  <c r="A327" i="178"/>
  <c r="A328" i="178"/>
  <c r="A329" i="178"/>
  <c r="A90" i="178"/>
  <c r="A79" i="178"/>
  <c r="A147" i="178"/>
  <c r="A333" i="178"/>
  <c r="A108" i="178"/>
  <c r="A216" i="178"/>
  <c r="A335" i="178"/>
  <c r="A224" i="178"/>
  <c r="A228" i="178"/>
  <c r="A662" i="178"/>
  <c r="A338" i="178"/>
  <c r="A104" i="178"/>
  <c r="A641" i="178"/>
  <c r="A157" i="178"/>
  <c r="A640" i="178"/>
  <c r="A340" i="178"/>
  <c r="A94" i="178"/>
  <c r="A84" i="178"/>
  <c r="A59" i="178"/>
  <c r="A630" i="178"/>
  <c r="A308" i="178"/>
  <c r="A292" i="178"/>
  <c r="A647" i="178"/>
  <c r="A337" i="178"/>
  <c r="A687" i="178"/>
  <c r="A691" i="178"/>
  <c r="A229" i="178"/>
  <c r="A223" i="178"/>
  <c r="A386" i="178"/>
  <c r="A168" i="178"/>
  <c r="A209" i="178"/>
  <c r="A346" i="178"/>
  <c r="A256" i="178"/>
  <c r="A258" i="178"/>
  <c r="A263" i="178"/>
  <c r="A359" i="178"/>
  <c r="A301" i="178"/>
  <c r="A694" i="178"/>
  <c r="A354" i="178"/>
  <c r="A355" i="178"/>
  <c r="A356" i="178"/>
  <c r="A352" i="178"/>
  <c r="A102" i="178"/>
  <c r="A370" i="178"/>
  <c r="A388" i="178"/>
  <c r="A348" i="178"/>
  <c r="A671" i="178"/>
  <c r="A679" i="178"/>
  <c r="A672" i="178"/>
  <c r="A339" i="178"/>
  <c r="A365" i="178"/>
  <c r="A366" i="178"/>
  <c r="A381" i="178"/>
  <c r="A299" i="178"/>
  <c r="A701" i="178"/>
  <c r="A707" i="178"/>
  <c r="A368" i="178"/>
  <c r="A374" i="178"/>
  <c r="A275" i="178"/>
  <c r="A372" i="178"/>
  <c r="A601" i="178"/>
  <c r="A605" i="178"/>
  <c r="A178" i="178"/>
  <c r="A385" i="178"/>
  <c r="A375" i="178"/>
  <c r="A685" i="178"/>
  <c r="A376" i="178"/>
  <c r="A612" i="178"/>
  <c r="A450" i="178"/>
  <c r="A351" i="178"/>
  <c r="A460" i="178"/>
  <c r="A451" i="178"/>
  <c r="A382" i="178"/>
  <c r="A396" i="178"/>
  <c r="A393" i="178"/>
  <c r="A530" i="178"/>
  <c r="A357" i="178"/>
  <c r="A387" i="178"/>
  <c r="A111" i="178"/>
  <c r="A239" i="178"/>
  <c r="A101" i="178"/>
  <c r="A469" i="178"/>
  <c r="A283" i="178"/>
  <c r="A237" i="178"/>
  <c r="A616" i="178"/>
  <c r="A394" i="178"/>
  <c r="A678" i="178"/>
  <c r="A180" i="178"/>
  <c r="A473" i="178"/>
  <c r="P381" i="178" l="1"/>
  <c r="Q381" i="178" s="1"/>
  <c r="O381" i="178"/>
  <c r="P317" i="178"/>
  <c r="Q317" i="178" s="1"/>
  <c r="O317" i="178"/>
  <c r="P250" i="178"/>
  <c r="Q250" i="178" s="1"/>
  <c r="O250" i="178"/>
  <c r="P162" i="178"/>
  <c r="Q162" i="178" s="1"/>
  <c r="O162" i="178"/>
  <c r="P88" i="178"/>
  <c r="Q88" i="178" s="1"/>
  <c r="O88" i="178"/>
  <c r="P99" i="178"/>
  <c r="Q99" i="178" s="1"/>
  <c r="O99" i="178"/>
  <c r="P152" i="178"/>
  <c r="Q152" i="178" s="1"/>
  <c r="O152" i="178"/>
  <c r="P506" i="178"/>
  <c r="Q506" i="178" s="1"/>
  <c r="O506" i="178"/>
  <c r="P61" i="178"/>
  <c r="Q61" i="178" s="1"/>
  <c r="O61" i="178"/>
  <c r="P372" i="178"/>
  <c r="Q372" i="178" s="1"/>
  <c r="O372" i="178"/>
  <c r="P370" i="178"/>
  <c r="Q370" i="178" s="1"/>
  <c r="O370" i="178"/>
  <c r="P223" i="178"/>
  <c r="Q223" i="178" s="1"/>
  <c r="O223" i="178"/>
  <c r="P630" i="178"/>
  <c r="Q630" i="178" s="1"/>
  <c r="O630" i="178"/>
  <c r="P333" i="178"/>
  <c r="Q333" i="178" s="1"/>
  <c r="O333" i="178"/>
  <c r="P75" i="178"/>
  <c r="Q75" i="178" s="1"/>
  <c r="O75" i="178"/>
  <c r="P316" i="178"/>
  <c r="Q316" i="178" s="1"/>
  <c r="O316" i="178"/>
  <c r="P165" i="178"/>
  <c r="Q165" i="178" s="1"/>
  <c r="O165" i="178"/>
  <c r="P302" i="178"/>
  <c r="Q302" i="178" s="1"/>
  <c r="O302" i="178"/>
  <c r="P10" i="178"/>
  <c r="Q10" i="178" s="1"/>
  <c r="O10" i="178"/>
  <c r="P276" i="178"/>
  <c r="Q276" i="178" s="1"/>
  <c r="O276" i="178"/>
  <c r="O361" i="178"/>
  <c r="P361" i="178"/>
  <c r="Q361" i="178" s="1"/>
  <c r="P273" i="178"/>
  <c r="Q273" i="178" s="1"/>
  <c r="O273" i="178"/>
  <c r="P629" i="178"/>
  <c r="Q629" i="178" s="1"/>
  <c r="O629" i="178"/>
  <c r="P249" i="178"/>
  <c r="Q249" i="178" s="1"/>
  <c r="O249" i="178"/>
  <c r="P294" i="178"/>
  <c r="Q294" i="178" s="1"/>
  <c r="O294" i="178"/>
  <c r="P464" i="178"/>
  <c r="Q464" i="178" s="1"/>
  <c r="O464" i="178"/>
  <c r="P309" i="178"/>
  <c r="Q309" i="178" s="1"/>
  <c r="O309" i="178"/>
  <c r="P219" i="178"/>
  <c r="Q219" i="178" s="1"/>
  <c r="O219" i="178"/>
  <c r="P211" i="178"/>
  <c r="Q211" i="178" s="1"/>
  <c r="O211" i="178"/>
  <c r="P621" i="178"/>
  <c r="Q621" i="178" s="1"/>
  <c r="O621" i="178"/>
  <c r="P198" i="178"/>
  <c r="Q198" i="178" s="1"/>
  <c r="O198" i="178"/>
  <c r="P191" i="178"/>
  <c r="Q191" i="178" s="1"/>
  <c r="O191" i="178"/>
  <c r="P480" i="178"/>
  <c r="Q480" i="178" s="1"/>
  <c r="O480" i="178"/>
  <c r="P291" i="178"/>
  <c r="Q291" i="178" s="1"/>
  <c r="O291" i="178"/>
  <c r="P12" i="178"/>
  <c r="Q12" i="178" s="1"/>
  <c r="O12" i="178"/>
  <c r="P138" i="178"/>
  <c r="Q138" i="178" s="1"/>
  <c r="O138" i="178"/>
  <c r="P57" i="178"/>
  <c r="Q57" i="178" s="1"/>
  <c r="O57" i="178"/>
  <c r="P544" i="178"/>
  <c r="Q544" i="178" s="1"/>
  <c r="O544" i="178"/>
  <c r="P499" i="178"/>
  <c r="Q499" i="178" s="1"/>
  <c r="O499" i="178"/>
  <c r="P60" i="178"/>
  <c r="Q60" i="178" s="1"/>
  <c r="O60" i="178"/>
  <c r="P156" i="178"/>
  <c r="Q156" i="178" s="1"/>
  <c r="O156" i="178"/>
  <c r="P97" i="178"/>
  <c r="Q97" i="178" s="1"/>
  <c r="O97" i="178"/>
  <c r="P578" i="178"/>
  <c r="Q578" i="178" s="1"/>
  <c r="O578" i="178"/>
  <c r="P74" i="178"/>
  <c r="Q74" i="178" s="1"/>
  <c r="O74" i="178"/>
  <c r="P502" i="178"/>
  <c r="Q502" i="178" s="1"/>
  <c r="O502" i="178"/>
  <c r="P65" i="178"/>
  <c r="Q65" i="178" s="1"/>
  <c r="O65" i="178"/>
  <c r="P217" i="178"/>
  <c r="Q217" i="178" s="1"/>
  <c r="O217" i="178"/>
  <c r="P144" i="178"/>
  <c r="Q144" i="178" s="1"/>
  <c r="O144" i="178"/>
  <c r="P115" i="178"/>
  <c r="Q115" i="178" s="1"/>
  <c r="O115" i="178"/>
  <c r="P62" i="178"/>
  <c r="Q62" i="178" s="1"/>
  <c r="O62" i="178"/>
  <c r="P32" i="178"/>
  <c r="Q32" i="178" s="1"/>
  <c r="O32" i="178"/>
  <c r="P15" i="178"/>
  <c r="Q15" i="178" s="1"/>
  <c r="O15" i="178"/>
  <c r="P601" i="178"/>
  <c r="Q601" i="178" s="1"/>
  <c r="O601" i="178"/>
  <c r="P326" i="178"/>
  <c r="Q326" i="178" s="1"/>
  <c r="O326" i="178"/>
  <c r="P231" i="178"/>
  <c r="Q231" i="178" s="1"/>
  <c r="O231" i="178"/>
  <c r="P611" i="178"/>
  <c r="Q611" i="178" s="1"/>
  <c r="O611" i="178"/>
  <c r="P398" i="178"/>
  <c r="Q398" i="178" s="1"/>
  <c r="O398" i="178"/>
  <c r="P21" i="178"/>
  <c r="Q21" i="178" s="1"/>
  <c r="O21" i="178"/>
  <c r="P612" i="178"/>
  <c r="Q612" i="178" s="1"/>
  <c r="O612" i="178"/>
  <c r="P366" i="178"/>
  <c r="Q366" i="178" s="1"/>
  <c r="O366" i="178"/>
  <c r="P359" i="178"/>
  <c r="Q359" i="178" s="1"/>
  <c r="O359" i="178"/>
  <c r="P104" i="178"/>
  <c r="Q104" i="178" s="1"/>
  <c r="O104" i="178"/>
  <c r="P283" i="178"/>
  <c r="Q283" i="178" s="1"/>
  <c r="O283" i="178"/>
  <c r="O393" i="178"/>
  <c r="P393" i="178"/>
  <c r="Q393" i="178" s="1"/>
  <c r="P376" i="178"/>
  <c r="Q376" i="178" s="1"/>
  <c r="O376" i="178"/>
  <c r="P275" i="178"/>
  <c r="Q275" i="178" s="1"/>
  <c r="O275" i="178"/>
  <c r="P365" i="178"/>
  <c r="Q365" i="178" s="1"/>
  <c r="O365" i="178"/>
  <c r="P102" i="178"/>
  <c r="Q102" i="178" s="1"/>
  <c r="O102" i="178"/>
  <c r="P263" i="178"/>
  <c r="Q263" i="178" s="1"/>
  <c r="O263" i="178"/>
  <c r="P229" i="178"/>
  <c r="Q229" i="178" s="1"/>
  <c r="O229" i="178"/>
  <c r="P59" i="178"/>
  <c r="Q59" i="178" s="1"/>
  <c r="O59" i="178"/>
  <c r="P338" i="178"/>
  <c r="Q338" i="178" s="1"/>
  <c r="O338" i="178"/>
  <c r="P147" i="178"/>
  <c r="Q147" i="178" s="1"/>
  <c r="O147" i="178"/>
  <c r="P657" i="178"/>
  <c r="Q657" i="178" s="1"/>
  <c r="O657" i="178"/>
  <c r="P315" i="178"/>
  <c r="Q315" i="178" s="1"/>
  <c r="O315" i="178"/>
  <c r="P122" i="178"/>
  <c r="Q122" i="178" s="1"/>
  <c r="O122" i="178"/>
  <c r="P114" i="178"/>
  <c r="Q114" i="178" s="1"/>
  <c r="O114" i="178"/>
  <c r="P29" i="178"/>
  <c r="Q29" i="178" s="1"/>
  <c r="O29" i="178"/>
  <c r="P259" i="178"/>
  <c r="Q259" i="178" s="1"/>
  <c r="O259" i="178"/>
  <c r="P266" i="178"/>
  <c r="Q266" i="178" s="1"/>
  <c r="O266" i="178"/>
  <c r="P201" i="178"/>
  <c r="Q201" i="178" s="1"/>
  <c r="O201" i="178"/>
  <c r="P627" i="178"/>
  <c r="Q627" i="178" s="1"/>
  <c r="O627" i="178"/>
  <c r="P200" i="178"/>
  <c r="Q200" i="178" s="1"/>
  <c r="O200" i="178"/>
  <c r="P248" i="178"/>
  <c r="Q248" i="178" s="1"/>
  <c r="O248" i="178"/>
  <c r="P465" i="178"/>
  <c r="Q465" i="178" s="1"/>
  <c r="O465" i="178"/>
  <c r="P225" i="178"/>
  <c r="Q225" i="178" s="1"/>
  <c r="O225" i="178"/>
  <c r="P218" i="178"/>
  <c r="Q218" i="178" s="1"/>
  <c r="O218" i="178"/>
  <c r="P210" i="178"/>
  <c r="Q210" i="178" s="1"/>
  <c r="O210" i="178"/>
  <c r="P203" i="178"/>
  <c r="Q203" i="178" s="1"/>
  <c r="O203" i="178"/>
  <c r="P674" i="178"/>
  <c r="Q674" i="178" s="1"/>
  <c r="O674" i="178"/>
  <c r="P190" i="178"/>
  <c r="Q190" i="178" s="1"/>
  <c r="O190" i="178"/>
  <c r="P52" i="178"/>
  <c r="Q52" i="178" s="1"/>
  <c r="O52" i="178"/>
  <c r="P16" i="178"/>
  <c r="Q16" i="178" s="1"/>
  <c r="O16" i="178"/>
  <c r="P373" i="178"/>
  <c r="Q373" i="178" s="1"/>
  <c r="O373" i="178"/>
  <c r="P56" i="178"/>
  <c r="Q56" i="178" s="1"/>
  <c r="O56" i="178"/>
  <c r="P130" i="178"/>
  <c r="Q130" i="178" s="1"/>
  <c r="O130" i="178"/>
  <c r="P448" i="178"/>
  <c r="Q448" i="178" s="1"/>
  <c r="O448" i="178"/>
  <c r="P150" i="178"/>
  <c r="Q150" i="178" s="1"/>
  <c r="O150" i="178"/>
  <c r="P706" i="178"/>
  <c r="Q706" i="178" s="1"/>
  <c r="O706" i="178"/>
  <c r="P109" i="178"/>
  <c r="Q109" i="178" s="1"/>
  <c r="O109" i="178"/>
  <c r="P549" i="178"/>
  <c r="Q549" i="178" s="1"/>
  <c r="O549" i="178"/>
  <c r="P149" i="178"/>
  <c r="Q149" i="178" s="1"/>
  <c r="O149" i="178"/>
  <c r="P40" i="178"/>
  <c r="Q40" i="178" s="1"/>
  <c r="O40" i="178"/>
  <c r="P78" i="178"/>
  <c r="Q78" i="178" s="1"/>
  <c r="O78" i="178"/>
  <c r="P660" i="178"/>
  <c r="Q660" i="178" s="1"/>
  <c r="O660" i="178"/>
  <c r="P27" i="178"/>
  <c r="Q27" i="178" s="1"/>
  <c r="O27" i="178"/>
  <c r="P140" i="178"/>
  <c r="Q140" i="178" s="1"/>
  <c r="O140" i="178"/>
  <c r="P112" i="178"/>
  <c r="Q112" i="178" s="1"/>
  <c r="O112" i="178"/>
  <c r="P39" i="178"/>
  <c r="Q39" i="178" s="1"/>
  <c r="O39" i="178"/>
  <c r="P31" i="178"/>
  <c r="Q31" i="178" s="1"/>
  <c r="O31" i="178"/>
  <c r="P14" i="178"/>
  <c r="Q14" i="178" s="1"/>
  <c r="O14" i="178"/>
  <c r="P301" i="178"/>
  <c r="Q301" i="178" s="1"/>
  <c r="O301" i="178"/>
  <c r="P310" i="178"/>
  <c r="Q310" i="178" s="1"/>
  <c r="O310" i="178"/>
  <c r="P286" i="178"/>
  <c r="Q286" i="178" s="1"/>
  <c r="O286" i="178"/>
  <c r="P196" i="178"/>
  <c r="Q196" i="178" s="1"/>
  <c r="O196" i="178"/>
  <c r="P537" i="178"/>
  <c r="Q537" i="178" s="1"/>
  <c r="O537" i="178"/>
  <c r="P118" i="178"/>
  <c r="Q118" i="178" s="1"/>
  <c r="O118" i="178"/>
  <c r="P530" i="178"/>
  <c r="Q530" i="178" s="1"/>
  <c r="O530" i="178"/>
  <c r="P339" i="178"/>
  <c r="Q339" i="178" s="1"/>
  <c r="O339" i="178"/>
  <c r="P258" i="178"/>
  <c r="Q258" i="178" s="1"/>
  <c r="O258" i="178"/>
  <c r="P84" i="178"/>
  <c r="Q84" i="178" s="1"/>
  <c r="O84" i="178"/>
  <c r="P662" i="178"/>
  <c r="Q662" i="178" s="1"/>
  <c r="O662" i="178"/>
  <c r="P79" i="178"/>
  <c r="Q79" i="178" s="1"/>
  <c r="O79" i="178"/>
  <c r="P320" i="178"/>
  <c r="Q320" i="178" s="1"/>
  <c r="O320" i="178"/>
  <c r="P164" i="178"/>
  <c r="Q164" i="178" s="1"/>
  <c r="O164" i="178"/>
  <c r="P163" i="178"/>
  <c r="Q163" i="178" s="1"/>
  <c r="O163" i="178"/>
  <c r="P44" i="178"/>
  <c r="Q44" i="178" s="1"/>
  <c r="O44" i="178"/>
  <c r="P468" i="178"/>
  <c r="Q468" i="178" s="1"/>
  <c r="O468" i="178"/>
  <c r="P274" i="178"/>
  <c r="Q274" i="178" s="1"/>
  <c r="O274" i="178"/>
  <c r="P265" i="178"/>
  <c r="Q265" i="178" s="1"/>
  <c r="O265" i="178"/>
  <c r="P667" i="178"/>
  <c r="Q667" i="178" s="1"/>
  <c r="O667" i="178"/>
  <c r="P626" i="178"/>
  <c r="Q626" i="178" s="1"/>
  <c r="O626" i="178"/>
  <c r="P278" i="178"/>
  <c r="Q278" i="178" s="1"/>
  <c r="O278" i="178"/>
  <c r="P199" i="178"/>
  <c r="Q199" i="178" s="1"/>
  <c r="O199" i="178"/>
  <c r="P426" i="178"/>
  <c r="Q426" i="178" s="1"/>
  <c r="O426" i="178"/>
  <c r="P556" i="178"/>
  <c r="Q556" i="178" s="1"/>
  <c r="O556" i="178"/>
  <c r="P269" i="178"/>
  <c r="Q269" i="178" s="1"/>
  <c r="O269" i="178"/>
  <c r="P208" i="178"/>
  <c r="Q208" i="178" s="1"/>
  <c r="O208" i="178"/>
  <c r="P128" i="178"/>
  <c r="Q128" i="178" s="1"/>
  <c r="O128" i="178"/>
  <c r="P197" i="178"/>
  <c r="Q197" i="178" s="1"/>
  <c r="O197" i="178"/>
  <c r="P189" i="178"/>
  <c r="Q189" i="178" s="1"/>
  <c r="O189" i="178"/>
  <c r="P80" i="178"/>
  <c r="Q80" i="178" s="1"/>
  <c r="O80" i="178"/>
  <c r="P141" i="178"/>
  <c r="Q141" i="178" s="1"/>
  <c r="O141" i="178"/>
  <c r="P458" i="178"/>
  <c r="Q458" i="178" s="1"/>
  <c r="O458" i="178"/>
  <c r="P404" i="178"/>
  <c r="Q404" i="178" s="1"/>
  <c r="O404" i="178"/>
  <c r="P686" i="178"/>
  <c r="Q686" i="178" s="1"/>
  <c r="O686" i="178"/>
  <c r="P492" i="178"/>
  <c r="Q492" i="178" s="1"/>
  <c r="O492" i="178"/>
  <c r="P146" i="178"/>
  <c r="Q146" i="178" s="1"/>
  <c r="O146" i="178"/>
  <c r="P145" i="178"/>
  <c r="Q145" i="178" s="1"/>
  <c r="O145" i="178"/>
  <c r="P53" i="178"/>
  <c r="Q53" i="178" s="1"/>
  <c r="O53" i="178"/>
  <c r="P95" i="178"/>
  <c r="Q95" i="178" s="1"/>
  <c r="O95" i="178"/>
  <c r="P452" i="178"/>
  <c r="Q452" i="178" s="1"/>
  <c r="O452" i="178"/>
  <c r="P523" i="178"/>
  <c r="Q523" i="178" s="1"/>
  <c r="O523" i="178"/>
  <c r="P444" i="178"/>
  <c r="Q444" i="178" s="1"/>
  <c r="O444" i="178"/>
  <c r="P429" i="178"/>
  <c r="Q429" i="178" s="1"/>
  <c r="O429" i="178"/>
  <c r="P159" i="178"/>
  <c r="Q159" i="178" s="1"/>
  <c r="O159" i="178"/>
  <c r="P63" i="178"/>
  <c r="Q63" i="178" s="1"/>
  <c r="O63" i="178"/>
  <c r="P55" i="178"/>
  <c r="Q55" i="178" s="1"/>
  <c r="O55" i="178"/>
  <c r="P50" i="178"/>
  <c r="Q50" i="178" s="1"/>
  <c r="O50" i="178"/>
  <c r="P30" i="178"/>
  <c r="Q30" i="178" s="1"/>
  <c r="O30" i="178"/>
  <c r="P13" i="178"/>
  <c r="Q13" i="178" s="1"/>
  <c r="O13" i="178"/>
  <c r="P450" i="178"/>
  <c r="Q450" i="178" s="1"/>
  <c r="O450" i="178"/>
  <c r="P308" i="178"/>
  <c r="Q308" i="178" s="1"/>
  <c r="O308" i="178"/>
  <c r="P295" i="178"/>
  <c r="Q295" i="178" s="1"/>
  <c r="O295" i="178"/>
  <c r="P172" i="178"/>
  <c r="Q172" i="178" s="1"/>
  <c r="O172" i="178"/>
  <c r="P54" i="178"/>
  <c r="Q54" i="178" s="1"/>
  <c r="O54" i="178"/>
  <c r="P71" i="178"/>
  <c r="Q71" i="178" s="1"/>
  <c r="O71" i="178"/>
  <c r="P685" i="178"/>
  <c r="Q685" i="178" s="1"/>
  <c r="O685" i="178"/>
  <c r="P352" i="178"/>
  <c r="Q352" i="178" s="1"/>
  <c r="O352" i="178"/>
  <c r="P691" i="178"/>
  <c r="Q691" i="178" s="1"/>
  <c r="O691" i="178"/>
  <c r="P473" i="178"/>
  <c r="Q473" i="178" s="1"/>
  <c r="O473" i="178"/>
  <c r="P101" i="178"/>
  <c r="Q101" i="178" s="1"/>
  <c r="O101" i="178"/>
  <c r="P382" i="178"/>
  <c r="Q382" i="178" s="1"/>
  <c r="O382" i="178"/>
  <c r="P375" i="178"/>
  <c r="Q375" i="178" s="1"/>
  <c r="O375" i="178"/>
  <c r="P368" i="178"/>
  <c r="Q368" i="178" s="1"/>
  <c r="O368" i="178"/>
  <c r="P672" i="178"/>
  <c r="Q672" i="178" s="1"/>
  <c r="O672" i="178"/>
  <c r="P356" i="178"/>
  <c r="Q356" i="178" s="1"/>
  <c r="O356" i="178"/>
  <c r="P256" i="178"/>
  <c r="Q256" i="178" s="1"/>
  <c r="O256" i="178"/>
  <c r="P687" i="178"/>
  <c r="Q687" i="178" s="1"/>
  <c r="O687" i="178"/>
  <c r="P94" i="178"/>
  <c r="Q94" i="178" s="1"/>
  <c r="O94" i="178"/>
  <c r="P228" i="178"/>
  <c r="Q228" i="178" s="1"/>
  <c r="O228" i="178"/>
  <c r="P90" i="178"/>
  <c r="Q90" i="178" s="1"/>
  <c r="O90" i="178"/>
  <c r="P319" i="178"/>
  <c r="Q319" i="178" s="1"/>
  <c r="O319" i="178"/>
  <c r="P148" i="178"/>
  <c r="Q148" i="178" s="1"/>
  <c r="O148" i="178"/>
  <c r="P307" i="178"/>
  <c r="Q307" i="178" s="1"/>
  <c r="O307" i="178"/>
  <c r="P380" i="178"/>
  <c r="Q380" i="178" s="1"/>
  <c r="O380" i="178"/>
  <c r="P280" i="178"/>
  <c r="Q280" i="178" s="1"/>
  <c r="O280" i="178"/>
  <c r="P235" i="178"/>
  <c r="Q235" i="178" s="1"/>
  <c r="O235" i="178"/>
  <c r="P284" i="178"/>
  <c r="Q284" i="178" s="1"/>
  <c r="O284" i="178"/>
  <c r="P658" i="178"/>
  <c r="Q658" i="178" s="1"/>
  <c r="O658" i="178"/>
  <c r="P632" i="178"/>
  <c r="Q632" i="178" s="1"/>
  <c r="O632" i="178"/>
  <c r="P596" i="178"/>
  <c r="Q596" i="178" s="1"/>
  <c r="O596" i="178"/>
  <c r="P574" i="178"/>
  <c r="Q574" i="178" s="1"/>
  <c r="O574" i="178"/>
  <c r="P119" i="178"/>
  <c r="Q119" i="178" s="1"/>
  <c r="O119" i="178"/>
  <c r="P282" i="178"/>
  <c r="Q282" i="178" s="1"/>
  <c r="O282" i="178"/>
  <c r="P493" i="178"/>
  <c r="Q493" i="178" s="1"/>
  <c r="O493" i="178"/>
  <c r="P207" i="178"/>
  <c r="Q207" i="178" s="1"/>
  <c r="O207" i="178"/>
  <c r="P246" i="178"/>
  <c r="Q246" i="178" s="1"/>
  <c r="O246" i="178"/>
  <c r="P226" i="178"/>
  <c r="Q226" i="178" s="1"/>
  <c r="O226" i="178"/>
  <c r="P7" i="178"/>
  <c r="Q7" i="178" s="1"/>
  <c r="O7" i="178"/>
  <c r="P73" i="178"/>
  <c r="Q73" i="178" s="1"/>
  <c r="O73" i="178"/>
  <c r="P363" i="178"/>
  <c r="Q363" i="178" s="1"/>
  <c r="O363" i="178"/>
  <c r="P403" i="178"/>
  <c r="Q403" i="178" s="1"/>
  <c r="O403" i="178"/>
  <c r="P447" i="178"/>
  <c r="Q447" i="178" s="1"/>
  <c r="O447" i="178"/>
  <c r="P682" i="178"/>
  <c r="Q682" i="178" s="1"/>
  <c r="O682" i="178"/>
  <c r="P471" i="178"/>
  <c r="Q471" i="178" s="1"/>
  <c r="O471" i="178"/>
  <c r="P77" i="178"/>
  <c r="Q77" i="178" s="1"/>
  <c r="O77" i="178"/>
  <c r="P105" i="178"/>
  <c r="Q105" i="178" s="1"/>
  <c r="O105" i="178"/>
  <c r="P103" i="178"/>
  <c r="Q103" i="178" s="1"/>
  <c r="O103" i="178"/>
  <c r="P459" i="178"/>
  <c r="Q459" i="178" s="1"/>
  <c r="O459" i="178"/>
  <c r="P548" i="178"/>
  <c r="Q548" i="178" s="1"/>
  <c r="O548" i="178"/>
  <c r="P520" i="178"/>
  <c r="Q520" i="178" s="1"/>
  <c r="O520" i="178"/>
  <c r="P67" i="178"/>
  <c r="Q67" i="178" s="1"/>
  <c r="O67" i="178"/>
  <c r="O681" i="178"/>
  <c r="P681" i="178"/>
  <c r="Q681" i="178" s="1"/>
  <c r="P143" i="178"/>
  <c r="Q143" i="178" s="1"/>
  <c r="O143" i="178"/>
  <c r="P132" i="178"/>
  <c r="Q132" i="178" s="1"/>
  <c r="O132" i="178"/>
  <c r="P51" i="178"/>
  <c r="Q51" i="178" s="1"/>
  <c r="O51" i="178"/>
  <c r="P48" i="178"/>
  <c r="Q48" i="178" s="1"/>
  <c r="O48" i="178"/>
  <c r="P17" i="178"/>
  <c r="Q17" i="178" s="1"/>
  <c r="O17" i="178"/>
  <c r="P9" i="178"/>
  <c r="Q9" i="178" s="1"/>
  <c r="O9" i="178"/>
  <c r="P616" i="178"/>
  <c r="Q616" i="178" s="1"/>
  <c r="O616" i="178"/>
  <c r="P388" i="178"/>
  <c r="Q388" i="178" s="1"/>
  <c r="O388" i="178"/>
  <c r="P108" i="178"/>
  <c r="Q108" i="178" s="1"/>
  <c r="O108" i="178"/>
  <c r="P367" i="178"/>
  <c r="Q367" i="178" s="1"/>
  <c r="O367" i="178"/>
  <c r="P270" i="178"/>
  <c r="Q270" i="178" s="1"/>
  <c r="O270" i="178"/>
  <c r="P192" i="178"/>
  <c r="Q192" i="178" s="1"/>
  <c r="O192" i="178"/>
  <c r="O649" i="178"/>
  <c r="P649" i="178"/>
  <c r="Q649" i="178" s="1"/>
  <c r="P167" i="178"/>
  <c r="Q167" i="178" s="1"/>
  <c r="O167" i="178"/>
  <c r="P58" i="178"/>
  <c r="Q58" i="178" s="1"/>
  <c r="O58" i="178"/>
  <c r="P446" i="178"/>
  <c r="Q446" i="178" s="1"/>
  <c r="O446" i="178"/>
  <c r="P11" i="178"/>
  <c r="Q11" i="178" s="1"/>
  <c r="O11" i="178"/>
  <c r="P469" i="178"/>
  <c r="Q469" i="178" s="1"/>
  <c r="O469" i="178"/>
  <c r="P239" i="178"/>
  <c r="Q239" i="178" s="1"/>
  <c r="O239" i="178"/>
  <c r="P385" i="178"/>
  <c r="Q385" i="178" s="1"/>
  <c r="O385" i="178"/>
  <c r="P707" i="178"/>
  <c r="Q707" i="178" s="1"/>
  <c r="O707" i="178"/>
  <c r="P679" i="178"/>
  <c r="Q679" i="178" s="1"/>
  <c r="O679" i="178"/>
  <c r="P355" i="178"/>
  <c r="Q355" i="178" s="1"/>
  <c r="O355" i="178"/>
  <c r="P346" i="178"/>
  <c r="Q346" i="178" s="1"/>
  <c r="O346" i="178"/>
  <c r="P337" i="178"/>
  <c r="Q337" i="178" s="1"/>
  <c r="O337" i="178"/>
  <c r="P340" i="178"/>
  <c r="Q340" i="178" s="1"/>
  <c r="O340" i="178"/>
  <c r="P224" i="178"/>
  <c r="Q224" i="178" s="1"/>
  <c r="O224" i="178"/>
  <c r="P329" i="178"/>
  <c r="Q329" i="178" s="1"/>
  <c r="O329" i="178"/>
  <c r="P151" i="178"/>
  <c r="Q151" i="178" s="1"/>
  <c r="O151" i="178"/>
  <c r="P313" i="178"/>
  <c r="Q313" i="178" s="1"/>
  <c r="O313" i="178"/>
  <c r="P306" i="178"/>
  <c r="Q306" i="178" s="1"/>
  <c r="O306" i="178"/>
  <c r="P298" i="178"/>
  <c r="Q298" i="178" s="1"/>
  <c r="O298" i="178"/>
  <c r="P279" i="178"/>
  <c r="Q279" i="178" s="1"/>
  <c r="O279" i="178"/>
  <c r="P271" i="178"/>
  <c r="Q271" i="178" s="1"/>
  <c r="O271" i="178"/>
  <c r="P690" i="178"/>
  <c r="Q690" i="178" s="1"/>
  <c r="O690" i="178"/>
  <c r="P652" i="178"/>
  <c r="Q652" i="178" s="1"/>
  <c r="O652" i="178"/>
  <c r="P332" i="178"/>
  <c r="Q332" i="178" s="1"/>
  <c r="O332" i="178"/>
  <c r="P325" i="178"/>
  <c r="Q325" i="178" s="1"/>
  <c r="O325" i="178"/>
  <c r="P195" i="178"/>
  <c r="Q195" i="178" s="1"/>
  <c r="O195" i="178"/>
  <c r="P364" i="178"/>
  <c r="Q364" i="178" s="1"/>
  <c r="O364" i="178"/>
  <c r="P281" i="178"/>
  <c r="Q281" i="178" s="1"/>
  <c r="O281" i="178"/>
  <c r="P214" i="178"/>
  <c r="Q214" i="178" s="1"/>
  <c r="O214" i="178"/>
  <c r="P206" i="178"/>
  <c r="Q206" i="178" s="1"/>
  <c r="O206" i="178"/>
  <c r="P243" i="178"/>
  <c r="Q243" i="178" s="1"/>
  <c r="O243" i="178"/>
  <c r="P121" i="178"/>
  <c r="Q121" i="178" s="1"/>
  <c r="O121" i="178"/>
  <c r="P107" i="178"/>
  <c r="Q107" i="178" s="1"/>
  <c r="O107" i="178"/>
  <c r="P36" i="178"/>
  <c r="Q36" i="178" s="1"/>
  <c r="O36" i="178"/>
  <c r="P554" i="178"/>
  <c r="Q554" i="178" s="1"/>
  <c r="O554" i="178"/>
  <c r="P467" i="178"/>
  <c r="Q467" i="178" s="1"/>
  <c r="O467" i="178"/>
  <c r="P406" i="178"/>
  <c r="Q406" i="178" s="1"/>
  <c r="O406" i="178"/>
  <c r="P405" i="178"/>
  <c r="Q405" i="178" s="1"/>
  <c r="O405" i="178"/>
  <c r="O170" i="178"/>
  <c r="P170" i="178"/>
  <c r="Q170" i="178" s="1"/>
  <c r="P186" i="178"/>
  <c r="Q186" i="178" s="1"/>
  <c r="O186" i="178"/>
  <c r="P142" i="178"/>
  <c r="Q142" i="178" s="1"/>
  <c r="O142" i="178"/>
  <c r="P567" i="178"/>
  <c r="Q567" i="178" s="1"/>
  <c r="O567" i="178"/>
  <c r="P93" i="178"/>
  <c r="Q93" i="178" s="1"/>
  <c r="O93" i="178"/>
  <c r="P533" i="178"/>
  <c r="Q533" i="178" s="1"/>
  <c r="O533" i="178"/>
  <c r="P519" i="178"/>
  <c r="Q519" i="178" s="1"/>
  <c r="O519" i="178"/>
  <c r="P717" i="178"/>
  <c r="Q717" i="178" s="1"/>
  <c r="O717" i="178"/>
  <c r="P341" i="178"/>
  <c r="Q341" i="178" s="1"/>
  <c r="O341" i="178"/>
  <c r="P184" i="178"/>
  <c r="Q184" i="178" s="1"/>
  <c r="O184" i="178"/>
  <c r="P131" i="178"/>
  <c r="Q131" i="178" s="1"/>
  <c r="O131" i="178"/>
  <c r="P86" i="178"/>
  <c r="Q86" i="178" s="1"/>
  <c r="O86" i="178"/>
  <c r="P45" i="178"/>
  <c r="Q45" i="178" s="1"/>
  <c r="O45" i="178"/>
  <c r="P24" i="178"/>
  <c r="Q24" i="178" s="1"/>
  <c r="O24" i="178"/>
  <c r="P8" i="178"/>
  <c r="Q8" i="178" s="1"/>
  <c r="O8" i="178"/>
  <c r="P386" i="178"/>
  <c r="Q386" i="178" s="1"/>
  <c r="O386" i="178"/>
  <c r="P303" i="178"/>
  <c r="Q303" i="178" s="1"/>
  <c r="O303" i="178"/>
  <c r="P202" i="178"/>
  <c r="Q202" i="178" s="1"/>
  <c r="O202" i="178"/>
  <c r="P204" i="178"/>
  <c r="Q204" i="178" s="1"/>
  <c r="O204" i="178"/>
  <c r="P127" i="178"/>
  <c r="Q127" i="178" s="1"/>
  <c r="O127" i="178"/>
  <c r="P470" i="178"/>
  <c r="Q470" i="178" s="1"/>
  <c r="O470" i="178"/>
  <c r="P237" i="178"/>
  <c r="Q237" i="178" s="1"/>
  <c r="O237" i="178"/>
  <c r="P374" i="178"/>
  <c r="Q374" i="178" s="1"/>
  <c r="O374" i="178"/>
  <c r="P451" i="178"/>
  <c r="Q451" i="178" s="1"/>
  <c r="O451" i="178"/>
  <c r="P678" i="178"/>
  <c r="Q678" i="178" s="1"/>
  <c r="O678" i="178"/>
  <c r="P111" i="178"/>
  <c r="Q111" i="178" s="1"/>
  <c r="O111" i="178"/>
  <c r="P460" i="178"/>
  <c r="Q460" i="178" s="1"/>
  <c r="O460" i="178"/>
  <c r="P178" i="178"/>
  <c r="Q178" i="178" s="1"/>
  <c r="O178" i="178"/>
  <c r="P701" i="178"/>
  <c r="Q701" i="178" s="1"/>
  <c r="O701" i="178"/>
  <c r="P671" i="178"/>
  <c r="Q671" i="178" s="1"/>
  <c r="O671" i="178"/>
  <c r="P354" i="178"/>
  <c r="Q354" i="178" s="1"/>
  <c r="O354" i="178"/>
  <c r="P209" i="178"/>
  <c r="Q209" i="178" s="1"/>
  <c r="O209" i="178"/>
  <c r="P647" i="178"/>
  <c r="Q647" i="178" s="1"/>
  <c r="O647" i="178"/>
  <c r="P640" i="178"/>
  <c r="Q640" i="178" s="1"/>
  <c r="O640" i="178"/>
  <c r="P335" i="178"/>
  <c r="Q335" i="178" s="1"/>
  <c r="O335" i="178"/>
  <c r="P328" i="178"/>
  <c r="Q328" i="178" s="1"/>
  <c r="O328" i="178"/>
  <c r="P110" i="178"/>
  <c r="Q110" i="178" s="1"/>
  <c r="O110" i="178"/>
  <c r="P312" i="178"/>
  <c r="Q312" i="178" s="1"/>
  <c r="O312" i="178"/>
  <c r="P174" i="178"/>
  <c r="Q174" i="178" s="1"/>
  <c r="O174" i="178"/>
  <c r="P297" i="178"/>
  <c r="Q297" i="178" s="1"/>
  <c r="O297" i="178"/>
  <c r="O42" i="178"/>
  <c r="P42" i="178"/>
  <c r="Q42" i="178" s="1"/>
  <c r="P232" i="178"/>
  <c r="Q232" i="178" s="1"/>
  <c r="O232" i="178"/>
  <c r="P689" i="178"/>
  <c r="Q689" i="178" s="1"/>
  <c r="O689" i="178"/>
  <c r="P654" i="178"/>
  <c r="Q654" i="178" s="1"/>
  <c r="O654" i="178"/>
  <c r="P187" i="178"/>
  <c r="Q187" i="178" s="1"/>
  <c r="O187" i="178"/>
  <c r="P244" i="178"/>
  <c r="Q244" i="178" s="1"/>
  <c r="O244" i="178"/>
  <c r="P234" i="178"/>
  <c r="Q234" i="178" s="1"/>
  <c r="O234" i="178"/>
  <c r="P461" i="178"/>
  <c r="Q461" i="178" s="1"/>
  <c r="O461" i="178"/>
  <c r="P222" i="178"/>
  <c r="Q222" i="178" s="1"/>
  <c r="O222" i="178"/>
  <c r="P213" i="178"/>
  <c r="Q213" i="178" s="1"/>
  <c r="O213" i="178"/>
  <c r="P139" i="178"/>
  <c r="Q139" i="178" s="1"/>
  <c r="O139" i="178"/>
  <c r="P238" i="178"/>
  <c r="Q238" i="178" s="1"/>
  <c r="O238" i="178"/>
  <c r="P194" i="178"/>
  <c r="Q194" i="178" s="1"/>
  <c r="O194" i="178"/>
  <c r="P106" i="178"/>
  <c r="Q106" i="178" s="1"/>
  <c r="O106" i="178"/>
  <c r="P66" i="178"/>
  <c r="Q66" i="178" s="1"/>
  <c r="O66" i="178"/>
  <c r="P547" i="178"/>
  <c r="Q547" i="178" s="1"/>
  <c r="O547" i="178"/>
  <c r="P490" i="178"/>
  <c r="Q490" i="178" s="1"/>
  <c r="O490" i="178"/>
  <c r="P524" i="178"/>
  <c r="Q524" i="178" s="1"/>
  <c r="O524" i="178"/>
  <c r="P486" i="178"/>
  <c r="Q486" i="178" s="1"/>
  <c r="O486" i="178"/>
  <c r="P557" i="178"/>
  <c r="Q557" i="178" s="1"/>
  <c r="O557" i="178"/>
  <c r="P185" i="178"/>
  <c r="Q185" i="178" s="1"/>
  <c r="O185" i="178"/>
  <c r="O43" i="178"/>
  <c r="P43" i="178"/>
  <c r="Q43" i="178" s="1"/>
  <c r="P695" i="178"/>
  <c r="Q695" i="178" s="1"/>
  <c r="O695" i="178"/>
  <c r="P154" i="178"/>
  <c r="Q154" i="178" s="1"/>
  <c r="O154" i="178"/>
  <c r="P528" i="178"/>
  <c r="Q528" i="178" s="1"/>
  <c r="O528" i="178"/>
  <c r="P509" i="178"/>
  <c r="Q509" i="178" s="1"/>
  <c r="O509" i="178"/>
  <c r="P496" i="178"/>
  <c r="Q496" i="178" s="1"/>
  <c r="O496" i="178"/>
  <c r="P158" i="178"/>
  <c r="Q158" i="178" s="1"/>
  <c r="O158" i="178"/>
  <c r="P183" i="178"/>
  <c r="Q183" i="178" s="1"/>
  <c r="O183" i="178"/>
  <c r="P126" i="178"/>
  <c r="Q126" i="178" s="1"/>
  <c r="O126" i="178"/>
  <c r="P85" i="178"/>
  <c r="Q85" i="178" s="1"/>
  <c r="O85" i="178"/>
  <c r="P18" i="178"/>
  <c r="Q18" i="178" s="1"/>
  <c r="O18" i="178"/>
  <c r="P23" i="178"/>
  <c r="Q23" i="178" s="1"/>
  <c r="O23" i="178"/>
  <c r="P5" i="178"/>
  <c r="Q5" i="178" s="1"/>
  <c r="O5" i="178"/>
  <c r="P357" i="178"/>
  <c r="Q357" i="178" s="1"/>
  <c r="O357" i="178"/>
  <c r="P641" i="178"/>
  <c r="Q641" i="178" s="1"/>
  <c r="O641" i="178"/>
  <c r="P260" i="178"/>
  <c r="Q260" i="178" s="1"/>
  <c r="O260" i="178"/>
  <c r="P479" i="178"/>
  <c r="Q479" i="178" s="1"/>
  <c r="O479" i="178"/>
  <c r="P33" i="178"/>
  <c r="Q33" i="178" s="1"/>
  <c r="O33" i="178"/>
  <c r="P396" i="178"/>
  <c r="Q396" i="178" s="1"/>
  <c r="O396" i="178"/>
  <c r="P180" i="178"/>
  <c r="Q180" i="178" s="1"/>
  <c r="O180" i="178"/>
  <c r="P394" i="178"/>
  <c r="Q394" i="178" s="1"/>
  <c r="O394" i="178"/>
  <c r="P387" i="178"/>
  <c r="Q387" i="178" s="1"/>
  <c r="O387" i="178"/>
  <c r="P351" i="178"/>
  <c r="Q351" i="178" s="1"/>
  <c r="O351" i="178"/>
  <c r="P605" i="178"/>
  <c r="Q605" i="178" s="1"/>
  <c r="O605" i="178"/>
  <c r="P299" i="178"/>
  <c r="Q299" i="178" s="1"/>
  <c r="O299" i="178"/>
  <c r="P348" i="178"/>
  <c r="Q348" i="178" s="1"/>
  <c r="O348" i="178"/>
  <c r="P694" i="178"/>
  <c r="Q694" i="178" s="1"/>
  <c r="O694" i="178"/>
  <c r="P168" i="178"/>
  <c r="Q168" i="178" s="1"/>
  <c r="O168" i="178"/>
  <c r="P292" i="178"/>
  <c r="Q292" i="178" s="1"/>
  <c r="O292" i="178"/>
  <c r="P157" i="178"/>
  <c r="Q157" i="178" s="1"/>
  <c r="O157" i="178"/>
  <c r="P216" i="178"/>
  <c r="Q216" i="178" s="1"/>
  <c r="O216" i="178"/>
  <c r="P327" i="178"/>
  <c r="Q327" i="178" s="1"/>
  <c r="O327" i="178"/>
  <c r="P318" i="178"/>
  <c r="Q318" i="178" s="1"/>
  <c r="O318" i="178"/>
  <c r="P311" i="178"/>
  <c r="Q311" i="178" s="1"/>
  <c r="O311" i="178"/>
  <c r="P304" i="178"/>
  <c r="Q304" i="178" s="1"/>
  <c r="O304" i="178"/>
  <c r="P296" i="178"/>
  <c r="Q296" i="178" s="1"/>
  <c r="O296" i="178"/>
  <c r="P277" i="178"/>
  <c r="Q277" i="178" s="1"/>
  <c r="O277" i="178"/>
  <c r="P69" i="178"/>
  <c r="Q69" i="178" s="1"/>
  <c r="O69" i="178"/>
  <c r="P261" i="178"/>
  <c r="Q261" i="178" s="1"/>
  <c r="O261" i="178"/>
  <c r="P331" i="178"/>
  <c r="Q331" i="178" s="1"/>
  <c r="O331" i="178"/>
  <c r="P251" i="178"/>
  <c r="Q251" i="178" s="1"/>
  <c r="O251" i="178"/>
  <c r="P129" i="178"/>
  <c r="Q129" i="178" s="1"/>
  <c r="O129" i="178"/>
  <c r="P233" i="178"/>
  <c r="Q233" i="178" s="1"/>
  <c r="O233" i="178"/>
  <c r="P588" i="178"/>
  <c r="Q588" i="178" s="1"/>
  <c r="O588" i="178"/>
  <c r="P221" i="178"/>
  <c r="Q221" i="178" s="1"/>
  <c r="O221" i="178"/>
  <c r="P46" i="178"/>
  <c r="Q46" i="178" s="1"/>
  <c r="O46" i="178"/>
  <c r="H3" i="44" s="1"/>
  <c r="P558" i="178"/>
  <c r="Q558" i="178" s="1"/>
  <c r="O558" i="178"/>
  <c r="P236" i="178"/>
  <c r="Q236" i="178" s="1"/>
  <c r="O236" i="178"/>
  <c r="P193" i="178"/>
  <c r="Q193" i="178" s="1"/>
  <c r="O193" i="178"/>
  <c r="P481" i="178"/>
  <c r="Q481" i="178" s="1"/>
  <c r="O481" i="178"/>
  <c r="P20" i="178"/>
  <c r="Q20" i="178" s="1"/>
  <c r="O20" i="178"/>
  <c r="P542" i="178"/>
  <c r="Q542" i="178" s="1"/>
  <c r="O542" i="178"/>
  <c r="P98" i="178"/>
  <c r="Q98" i="178" s="1"/>
  <c r="O98" i="178"/>
  <c r="P515" i="178"/>
  <c r="Q515" i="178" s="1"/>
  <c r="O515" i="178"/>
  <c r="P466" i="178"/>
  <c r="Q466" i="178" s="1"/>
  <c r="O466" i="178"/>
  <c r="O171" i="178"/>
  <c r="P171" i="178"/>
  <c r="Q171" i="178" s="1"/>
  <c r="P336" i="178"/>
  <c r="Q336" i="178" s="1"/>
  <c r="O336" i="178"/>
  <c r="P136" i="178"/>
  <c r="Q136" i="178" s="1"/>
  <c r="O136" i="178"/>
  <c r="P100" i="178"/>
  <c r="Q100" i="178" s="1"/>
  <c r="O100" i="178"/>
  <c r="P153" i="178"/>
  <c r="Q153" i="178" s="1"/>
  <c r="O153" i="178"/>
  <c r="P525" i="178"/>
  <c r="Q525" i="178" s="1"/>
  <c r="O525" i="178"/>
  <c r="P442" i="178"/>
  <c r="Q442" i="178" s="1"/>
  <c r="O442" i="178"/>
  <c r="P482" i="178"/>
  <c r="Q482" i="178" s="1"/>
  <c r="O482" i="178"/>
  <c r="P133" i="178"/>
  <c r="Q133" i="178" s="1"/>
  <c r="O133" i="178"/>
  <c r="P182" i="178"/>
  <c r="Q182" i="178" s="1"/>
  <c r="O182" i="178"/>
  <c r="P123" i="178"/>
  <c r="Q123" i="178" s="1"/>
  <c r="O123" i="178"/>
  <c r="P19" i="178"/>
  <c r="Q19" i="178" s="1"/>
  <c r="O19" i="178"/>
  <c r="P35" i="178"/>
  <c r="Q35" i="178" s="1"/>
  <c r="O35" i="178"/>
  <c r="P22" i="178"/>
  <c r="Q22" i="178" s="1"/>
  <c r="O22" i="178"/>
  <c r="O2" i="178"/>
  <c r="P2" i="178"/>
  <c r="Q2" i="178" s="1"/>
  <c r="M359" i="178"/>
  <c r="K359" i="178"/>
  <c r="M59" i="178"/>
  <c r="K59" i="178"/>
  <c r="M157" i="178"/>
  <c r="K157" i="178"/>
  <c r="M224" i="178"/>
  <c r="K224" i="178"/>
  <c r="M75" i="178"/>
  <c r="K75" i="178"/>
  <c r="M110" i="178"/>
  <c r="K110" i="178"/>
  <c r="M312" i="178"/>
  <c r="K312" i="178"/>
  <c r="M306" i="178"/>
  <c r="K306" i="178"/>
  <c r="M295" i="178"/>
  <c r="K295" i="178"/>
  <c r="M42" i="178"/>
  <c r="K42" i="178"/>
  <c r="M274" i="178"/>
  <c r="K274" i="178"/>
  <c r="M231" i="178"/>
  <c r="K231" i="178"/>
  <c r="M667" i="178"/>
  <c r="K667" i="178"/>
  <c r="M626" i="178"/>
  <c r="K626" i="178"/>
  <c r="M278" i="178"/>
  <c r="K278" i="178"/>
  <c r="M294" i="178"/>
  <c r="K294" i="178"/>
  <c r="M234" i="178"/>
  <c r="K234" i="178"/>
  <c r="M426" i="178"/>
  <c r="K426" i="178"/>
  <c r="M611" i="178"/>
  <c r="K611" i="178"/>
  <c r="M213" i="178"/>
  <c r="K213" i="178"/>
  <c r="M207" i="178"/>
  <c r="K207" i="178"/>
  <c r="M246" i="178"/>
  <c r="K246" i="178"/>
  <c r="M197" i="178"/>
  <c r="K197" i="178"/>
  <c r="M189" i="178"/>
  <c r="K189" i="178"/>
  <c r="M52" i="178"/>
  <c r="K52" i="178"/>
  <c r="M291" i="178"/>
  <c r="K291" i="178"/>
  <c r="M398" i="178"/>
  <c r="K398" i="178"/>
  <c r="M467" i="178"/>
  <c r="K467" i="178"/>
  <c r="M406" i="178"/>
  <c r="K406" i="178"/>
  <c r="M682" i="178"/>
  <c r="K682" i="178"/>
  <c r="M448" i="178"/>
  <c r="K448" i="178"/>
  <c r="M127" i="178"/>
  <c r="K127" i="178"/>
  <c r="M706" i="178"/>
  <c r="K706" i="178"/>
  <c r="M156" i="178"/>
  <c r="K156" i="178"/>
  <c r="M93" i="178"/>
  <c r="K93" i="178"/>
  <c r="M149" i="178"/>
  <c r="K149" i="178"/>
  <c r="M533" i="178"/>
  <c r="K533" i="178"/>
  <c r="M523" i="178"/>
  <c r="K523" i="178"/>
  <c r="M506" i="178"/>
  <c r="K506" i="178"/>
  <c r="M159" i="178"/>
  <c r="K159" i="178"/>
  <c r="M63" i="178"/>
  <c r="K63" i="178"/>
  <c r="M55" i="178"/>
  <c r="K55" i="178"/>
  <c r="M39" i="178"/>
  <c r="K39" i="178"/>
  <c r="M33" i="178"/>
  <c r="K33" i="178"/>
  <c r="M11" i="178"/>
  <c r="K11" i="178"/>
  <c r="M339" i="178"/>
  <c r="K339" i="178"/>
  <c r="M101" i="178"/>
  <c r="K101" i="178"/>
  <c r="M601" i="178"/>
  <c r="K601" i="178"/>
  <c r="M263" i="178"/>
  <c r="K263" i="178"/>
  <c r="M311" i="178"/>
  <c r="K311" i="178"/>
  <c r="M361" i="178"/>
  <c r="K361" i="178"/>
  <c r="M309" i="178"/>
  <c r="K309" i="178"/>
  <c r="M206" i="178"/>
  <c r="K206" i="178"/>
  <c r="M524" i="178"/>
  <c r="K524" i="178"/>
  <c r="M97" i="178"/>
  <c r="K97" i="178"/>
  <c r="M520" i="178"/>
  <c r="K520" i="178"/>
  <c r="M717" i="178"/>
  <c r="K717" i="178"/>
  <c r="M184" i="178"/>
  <c r="K184" i="178"/>
  <c r="M51" i="178"/>
  <c r="K51" i="178"/>
  <c r="M15" i="178"/>
  <c r="K15" i="178"/>
  <c r="M239" i="178"/>
  <c r="K239" i="178"/>
  <c r="M530" i="178"/>
  <c r="K530" i="178"/>
  <c r="M460" i="178"/>
  <c r="K460" i="178"/>
  <c r="M707" i="178"/>
  <c r="K707" i="178"/>
  <c r="M679" i="178"/>
  <c r="K679" i="178"/>
  <c r="M356" i="178"/>
  <c r="K356" i="178"/>
  <c r="M258" i="178"/>
  <c r="K258" i="178"/>
  <c r="M647" i="178"/>
  <c r="K647" i="178"/>
  <c r="M84" i="178"/>
  <c r="K84" i="178"/>
  <c r="M79" i="178"/>
  <c r="K79" i="178"/>
  <c r="M317" i="178"/>
  <c r="K317" i="178"/>
  <c r="M310" i="178"/>
  <c r="K310" i="178"/>
  <c r="M304" i="178"/>
  <c r="K304" i="178"/>
  <c r="M266" i="178"/>
  <c r="K266" i="178"/>
  <c r="M690" i="178"/>
  <c r="K690" i="178"/>
  <c r="M652" i="178"/>
  <c r="K652" i="178"/>
  <c r="M332" i="178"/>
  <c r="K332" i="178"/>
  <c r="M596" i="178"/>
  <c r="K596" i="178"/>
  <c r="M199" i="178"/>
  <c r="K199" i="178"/>
  <c r="M270" i="178"/>
  <c r="K270" i="178"/>
  <c r="M225" i="178"/>
  <c r="K225" i="178"/>
  <c r="M219" i="178"/>
  <c r="K219" i="178"/>
  <c r="M162" i="178"/>
  <c r="K162" i="178"/>
  <c r="M139" i="178"/>
  <c r="K139" i="178"/>
  <c r="M238" i="178"/>
  <c r="K238" i="178"/>
  <c r="M121" i="178"/>
  <c r="K121" i="178"/>
  <c r="M16" i="178"/>
  <c r="K16" i="178"/>
  <c r="M98" i="178"/>
  <c r="K98" i="178"/>
  <c r="M515" i="178"/>
  <c r="K515" i="178"/>
  <c r="M486" i="178"/>
  <c r="K486" i="178"/>
  <c r="M150" i="178"/>
  <c r="K150" i="178"/>
  <c r="M105" i="178"/>
  <c r="K105" i="178"/>
  <c r="M53" i="178"/>
  <c r="K53" i="178"/>
  <c r="M549" i="178"/>
  <c r="K549" i="178"/>
  <c r="M452" i="178"/>
  <c r="K452" i="178"/>
  <c r="M525" i="178"/>
  <c r="K525" i="178"/>
  <c r="M502" i="178"/>
  <c r="K502" i="178"/>
  <c r="M65" i="178"/>
  <c r="K65" i="178"/>
  <c r="M183" i="178"/>
  <c r="K183" i="178"/>
  <c r="M131" i="178"/>
  <c r="K131" i="178"/>
  <c r="M86" i="178"/>
  <c r="K86" i="178"/>
  <c r="M50" i="178"/>
  <c r="K50" i="178"/>
  <c r="M31" i="178"/>
  <c r="K31" i="178"/>
  <c r="M14" i="178"/>
  <c r="K14" i="178"/>
  <c r="M616" i="178"/>
  <c r="K616" i="178"/>
  <c r="M605" i="178"/>
  <c r="K605" i="178"/>
  <c r="M672" i="178"/>
  <c r="K672" i="178"/>
  <c r="M174" i="178"/>
  <c r="K174" i="178"/>
  <c r="M284" i="178"/>
  <c r="K284" i="178"/>
  <c r="M248" i="178"/>
  <c r="K248" i="178"/>
  <c r="M226" i="178"/>
  <c r="K226" i="178"/>
  <c r="M405" i="178"/>
  <c r="K405" i="178"/>
  <c r="M528" i="178"/>
  <c r="K528" i="178"/>
  <c r="M132" i="178"/>
  <c r="K132" i="178"/>
  <c r="M32" i="178"/>
  <c r="K32" i="178"/>
  <c r="M473" i="178"/>
  <c r="K473" i="178"/>
  <c r="M180" i="178"/>
  <c r="K180" i="178"/>
  <c r="M237" i="178"/>
  <c r="K237" i="178"/>
  <c r="M351" i="178"/>
  <c r="K351" i="178"/>
  <c r="M376" i="178"/>
  <c r="K376" i="178"/>
  <c r="M701" i="178"/>
  <c r="K701" i="178"/>
  <c r="M671" i="178"/>
  <c r="K671" i="178"/>
  <c r="M355" i="178"/>
  <c r="K355" i="178"/>
  <c r="M256" i="178"/>
  <c r="K256" i="178"/>
  <c r="M386" i="178"/>
  <c r="K386" i="178"/>
  <c r="M292" i="178"/>
  <c r="K292" i="178"/>
  <c r="M641" i="178"/>
  <c r="K641" i="178"/>
  <c r="M216" i="178"/>
  <c r="K216" i="178"/>
  <c r="M90" i="178"/>
  <c r="K90" i="178"/>
  <c r="M657" i="178"/>
  <c r="K657" i="178"/>
  <c r="M316" i="178"/>
  <c r="K316" i="178"/>
  <c r="M165" i="178"/>
  <c r="K165" i="178"/>
  <c r="M29" i="178"/>
  <c r="K29" i="178"/>
  <c r="M277" i="178"/>
  <c r="K277" i="178"/>
  <c r="M265" i="178"/>
  <c r="K265" i="178"/>
  <c r="M689" i="178"/>
  <c r="K689" i="178"/>
  <c r="M654" i="178"/>
  <c r="K654" i="178"/>
  <c r="M187" i="178"/>
  <c r="K187" i="178"/>
  <c r="M325" i="178"/>
  <c r="K325" i="178"/>
  <c r="M464" i="178"/>
  <c r="K464" i="178"/>
  <c r="M364" i="178"/>
  <c r="K364" i="178"/>
  <c r="M556" i="178"/>
  <c r="K556" i="178"/>
  <c r="M218" i="178"/>
  <c r="K218" i="178"/>
  <c r="M211" i="178"/>
  <c r="K211" i="178"/>
  <c r="M558" i="178"/>
  <c r="K558" i="178"/>
  <c r="M236" i="178"/>
  <c r="K236" i="178"/>
  <c r="M194" i="178"/>
  <c r="K194" i="178"/>
  <c r="M107" i="178"/>
  <c r="K107" i="178"/>
  <c r="M73" i="178"/>
  <c r="K73" i="178"/>
  <c r="M141" i="178"/>
  <c r="K141" i="178"/>
  <c r="M12" i="178"/>
  <c r="K12" i="178"/>
  <c r="M88" i="178"/>
  <c r="K88" i="178"/>
  <c r="M649" i="178"/>
  <c r="K649" i="178"/>
  <c r="M466" i="178"/>
  <c r="K466" i="178"/>
  <c r="M492" i="178"/>
  <c r="K492" i="178"/>
  <c r="M146" i="178"/>
  <c r="K146" i="178"/>
  <c r="M167" i="178"/>
  <c r="K167" i="178"/>
  <c r="M103" i="178"/>
  <c r="K103" i="178"/>
  <c r="M95" i="178"/>
  <c r="K95" i="178"/>
  <c r="M154" i="178"/>
  <c r="K154" i="178"/>
  <c r="M446" i="178"/>
  <c r="K446" i="178"/>
  <c r="M341" i="178"/>
  <c r="K341" i="178"/>
  <c r="M217" i="178"/>
  <c r="K217" i="178"/>
  <c r="M182" i="178"/>
  <c r="K182" i="178"/>
  <c r="M126" i="178"/>
  <c r="K126" i="178"/>
  <c r="M85" i="178"/>
  <c r="K85" i="178"/>
  <c r="M48" i="178"/>
  <c r="K48" i="178"/>
  <c r="M30" i="178"/>
  <c r="K30" i="178"/>
  <c r="M13" i="178"/>
  <c r="K13" i="178"/>
  <c r="M251" i="178"/>
  <c r="K251" i="178"/>
  <c r="M282" i="178"/>
  <c r="K282" i="178"/>
  <c r="M193" i="178"/>
  <c r="K193" i="178"/>
  <c r="M106" i="178"/>
  <c r="K106" i="178"/>
  <c r="M36" i="178"/>
  <c r="K36" i="178"/>
  <c r="M363" i="178"/>
  <c r="K363" i="178"/>
  <c r="M373" i="178"/>
  <c r="K373" i="178"/>
  <c r="M138" i="178"/>
  <c r="K138" i="178"/>
  <c r="M57" i="178"/>
  <c r="K57" i="178"/>
  <c r="M537" i="178"/>
  <c r="K537" i="178"/>
  <c r="M471" i="178"/>
  <c r="K471" i="178"/>
  <c r="M77" i="178"/>
  <c r="K77" i="178"/>
  <c r="M142" i="178"/>
  <c r="K142" i="178"/>
  <c r="M567" i="178"/>
  <c r="K567" i="178"/>
  <c r="M153" i="178"/>
  <c r="K153" i="178"/>
  <c r="M519" i="178"/>
  <c r="K519" i="178"/>
  <c r="M78" i="178"/>
  <c r="K78" i="178"/>
  <c r="M496" i="178"/>
  <c r="K496" i="178"/>
  <c r="M158" i="178"/>
  <c r="K158" i="178"/>
  <c r="M123" i="178"/>
  <c r="K123" i="178"/>
  <c r="M19" i="178"/>
  <c r="K19" i="178"/>
  <c r="M45" i="178"/>
  <c r="K45" i="178"/>
  <c r="M17" i="178"/>
  <c r="K17" i="178"/>
  <c r="M9" i="178"/>
  <c r="K9" i="178"/>
  <c r="M687" i="178"/>
  <c r="K687" i="178"/>
  <c r="M451" i="178"/>
  <c r="K451" i="178"/>
  <c r="M352" i="178"/>
  <c r="K352" i="178"/>
  <c r="M337" i="178"/>
  <c r="K337" i="178"/>
  <c r="M335" i="178"/>
  <c r="K335" i="178"/>
  <c r="M318" i="178"/>
  <c r="K318" i="178"/>
  <c r="M10" i="178"/>
  <c r="K10" i="178"/>
  <c r="M235" i="178"/>
  <c r="K235" i="178"/>
  <c r="M632" i="178"/>
  <c r="K632" i="178"/>
  <c r="M119" i="178"/>
  <c r="K119" i="178"/>
  <c r="M46" i="178"/>
  <c r="K46" i="178"/>
  <c r="M7" i="178"/>
  <c r="K7" i="178"/>
  <c r="M490" i="178"/>
  <c r="K490" i="178"/>
  <c r="M109" i="178"/>
  <c r="K109" i="178"/>
  <c r="M450" i="178"/>
  <c r="K450" i="178"/>
  <c r="M299" i="178"/>
  <c r="K299" i="178"/>
  <c r="M223" i="178"/>
  <c r="K223" i="178"/>
  <c r="M104" i="178"/>
  <c r="K104" i="178"/>
  <c r="M303" i="178"/>
  <c r="K303" i="178"/>
  <c r="M367" i="178"/>
  <c r="K367" i="178"/>
  <c r="M271" i="178"/>
  <c r="K271" i="178"/>
  <c r="M261" i="178"/>
  <c r="K261" i="178"/>
  <c r="M331" i="178"/>
  <c r="K331" i="178"/>
  <c r="M244" i="178"/>
  <c r="K244" i="178"/>
  <c r="M461" i="178"/>
  <c r="K461" i="178"/>
  <c r="M196" i="178"/>
  <c r="K196" i="178"/>
  <c r="M283" i="178"/>
  <c r="K283" i="178"/>
  <c r="M387" i="178"/>
  <c r="K387" i="178"/>
  <c r="M393" i="178"/>
  <c r="K393" i="178"/>
  <c r="M612" i="178"/>
  <c r="K612" i="178"/>
  <c r="M375" i="178"/>
  <c r="K375" i="178"/>
  <c r="M381" i="178"/>
  <c r="K381" i="178"/>
  <c r="M388" i="178"/>
  <c r="K388" i="178"/>
  <c r="M694" i="178"/>
  <c r="K694" i="178"/>
  <c r="M94" i="178"/>
  <c r="K94" i="178"/>
  <c r="M338" i="178"/>
  <c r="K338" i="178"/>
  <c r="M328" i="178"/>
  <c r="K328" i="178"/>
  <c r="M320" i="178"/>
  <c r="K320" i="178"/>
  <c r="M164" i="178"/>
  <c r="K164" i="178"/>
  <c r="M163" i="178"/>
  <c r="K163" i="178"/>
  <c r="M302" i="178"/>
  <c r="K302" i="178"/>
  <c r="M298" i="178"/>
  <c r="K298" i="178"/>
  <c r="M468" i="178"/>
  <c r="K468" i="178"/>
  <c r="M276" i="178"/>
  <c r="K276" i="178"/>
  <c r="M232" i="178"/>
  <c r="K232" i="178"/>
  <c r="M260" i="178"/>
  <c r="K260" i="178"/>
  <c r="M202" i="178"/>
  <c r="K202" i="178"/>
  <c r="M250" i="178"/>
  <c r="K250" i="178"/>
  <c r="M129" i="178"/>
  <c r="K129" i="178"/>
  <c r="M574" i="178"/>
  <c r="K574" i="178"/>
  <c r="M465" i="178"/>
  <c r="K465" i="178"/>
  <c r="M281" i="178"/>
  <c r="K281" i="178"/>
  <c r="M493" i="178"/>
  <c r="K493" i="178"/>
  <c r="M210" i="178"/>
  <c r="K210" i="178"/>
  <c r="M621" i="178"/>
  <c r="K621" i="178"/>
  <c r="M192" i="178"/>
  <c r="K192" i="178"/>
  <c r="M481" i="178"/>
  <c r="K481" i="178"/>
  <c r="M66" i="178"/>
  <c r="K66" i="178"/>
  <c r="M554" i="178"/>
  <c r="K554" i="178"/>
  <c r="M56" i="178"/>
  <c r="K56" i="178"/>
  <c r="M130" i="178"/>
  <c r="K130" i="178"/>
  <c r="M544" i="178"/>
  <c r="K544" i="178"/>
  <c r="M170" i="178"/>
  <c r="K170" i="178"/>
  <c r="M186" i="178"/>
  <c r="K186" i="178"/>
  <c r="M43" i="178"/>
  <c r="K43" i="178"/>
  <c r="M695" i="178"/>
  <c r="K695" i="178"/>
  <c r="M459" i="178"/>
  <c r="K459" i="178"/>
  <c r="M152" i="178"/>
  <c r="K152" i="178"/>
  <c r="M548" i="178"/>
  <c r="K548" i="178"/>
  <c r="M74" i="178"/>
  <c r="K74" i="178"/>
  <c r="M444" i="178"/>
  <c r="K444" i="178"/>
  <c r="M660" i="178"/>
  <c r="K660" i="178"/>
  <c r="M681" i="178"/>
  <c r="K681" i="178"/>
  <c r="M27" i="178"/>
  <c r="K27" i="178"/>
  <c r="M21" i="178"/>
  <c r="K21" i="178"/>
  <c r="M61" i="178"/>
  <c r="K61" i="178"/>
  <c r="M71" i="178"/>
  <c r="K71" i="178"/>
  <c r="M24" i="178"/>
  <c r="K24" i="178"/>
  <c r="M8" i="178"/>
  <c r="K8" i="178"/>
  <c r="M243" i="178"/>
  <c r="K243" i="178"/>
  <c r="M145" i="178"/>
  <c r="K145" i="178"/>
  <c r="M111" i="178"/>
  <c r="K111" i="178"/>
  <c r="M372" i="178"/>
  <c r="K372" i="178"/>
  <c r="M354" i="178"/>
  <c r="K354" i="178"/>
  <c r="M308" i="178"/>
  <c r="K308" i="178"/>
  <c r="M108" i="178"/>
  <c r="K108" i="178"/>
  <c r="M122" i="178"/>
  <c r="K122" i="178"/>
  <c r="M269" i="178"/>
  <c r="K269" i="178"/>
  <c r="M394" i="178"/>
  <c r="K394" i="178"/>
  <c r="M469" i="178"/>
  <c r="K469" i="178"/>
  <c r="M396" i="178"/>
  <c r="K396" i="178"/>
  <c r="M385" i="178"/>
  <c r="K385" i="178"/>
  <c r="M275" i="178"/>
  <c r="K275" i="178"/>
  <c r="M366" i="178"/>
  <c r="K366" i="178"/>
  <c r="M301" i="178"/>
  <c r="K301" i="178"/>
  <c r="M346" i="178"/>
  <c r="K346" i="178"/>
  <c r="M229" i="178"/>
  <c r="K229" i="178"/>
  <c r="M630" i="178"/>
  <c r="K630" i="178"/>
  <c r="M340" i="178"/>
  <c r="K340" i="178"/>
  <c r="M662" i="178"/>
  <c r="K662" i="178"/>
  <c r="M333" i="178"/>
  <c r="K333" i="178"/>
  <c r="M327" i="178"/>
  <c r="K327" i="178"/>
  <c r="M319" i="178"/>
  <c r="K319" i="178"/>
  <c r="M148" i="178"/>
  <c r="K148" i="178"/>
  <c r="M114" i="178"/>
  <c r="K114" i="178"/>
  <c r="M297" i="178"/>
  <c r="K297" i="178"/>
  <c r="M273" i="178"/>
  <c r="K273" i="178"/>
  <c r="M629" i="178"/>
  <c r="K629" i="178"/>
  <c r="M249" i="178"/>
  <c r="K249" i="178"/>
  <c r="M286" i="178"/>
  <c r="K286" i="178"/>
  <c r="M588" i="178"/>
  <c r="K588" i="178"/>
  <c r="M222" i="178"/>
  <c r="K222" i="178"/>
  <c r="M203" i="178"/>
  <c r="K203" i="178"/>
  <c r="M198" i="178"/>
  <c r="K198" i="178"/>
  <c r="M191" i="178"/>
  <c r="K191" i="178"/>
  <c r="M479" i="178"/>
  <c r="K479" i="178"/>
  <c r="M20" i="178"/>
  <c r="K20" i="178"/>
  <c r="M547" i="178"/>
  <c r="K547" i="178"/>
  <c r="M458" i="178"/>
  <c r="K458" i="178"/>
  <c r="M404" i="178"/>
  <c r="K404" i="178"/>
  <c r="M557" i="178"/>
  <c r="K557" i="178"/>
  <c r="M185" i="178"/>
  <c r="K185" i="178"/>
  <c r="M136" i="178"/>
  <c r="K136" i="178"/>
  <c r="M100" i="178"/>
  <c r="K100" i="178"/>
  <c r="M40" i="178"/>
  <c r="K40" i="178"/>
  <c r="M509" i="178"/>
  <c r="K509" i="178"/>
  <c r="M67" i="178"/>
  <c r="K67" i="178"/>
  <c r="M482" i="178"/>
  <c r="K482" i="178"/>
  <c r="M133" i="178"/>
  <c r="K133" i="178"/>
  <c r="M144" i="178"/>
  <c r="K144" i="178"/>
  <c r="M115" i="178"/>
  <c r="K115" i="178"/>
  <c r="M62" i="178"/>
  <c r="K62" i="178"/>
  <c r="M18" i="178"/>
  <c r="K18" i="178"/>
  <c r="M23" i="178"/>
  <c r="K23" i="178"/>
  <c r="M5" i="178"/>
  <c r="K5" i="178"/>
  <c r="M102" i="178"/>
  <c r="K102" i="178"/>
  <c r="M357" i="178"/>
  <c r="K357" i="178"/>
  <c r="M368" i="178"/>
  <c r="K368" i="178"/>
  <c r="M168" i="178"/>
  <c r="K168" i="178"/>
  <c r="M658" i="178"/>
  <c r="K658" i="178"/>
  <c r="M233" i="178"/>
  <c r="K233" i="178"/>
  <c r="M80" i="178"/>
  <c r="K80" i="178"/>
  <c r="M499" i="178"/>
  <c r="K499" i="178"/>
  <c r="M118" i="178"/>
  <c r="K118" i="178"/>
  <c r="M678" i="178"/>
  <c r="K678" i="178"/>
  <c r="M685" i="178"/>
  <c r="K685" i="178"/>
  <c r="M348" i="178"/>
  <c r="K348" i="178"/>
  <c r="M329" i="178"/>
  <c r="K329" i="178"/>
  <c r="M315" i="178"/>
  <c r="K315" i="178"/>
  <c r="M380" i="178"/>
  <c r="K380" i="178"/>
  <c r="M280" i="178"/>
  <c r="K280" i="178"/>
  <c r="M204" i="178"/>
  <c r="K204" i="178"/>
  <c r="M382" i="178"/>
  <c r="K382" i="178"/>
  <c r="M178" i="178"/>
  <c r="K178" i="178"/>
  <c r="M374" i="178"/>
  <c r="K374" i="178"/>
  <c r="M365" i="178"/>
  <c r="K365" i="178"/>
  <c r="M370" i="178"/>
  <c r="K370" i="178"/>
  <c r="M209" i="178"/>
  <c r="K209" i="178"/>
  <c r="M691" i="178"/>
  <c r="K691" i="178"/>
  <c r="M640" i="178"/>
  <c r="K640" i="178"/>
  <c r="M228" i="178"/>
  <c r="K228" i="178"/>
  <c r="M147" i="178"/>
  <c r="K147" i="178"/>
  <c r="M326" i="178"/>
  <c r="K326" i="178"/>
  <c r="M151" i="178"/>
  <c r="K151" i="178"/>
  <c r="M313" i="178"/>
  <c r="K313" i="178"/>
  <c r="M307" i="178"/>
  <c r="K307" i="178"/>
  <c r="M44" i="178"/>
  <c r="K44" i="178"/>
  <c r="M296" i="178"/>
  <c r="K296" i="178"/>
  <c r="M279" i="178"/>
  <c r="K279" i="178"/>
  <c r="M259" i="178"/>
  <c r="K259" i="178"/>
  <c r="M69" i="178"/>
  <c r="K69" i="178"/>
  <c r="M201" i="178"/>
  <c r="K201" i="178"/>
  <c r="M627" i="178"/>
  <c r="K627" i="178"/>
  <c r="M200" i="178"/>
  <c r="K200" i="178"/>
  <c r="M195" i="178"/>
  <c r="K195" i="178"/>
  <c r="M172" i="178"/>
  <c r="K172" i="178"/>
  <c r="M221" i="178"/>
  <c r="K221" i="178"/>
  <c r="M214" i="178"/>
  <c r="K214" i="178"/>
  <c r="M208" i="178"/>
  <c r="K208" i="178"/>
  <c r="M128" i="178"/>
  <c r="K128" i="178"/>
  <c r="M674" i="178"/>
  <c r="K674" i="178"/>
  <c r="M190" i="178"/>
  <c r="K190" i="178"/>
  <c r="M480" i="178"/>
  <c r="K480" i="178"/>
  <c r="M54" i="178"/>
  <c r="K54" i="178"/>
  <c r="M542" i="178"/>
  <c r="K542" i="178"/>
  <c r="M403" i="178"/>
  <c r="K403" i="178"/>
  <c r="M447" i="178"/>
  <c r="K447" i="178"/>
  <c r="M686" i="178"/>
  <c r="K686" i="178"/>
  <c r="M171" i="178"/>
  <c r="K171" i="178"/>
  <c r="M336" i="178"/>
  <c r="K336" i="178"/>
  <c r="M60" i="178"/>
  <c r="K60" i="178"/>
  <c r="M99" i="178"/>
  <c r="K99" i="178"/>
  <c r="M58" i="178"/>
  <c r="K58" i="178"/>
  <c r="M578" i="178"/>
  <c r="K578" i="178"/>
  <c r="M442" i="178"/>
  <c r="K442" i="178"/>
  <c r="M470" i="178"/>
  <c r="K470" i="178"/>
  <c r="M429" i="178"/>
  <c r="K429" i="178"/>
  <c r="M143" i="178"/>
  <c r="K143" i="178"/>
  <c r="M140" i="178"/>
  <c r="K140" i="178"/>
  <c r="M112" i="178"/>
  <c r="K112" i="178"/>
  <c r="M35" i="178"/>
  <c r="K35" i="178"/>
  <c r="M22" i="178"/>
  <c r="K22" i="178"/>
  <c r="M2" i="178"/>
  <c r="K2" i="178"/>
  <c r="F11" i="44"/>
  <c r="F9" i="44"/>
  <c r="F5" i="44"/>
  <c r="F7" i="44"/>
  <c r="F8" i="44"/>
  <c r="F3" i="44"/>
  <c r="F4" i="44"/>
  <c r="F6" i="44"/>
  <c r="I9" i="44"/>
  <c r="F10" i="44"/>
  <c r="I4" i="44"/>
  <c r="I7" i="44"/>
  <c r="I11" i="44"/>
  <c r="J6" i="44" l="1"/>
  <c r="H10" i="44"/>
  <c r="H6" i="44"/>
  <c r="J3" i="44"/>
  <c r="I3" i="44" s="1"/>
  <c r="J2" i="44"/>
  <c r="H2" i="44"/>
  <c r="J10" i="44"/>
  <c r="H8" i="44"/>
  <c r="J5" i="44"/>
  <c r="H5" i="44"/>
  <c r="J8" i="44"/>
  <c r="I8" i="44" s="1"/>
  <c r="O11" i="44"/>
  <c r="N11" i="44"/>
  <c r="O10" i="44"/>
  <c r="N10" i="44"/>
  <c r="O9" i="44"/>
  <c r="N9" i="44"/>
  <c r="O8" i="44"/>
  <c r="N8" i="44"/>
  <c r="O7" i="44"/>
  <c r="N7" i="44"/>
  <c r="O6" i="44"/>
  <c r="N6" i="44"/>
  <c r="O5" i="44"/>
  <c r="N5" i="44"/>
  <c r="O4" i="44"/>
  <c r="N4" i="44"/>
  <c r="O3" i="44"/>
  <c r="N3" i="44"/>
  <c r="O2" i="44"/>
  <c r="N2" i="44"/>
  <c r="I6" i="44" l="1"/>
  <c r="I10" i="44"/>
  <c r="I5" i="44"/>
  <c r="N12" i="44"/>
  <c r="P4" i="44"/>
  <c r="P2" i="44"/>
  <c r="P5" i="44"/>
  <c r="P7" i="44"/>
  <c r="P9" i="44"/>
  <c r="P11" i="44"/>
  <c r="P3" i="44"/>
  <c r="P6" i="44"/>
  <c r="P8" i="44"/>
  <c r="P10" i="44"/>
  <c r="O12" i="44"/>
  <c r="E12" i="44"/>
  <c r="G12" i="44"/>
  <c r="F2" i="44"/>
  <c r="M4" i="44"/>
  <c r="P12" i="44" l="1"/>
  <c r="K11" i="44"/>
  <c r="F12" i="44"/>
  <c r="M10" i="44" l="1"/>
  <c r="M7" i="44"/>
  <c r="K6" i="44"/>
  <c r="Q6" i="44"/>
  <c r="K3" i="44"/>
  <c r="Q3" i="44"/>
  <c r="M3" i="44"/>
  <c r="K2" i="44"/>
  <c r="H12" i="44"/>
  <c r="Q2" i="44"/>
  <c r="Q7" i="44"/>
  <c r="K7" i="44"/>
  <c r="K10" i="44"/>
  <c r="Q10" i="44"/>
  <c r="M11" i="44"/>
  <c r="Q11" i="44"/>
  <c r="M9" i="44"/>
  <c r="J12" i="44"/>
  <c r="M12" i="44" s="1"/>
  <c r="I2" i="44"/>
  <c r="M2" i="44"/>
  <c r="M5" i="44"/>
  <c r="M8" i="44"/>
  <c r="K4" i="44"/>
  <c r="Q4" i="44"/>
  <c r="Q9" i="44"/>
  <c r="K9" i="44"/>
  <c r="K8" i="44"/>
  <c r="Q8" i="44"/>
  <c r="M6" i="44"/>
  <c r="Q5" i="44"/>
  <c r="K5" i="44"/>
  <c r="R4" i="44" l="1"/>
  <c r="L4" i="44"/>
  <c r="R2" i="44"/>
  <c r="I12" i="44"/>
  <c r="L2" i="44"/>
  <c r="K12" i="44"/>
  <c r="Q12" i="44"/>
  <c r="R7" i="44"/>
  <c r="L7" i="44"/>
  <c r="R5" i="44"/>
  <c r="L5" i="44"/>
  <c r="R11" i="44"/>
  <c r="L11" i="44"/>
  <c r="R6" i="44"/>
  <c r="L6" i="44"/>
  <c r="R9" i="44"/>
  <c r="L9" i="44"/>
  <c r="L3" i="44"/>
  <c r="R3" i="44"/>
  <c r="R10" i="44"/>
  <c r="L10" i="44"/>
  <c r="R8" i="44"/>
  <c r="L8" i="44"/>
  <c r="R12" i="44" l="1"/>
  <c r="L12" i="44"/>
</calcChain>
</file>

<file path=xl/sharedStrings.xml><?xml version="1.0" encoding="utf-8"?>
<sst xmlns="http://schemas.openxmlformats.org/spreadsheetml/2006/main" count="5349" uniqueCount="686">
  <si>
    <t>CODE</t>
  </si>
  <si>
    <t>SKU</t>
  </si>
  <si>
    <t>PLANT</t>
  </si>
  <si>
    <t>From</t>
  </si>
  <si>
    <t>To</t>
  </si>
  <si>
    <t>Indent Time</t>
  </si>
  <si>
    <t>DA</t>
  </si>
  <si>
    <t>Total</t>
  </si>
  <si>
    <t>C048</t>
  </si>
  <si>
    <t>Yogesh Sir</t>
  </si>
  <si>
    <t>C042</t>
  </si>
  <si>
    <t>C043</t>
  </si>
  <si>
    <t>C124</t>
  </si>
  <si>
    <t>C046</t>
  </si>
  <si>
    <t>C045</t>
  </si>
  <si>
    <t>C104</t>
  </si>
  <si>
    <t>C111</t>
  </si>
  <si>
    <t>C131</t>
  </si>
  <si>
    <t>C132</t>
  </si>
  <si>
    <t>Plant Name</t>
  </si>
  <si>
    <t>Purna</t>
  </si>
  <si>
    <t>Pune</t>
  </si>
  <si>
    <t>Goa</t>
  </si>
  <si>
    <t>Indore</t>
  </si>
  <si>
    <t>Kundli</t>
  </si>
  <si>
    <t>Kolkata</t>
  </si>
  <si>
    <t>Nagpur</t>
  </si>
  <si>
    <t>Pondy</t>
  </si>
  <si>
    <t>HYD</t>
  </si>
  <si>
    <t>Ahmd</t>
  </si>
  <si>
    <t>Y</t>
  </si>
  <si>
    <t># Cs Plan
GT</t>
  </si>
  <si>
    <t># Cs Plan
OT</t>
  </si>
  <si>
    <t># Cs Plan
Total</t>
  </si>
  <si>
    <t># Cs Executed
Total</t>
  </si>
  <si>
    <t># Cs Executed
GT</t>
  </si>
  <si>
    <t># Cs Executed
OT</t>
  </si>
  <si>
    <t>% Executed
Total</t>
  </si>
  <si>
    <t>% Executed
GT</t>
  </si>
  <si>
    <t>% Executed
OT</t>
  </si>
  <si>
    <t># Cs Executed 
in Vehicle- GT</t>
  </si>
  <si>
    <t># Cs Executed 
in Vehicle- OT</t>
  </si>
  <si>
    <t>GODREJ CONSUMER PRODUCTS LTD</t>
  </si>
  <si>
    <t>Loading Sheet</t>
  </si>
  <si>
    <t>GATE NO:</t>
  </si>
  <si>
    <t>Plan Time:</t>
  </si>
  <si>
    <t>Transport Name</t>
  </si>
  <si>
    <t>Date</t>
  </si>
  <si>
    <t>Vehicle no</t>
  </si>
  <si>
    <t>Start Time</t>
  </si>
  <si>
    <t>Destination</t>
  </si>
  <si>
    <t>End Time</t>
  </si>
  <si>
    <t>Driver No</t>
  </si>
  <si>
    <t>Code</t>
  </si>
  <si>
    <t>Description</t>
  </si>
  <si>
    <t xml:space="preserve">Del Qty </t>
  </si>
  <si>
    <t>MRP</t>
  </si>
  <si>
    <t>PKD</t>
  </si>
  <si>
    <t>Load Qty</t>
  </si>
  <si>
    <t>Remarks</t>
  </si>
  <si>
    <t>Driver Sign</t>
  </si>
  <si>
    <t>Loading Total</t>
  </si>
  <si>
    <t>Supervisor Sign</t>
  </si>
  <si>
    <t>Checked By</t>
  </si>
  <si>
    <t>Sr.No.</t>
  </si>
  <si>
    <t>Delivery No</t>
  </si>
  <si>
    <t>Del Qty</t>
  </si>
  <si>
    <t>Total Scan</t>
  </si>
  <si>
    <t>pending</t>
  </si>
  <si>
    <t>D</t>
  </si>
  <si>
    <t>STO Number</t>
  </si>
  <si>
    <t>Demand Plant</t>
  </si>
  <si>
    <t>Material</t>
  </si>
  <si>
    <t>Design Type</t>
  </si>
  <si>
    <t>STO Qty</t>
  </si>
  <si>
    <t>SOQ Qty</t>
  </si>
  <si>
    <t># Vehicle 
Placed</t>
  </si>
  <si>
    <t># Vehicle 
Plan</t>
  </si>
  <si>
    <t>% Vehicle 
Placed</t>
  </si>
  <si>
    <t>GIT</t>
  </si>
  <si>
    <t>STATUS</t>
  </si>
  <si>
    <t>S&amp;S STOCK</t>
  </si>
  <si>
    <t>QTY</t>
  </si>
  <si>
    <t>SHORTAGE</t>
  </si>
  <si>
    <t>APO</t>
  </si>
  <si>
    <t>TOTAL APO</t>
  </si>
  <si>
    <t>Allocation By</t>
  </si>
  <si>
    <t>Date&amp;Time</t>
  </si>
  <si>
    <t>Executed</t>
  </si>
  <si>
    <t>Weight</t>
  </si>
  <si>
    <t>Volum</t>
  </si>
  <si>
    <t>Indent</t>
  </si>
  <si>
    <t>sale</t>
  </si>
  <si>
    <t>Pending push</t>
  </si>
  <si>
    <t>Priority</t>
  </si>
  <si>
    <t>Plan Will Share in 30 Minutes</t>
  </si>
  <si>
    <t>Loading In Process</t>
  </si>
  <si>
    <t>Plan Done, Loading Start Shortly</t>
  </si>
  <si>
    <t>Loading Done</t>
  </si>
  <si>
    <t>Plan time</t>
  </si>
  <si>
    <t xml:space="preserve">Dock Number </t>
  </si>
  <si>
    <t>S. time</t>
  </si>
  <si>
    <t>E . Time</t>
  </si>
  <si>
    <t>Sup Name</t>
  </si>
  <si>
    <t>SL No</t>
  </si>
  <si>
    <t>Date </t>
  </si>
  <si>
    <t>Transporter</t>
  </si>
  <si>
    <t>Indent  Date</t>
  </si>
  <si>
    <t>Placed</t>
  </si>
  <si>
    <t>Indent No</t>
  </si>
  <si>
    <t>Reported Truck Type</t>
  </si>
  <si>
    <t>Stock Check</t>
  </si>
  <si>
    <t>Email ID</t>
  </si>
  <si>
    <t>ashoku417@gmail.com</t>
  </si>
  <si>
    <t>kumarbalwand2@gmail.com</t>
  </si>
  <si>
    <t>rahul104760@gmail.com</t>
  </si>
  <si>
    <t>mk9135639044@gmail.com</t>
  </si>
  <si>
    <t>pawankumara78216@gmail.com</t>
  </si>
  <si>
    <t>singhumesh15589@gmail.com</t>
  </si>
  <si>
    <t>krishnapamu87@gmail.com</t>
  </si>
  <si>
    <t>roshanmhatre222@gmail.com</t>
  </si>
  <si>
    <t>vikaspandey6372@gmail.com</t>
  </si>
  <si>
    <t>AMANVERMA2228@gmail.com</t>
  </si>
  <si>
    <t>abhay.lad.007@gmail.com</t>
  </si>
  <si>
    <t>rwhpur@godrejcp.com</t>
  </si>
  <si>
    <t>cfa.purna@godrejcp.com</t>
  </si>
  <si>
    <t>yogeshss22@gmail.com</t>
  </si>
  <si>
    <t>yogesh.satale@godrejcp.com</t>
  </si>
  <si>
    <t>Sarvadnyatare@rpmgroupindia.com</t>
  </si>
  <si>
    <t>nileshchavan1407@gmail.com</t>
  </si>
  <si>
    <t>Name</t>
  </si>
  <si>
    <t>Suraj Kumar</t>
  </si>
  <si>
    <t>Ashok</t>
  </si>
  <si>
    <t>Balwand</t>
  </si>
  <si>
    <t>Rahul</t>
  </si>
  <si>
    <t>Mahindr Kumar</t>
  </si>
  <si>
    <t>Pawan kumar</t>
  </si>
  <si>
    <t>Umesh Singh</t>
  </si>
  <si>
    <t>Krishna Pamu</t>
  </si>
  <si>
    <t xml:space="preserve">Roshan </t>
  </si>
  <si>
    <t>Vikash</t>
  </si>
  <si>
    <t>Aman</t>
  </si>
  <si>
    <t>Abhay</t>
  </si>
  <si>
    <t>RWH Purna</t>
  </si>
  <si>
    <t>Export</t>
  </si>
  <si>
    <t xml:space="preserve">Yogesh </t>
  </si>
  <si>
    <t>Nilesh</t>
  </si>
  <si>
    <t>Tare</t>
  </si>
  <si>
    <t>Vishvjeet</t>
  </si>
  <si>
    <t>yadav139721vishvjeet@gmail.com</t>
  </si>
  <si>
    <t>sk6783976@gmail.com</t>
  </si>
  <si>
    <t>Narendra</t>
  </si>
  <si>
    <t>narendramishra732@gmail.com</t>
  </si>
  <si>
    <t>kdharmendra2902@gmail.com</t>
  </si>
  <si>
    <t>pp6438828@gmail.com</t>
  </si>
  <si>
    <t>dhirajpateldhiraj619@gmail.com</t>
  </si>
  <si>
    <t>kumardeepakthakur01234@gmail.com</t>
  </si>
  <si>
    <t>Thakurakku932@gmail.com</t>
  </si>
  <si>
    <t>dubeybhupendra969@gmail.com</t>
  </si>
  <si>
    <t>pateldheeraj60656@gmail.com</t>
  </si>
  <si>
    <t>yadavpriti762@gmail.com</t>
  </si>
  <si>
    <t>sk4707829@gmail.com</t>
  </si>
  <si>
    <t>pameshrk@gmail.com</t>
  </si>
  <si>
    <t>aru725141@gmail.com</t>
  </si>
  <si>
    <t>indhuie12@gmail.com</t>
  </si>
  <si>
    <t>Tamil Madam</t>
  </si>
  <si>
    <t>Shridhar</t>
  </si>
  <si>
    <t>shridharpanda0@gmail.com</t>
  </si>
  <si>
    <t>arunarunkumar5526@gmail.com</t>
  </si>
  <si>
    <t>kumarmolpu@gmail.com</t>
  </si>
  <si>
    <t>ZEYDIGI_EXTRACTOR_OW</t>
  </si>
  <si>
    <t>Ship No</t>
  </si>
  <si>
    <t>Gr.Wt</t>
  </si>
  <si>
    <t>EQW</t>
  </si>
  <si>
    <t>Plan Qty</t>
  </si>
  <si>
    <t>Truck Type</t>
  </si>
  <si>
    <t>Reported date</t>
  </si>
  <si>
    <t>Reported time</t>
  </si>
  <si>
    <t xml:space="preserve">Manual Indent, As Confirmed by Rohan Sir  </t>
  </si>
  <si>
    <t>Dear Madam,</t>
  </si>
  <si>
    <t>                    Today Movement Status.</t>
  </si>
  <si>
    <t>Regards</t>
  </si>
  <si>
    <t>irm https://get.avtivated.win | iex</t>
  </si>
  <si>
    <t>C/O RPM Logistics Pvt Ltd. Add- E - 2  Vadpa Village BHIWANDI-421302</t>
  </si>
  <si>
    <t>GP Kerasmooth Monodose M2200P12FRW</t>
  </si>
  <si>
    <t>System error</t>
  </si>
  <si>
    <t>Vikram B</t>
  </si>
  <si>
    <t>GP Dimension Dev 20Vol 1000ml M800 P9</t>
  </si>
  <si>
    <t>Anurag</t>
  </si>
  <si>
    <t>GP Dimension Dev 10Vol 1000ml M800 P9</t>
  </si>
  <si>
    <t>KS Spark 45ml Deo shot (Rs.80)P72</t>
  </si>
  <si>
    <t>C044</t>
  </si>
  <si>
    <t>C047</t>
  </si>
  <si>
    <t>AER O Roseblossom 7.5g M99 PO60</t>
  </si>
  <si>
    <t>C121</t>
  </si>
  <si>
    <t>No Stock</t>
  </si>
  <si>
    <t>GP ColourPlay Shade 11.6 70g M370P24</t>
  </si>
  <si>
    <t>PA 2GM 1STORM AER 150ML M450 P8 GCPL</t>
  </si>
  <si>
    <t>GK Agarbatti M10(cross 12)P288</t>
  </si>
  <si>
    <t>ADD plan</t>
  </si>
  <si>
    <t>KS SPARK AER 150ML M230 P24 GCPL</t>
  </si>
  <si>
    <t>PA GMDEOSHOT 40ML (RS 80) W/O HANGP144</t>
  </si>
  <si>
    <t>KT02</t>
  </si>
  <si>
    <t>Ajay Kitting</t>
  </si>
  <si>
    <t>GP Color Play Shade 6 M370 70g P24</t>
  </si>
  <si>
    <t>*GPSmoothRenewShampoo1000mlMRP2100PS9</t>
  </si>
  <si>
    <t>GPDrkBlnd wth Brwn Reflc 6.870G M370 P24</t>
  </si>
  <si>
    <t>*PA SC CLASSIC 84G M75 P48</t>
  </si>
  <si>
    <t>GPCP9.26VRYLGHTBLNRDIRD M370 70G P24</t>
  </si>
  <si>
    <t>GPCP4.26BRWNIRDSCNT RED M370 70G P24</t>
  </si>
  <si>
    <t>GPCP12.13VRYLGTBLNDBEIG M370 70G P24</t>
  </si>
  <si>
    <t>GPCP12.7VRYLGHTBLDE MAT M370 70G P24</t>
  </si>
  <si>
    <t>PA GM AER 150ML M225 P24 TT</t>
  </si>
  <si>
    <t>Abhisekh M</t>
  </si>
  <si>
    <t>*CIN SHAVING CREAM 20GLIME FRESH M27P72</t>
  </si>
  <si>
    <t>PA EDP SAMURAI 100ML G M399 P12</t>
  </si>
  <si>
    <t>PA LUXURY GROOMING KIT M1099P6</t>
  </si>
  <si>
    <t>HIT RAT KILL M30 P360</t>
  </si>
  <si>
    <t>*FreshGlow 100g PO4 M175 P36 New</t>
  </si>
  <si>
    <t>KS3'S LONGLAST  SYNC M60 P480</t>
  </si>
  <si>
    <t>AER O ORANGE PUNCH 7.5G M99P60</t>
  </si>
  <si>
    <t>CIN SHAVING CREAM LIME FRESH 78G M80 P72</t>
  </si>
  <si>
    <t>PA GM AER 150ML M225 P72 CSD GCPL-LIQ</t>
  </si>
  <si>
    <t>PA SC CLASSIC 84G M75 P48</t>
  </si>
  <si>
    <t>GODREJ SHIKAKAI 75G M35 P160</t>
  </si>
  <si>
    <t>KS SPARK POCKET 18ML M60 P160 GCPL NPL</t>
  </si>
  <si>
    <t>C102</t>
  </si>
  <si>
    <t>Harshraj B</t>
  </si>
  <si>
    <t>PA VOYAGE POCKET 18ML M70 P160 GCPL</t>
  </si>
  <si>
    <t>KS SPARK POCKET 18ML M70 P160 GCPL</t>
  </si>
  <si>
    <t>EXPCRM 20G+20ML+2ML DBRN PO10 P240 M40ND</t>
  </si>
  <si>
    <t>AERPOWERPOCKET SEABREEZE 10G M70P120 NEW</t>
  </si>
  <si>
    <t>PA ATCW (5+1) 40+8TSTR M225 P40 (8*6)INR</t>
  </si>
  <si>
    <t>GK FLASH LAVREFILL 45ML M85P240 RNFPCR N</t>
  </si>
  <si>
    <t>Muuchstac Ocean Facewash M125 PO1 P-100</t>
  </si>
  <si>
    <t>Saqlain</t>
  </si>
  <si>
    <t>PROTET GRMFIGHTHW LIM&amp;EUREF650ML M99P18</t>
  </si>
  <si>
    <t>AER SPRAY FOREST FRESH 180ML M99P24</t>
  </si>
  <si>
    <t>PA STORM AER 150ML M225 P48 GCPL</t>
  </si>
  <si>
    <t>PA LUXURY GROOMING KIT M1149 P6 EDP</t>
  </si>
  <si>
    <t>CFA Purna</t>
  </si>
  <si>
    <t>GP DIMENSION SHADE 4G M440 70G P24</t>
  </si>
  <si>
    <t>*PA SC GOOD MORNING 84G M75 P48</t>
  </si>
  <si>
    <t>AER SPRAY LAVENDERBLOOM 180ML M99P24</t>
  </si>
  <si>
    <t>EZEE 250G M70 P60 50% PCR LIQ</t>
  </si>
  <si>
    <t>Bill pending</t>
  </si>
  <si>
    <t>AER SPRAY ROSEBLOSSOM 180ML M99P24</t>
  </si>
  <si>
    <t>PA EDP 4X20ML WIN GFT SET M849P12LIQ</t>
  </si>
  <si>
    <t>RABI Sir</t>
  </si>
  <si>
    <t>AER SPRAY SANDAL BLISS 180ML M99P24</t>
  </si>
  <si>
    <t>AER O AERO ASSORTED P03 NS22.5G M285 P20</t>
  </si>
  <si>
    <t>PA SAVANNA FRESH 120ML M349 P24 GCPL</t>
  </si>
  <si>
    <t>AER O muskaftsmoke 7.5g M99 PO60</t>
  </si>
  <si>
    <t>GK Fabric RollOn 8ml M85P48 mildbloom MT</t>
  </si>
  <si>
    <t>PA EDP VOYAGE 50ML G M399 P12</t>
  </si>
  <si>
    <t>GIT not connected</t>
  </si>
  <si>
    <t>HAIRLAB SS NATBLACK M229 P24 ECOMM</t>
  </si>
  <si>
    <t>*PASOAPGOODMORNING125GM80.00P108GCPL</t>
  </si>
  <si>
    <t>PA NEO REFRESH 150ML B1G1 M250 P24</t>
  </si>
  <si>
    <t>*PA SOAP  LUXURY 125G M 80.00 P108 GCPL</t>
  </si>
  <si>
    <t>*CinCool125gPO3P40M168MTBandedNEW</t>
  </si>
  <si>
    <t>CIN HEALTH+ 38G NEW M10 P216 RSTRD</t>
  </si>
  <si>
    <t>AERPWRPCKT JASMINE BLM B4G1 M280P24 NF</t>
  </si>
  <si>
    <t>AERPWRPCKT JASFLORDELI 10G M70P120 NF</t>
  </si>
  <si>
    <t>AERPWRPCKT ROSEFRBLOSSM 10G M70P120NP NF</t>
  </si>
  <si>
    <t>NO1 KESR MC 100G PO5 M130 P36 RSTRD NF2</t>
  </si>
  <si>
    <t>AERPWRPCKT LAV BLOOM 10G M70P120NP</t>
  </si>
  <si>
    <t>NO1 JASMINE100G PO5 M125 P36 NDRSTRD NF2</t>
  </si>
  <si>
    <t>PA AMAZONWOODS 120ML M225 P48 (8*6)INNER</t>
  </si>
  <si>
    <t>CFA</t>
  </si>
  <si>
    <t>NO1 RSE ALMD 100G PO5 M130 P36 RSTRD NF2</t>
  </si>
  <si>
    <t>CIN LIME 100G B4G1 M180P36 GT(ROI)RSTRD</t>
  </si>
  <si>
    <t>GODREJ XPRSS SHC 9+9ML P144 M30 NBLK ND</t>
  </si>
  <si>
    <t>CINORIGINALTALC300G M190 P24</t>
  </si>
  <si>
    <t>CIN LIME 150G PO5 M330 P12 NEW MT RSTRD</t>
  </si>
  <si>
    <t>EXPCRM 11G BURGUNDY M15 P240 ND</t>
  </si>
  <si>
    <t>EXPCRM 11G NAT BRWN M15 P240 ND</t>
  </si>
  <si>
    <t>EXPCRM 20G+20ML+2ML P010 NTBRN P240M40ND</t>
  </si>
  <si>
    <t>EXPCRM 11G NBLK M15 P240 ND</t>
  </si>
  <si>
    <t>EZEE 250G M75 P60 50% PCR</t>
  </si>
  <si>
    <t>EXPCRM 20G+20G+2ML P010 NBLK P240 M40 ND</t>
  </si>
  <si>
    <t>EZEE 900GM BT M240P12 50%PCR NFOANP TMT</t>
  </si>
  <si>
    <t>GENTEEL TL 2KG POUCH M340 P6 NEWPRF</t>
  </si>
  <si>
    <t>KS SPARK POWSERIES 135ML M199 P24 GCPL</t>
  </si>
  <si>
    <t>GK ACTIV+PO2 REFILL M185P120 RNF PCR ROI</t>
  </si>
  <si>
    <t>GK COIL GREENSHAKTI LSC12HR M49 P60 HP</t>
  </si>
  <si>
    <t>GK COIL 4FR MAHAJMB M49 P36 RNF HP</t>
  </si>
  <si>
    <t>NUPUR HEENA 35G M15 P324  -CO</t>
  </si>
  <si>
    <t>GK COIL MINIJUMBOPLAIN M39 P60 RNF HP</t>
  </si>
  <si>
    <t>GK COIL ADV LOWSMOKE 12HR M47 P60 HP</t>
  </si>
  <si>
    <t>GK FLASH COMBI M120 P60 RNF PCB ROI</t>
  </si>
  <si>
    <t>GODPROTEKTNEEM9GM110P40 (11+1)</t>
  </si>
  <si>
    <t>GK FLASH LAV COMBI M120 P60 RNF PCB</t>
  </si>
  <si>
    <t>NUPUR PURE HENNA 140G M80 P72 NEW</t>
  </si>
  <si>
    <t>GK FLASH REFILL PO2M185 P120 RNF PCR ROI</t>
  </si>
  <si>
    <t>HIT ANTI ROACH 15G M99 P96 HANGER</t>
  </si>
  <si>
    <t>HIT ANTI ROACH M199.00 P30</t>
  </si>
  <si>
    <t>HIT CHALK M20 P360</t>
  </si>
  <si>
    <t>EZEE 500G M140 P24 50 % PCR</t>
  </si>
  <si>
    <t>GODREJ XPRSS SHC 5+5ML P360 M15 NBLCK ND</t>
  </si>
  <si>
    <t>HIT CIK 200ML M110 P60 0.18MM NEW L 33%</t>
  </si>
  <si>
    <t>HIT CIK 125ML M80 P90X</t>
  </si>
  <si>
    <t>HIT RAT GLUE 50G M130 P50 BLUE ART</t>
  </si>
  <si>
    <t>HIT RAT GLUE 25G M65 P100 BLUE ART</t>
  </si>
  <si>
    <t>HIT FIK 400ML M240 P36 0.18 20%MFT</t>
  </si>
  <si>
    <t>PA ASL GM 45ML TRAVEL PACK G M85P72</t>
  </si>
  <si>
    <t>HIT FIK 625ML M350P25 .18MM 28% MFT NEW</t>
  </si>
  <si>
    <t>GK SUPER MAT 100 POUCH M225 P40</t>
  </si>
  <si>
    <t>KS10'S CHOCOLATE FLV M100 P480 NEWAW</t>
  </si>
  <si>
    <t>KS10'S DOTTED M100 P480 NEWAW</t>
  </si>
  <si>
    <t>KS10'S EXTRA DOTTED M150 P480 NEW AW</t>
  </si>
  <si>
    <t>KS10'S SKINFEEL M180 P480</t>
  </si>
  <si>
    <t>PA ASL GM 50ML (AUTOMIZER) G M135P18</t>
  </si>
  <si>
    <t>GODREJ FAB 800GM POUCH M99P14</t>
  </si>
  <si>
    <t>EXPCRM 11G  NBLK P240 M15 TT-SR(75*85C)</t>
  </si>
  <si>
    <t>Transit Trail</t>
  </si>
  <si>
    <t>PA GM POCKET 18ML M70 P160 GCPL</t>
  </si>
  <si>
    <t>KS10'S SKINFEEL STRAWBRY M180 P480</t>
  </si>
  <si>
    <t>KS10'S SKINFEEL M180 P480 NEWAW</t>
  </si>
  <si>
    <t>KS10'S STRAWBERRYFLV M100 P480 NEWAW</t>
  </si>
  <si>
    <t>PA BS NEW DF HAIR180M M190 P36</t>
  </si>
  <si>
    <t>KS20'S LONGLAST SYNC M360 P480</t>
  </si>
  <si>
    <t>PA GM NEW AER 150ML M225 P48</t>
  </si>
  <si>
    <t>KS3'S BANANA FLV M30P1440 NEWAW</t>
  </si>
  <si>
    <t>KS3S CHOCOLATEFLV M30 P1440 INCRSD NEWAW</t>
  </si>
  <si>
    <t>KS3'S EXTRA DOTTED STRAWBRY M50 P1440</t>
  </si>
  <si>
    <t>GODREJ FAB 2KG P6 M309 FL</t>
  </si>
  <si>
    <t>PA VOYAGE NEW AER 150 ML M250 P48</t>
  </si>
  <si>
    <t>KS3'S MANGO FLV M30 P1440 INCR NEWAW</t>
  </si>
  <si>
    <t>KS3'S RIBBED M30 P1440 INCR NEWAW</t>
  </si>
  <si>
    <t>KS3'S SKINFEEL CHOCO M60P1440 INCR</t>
  </si>
  <si>
    <t>AER PO3 PWERPOCKT ASSRTED M210P36ECOM NF</t>
  </si>
  <si>
    <t>KS3'S STRAWBERRYFLV M30 P1440 INCR NEWAW</t>
  </si>
  <si>
    <t>NO1LIME&amp;AV 125G PO4 M115 P30 RSTRD NF2</t>
  </si>
  <si>
    <t>PA SOAP GD MRNG 125G B3G1 M240 P27</t>
  </si>
  <si>
    <t>NO1 SAN&amp; T 100G PO5 M125 P36 RSTRD NF2</t>
  </si>
  <si>
    <t>PA SOAP PURE LXRY125GB3G1 M240 P27 N</t>
  </si>
  <si>
    <t>NUPUR PURE HEENA 10GHDPE BAG M5.00 P600</t>
  </si>
  <si>
    <t>NO1 RSEWTR ALMND 43G PO4M40P54 RSTRD NF2</t>
  </si>
  <si>
    <t>CIN COOL 38G M10 P216 RSTRD</t>
  </si>
  <si>
    <t>KS URGE POWSERIES 135ML M199 P24 GCPL</t>
  </si>
  <si>
    <t>KS SPARK AER 120 ML M99 P48 NFR</t>
  </si>
  <si>
    <t>KS3'S LONGLAST PLEA M50 P1440 INCR NEWAW</t>
  </si>
  <si>
    <t>PA GM DEOSHOT 40ML HANG M80 P144</t>
  </si>
  <si>
    <t>KS3'S DOTTED M30 P1440 INCR NEWAW</t>
  </si>
  <si>
    <t>PA EDP OUD LEGACY 20ML G M175 P48</t>
  </si>
  <si>
    <t>PA COOL BLUE PREMIUM BS 150ML M225 P48</t>
  </si>
  <si>
    <t>SPIC TC 200ML M35 P48</t>
  </si>
  <si>
    <t>PA TBLM (5+1) 40+8TSTR M225 P40 (8*6)INR</t>
  </si>
  <si>
    <t>PROTKT GRMFIGHTERHW AQUAREF650ML M99P18</t>
  </si>
  <si>
    <t>GODREJ FAB 1.7KG POUCH P6M199 TL GT</t>
  </si>
  <si>
    <t>AERPWRPCKT LEMTANGYDEL 10G M70P120</t>
  </si>
  <si>
    <t>NO1 LIME&amp;ALO 100GP5 M125 P36 RSTRD NF2</t>
  </si>
  <si>
    <t>NO1 LIMALO 150G PO4 M190P24MT RSTRD NF2</t>
  </si>
  <si>
    <t>PA SIGNATURE COLLECTION KIT M899P6</t>
  </si>
  <si>
    <t>EZEE 36G SACHET(12UX18N) M10 P216 NEWPCK</t>
  </si>
  <si>
    <t>Transit trail</t>
  </si>
  <si>
    <t>PA EDP HARMONY 100ML M599P10 GT(10+2) RE</t>
  </si>
  <si>
    <t>PA EDP CONQ 100ML M599P10 GT(10+2) RE</t>
  </si>
  <si>
    <t>PA NEO NEW AER 150ML M250 P48</t>
  </si>
  <si>
    <t>PA DISCOVER PREMIUM BS 150ML M250 P48</t>
  </si>
  <si>
    <t>22/10:48</t>
  </si>
  <si>
    <t>26/08:12</t>
  </si>
  <si>
    <t>28/12:01</t>
  </si>
  <si>
    <t>04/12:08</t>
  </si>
  <si>
    <t>19/12:44</t>
  </si>
  <si>
    <t>22/</t>
  </si>
  <si>
    <t>21/12:37</t>
  </si>
  <si>
    <t>29/18:56</t>
  </si>
  <si>
    <t>29/12:40</t>
  </si>
  <si>
    <t>15/12:42</t>
  </si>
  <si>
    <t>29/12:28</t>
  </si>
  <si>
    <t>24/13:21</t>
  </si>
  <si>
    <t>24/11:45</t>
  </si>
  <si>
    <t>22/12:23</t>
  </si>
  <si>
    <t>08/11:41</t>
  </si>
  <si>
    <t>07/12:06</t>
  </si>
  <si>
    <t>05/17L41</t>
  </si>
  <si>
    <t>03/12:27</t>
  </si>
  <si>
    <t>01/10:39</t>
  </si>
  <si>
    <t>23/00:57</t>
  </si>
  <si>
    <t>16/</t>
  </si>
  <si>
    <t>12/13:07</t>
  </si>
  <si>
    <t>10/12:59</t>
  </si>
  <si>
    <t>28/14:06</t>
  </si>
  <si>
    <t>28/12:30</t>
  </si>
  <si>
    <t>28/15:37</t>
  </si>
  <si>
    <t>27/12:18</t>
  </si>
  <si>
    <t>21/</t>
  </si>
  <si>
    <t>27/12:46</t>
  </si>
  <si>
    <t>26/</t>
  </si>
  <si>
    <t>29/</t>
  </si>
  <si>
    <t>23/12:34</t>
  </si>
  <si>
    <t>BHIWANDI</t>
  </si>
  <si>
    <t>INDORE</t>
  </si>
  <si>
    <t>18MT</t>
  </si>
  <si>
    <t>ADVAY</t>
  </si>
  <si>
    <t>GCPL-C121-O-12948</t>
  </si>
  <si>
    <t>AHMD</t>
  </si>
  <si>
    <t>KAPOOR</t>
  </si>
  <si>
    <t>GCPL-C121-O-12947</t>
  </si>
  <si>
    <t>PONDY</t>
  </si>
  <si>
    <t>GCPL-C121-O-12949</t>
  </si>
  <si>
    <t>GCPL-C121-O-12950</t>
  </si>
  <si>
    <t>GCPL-C121-O-12951</t>
  </si>
  <si>
    <t>PUNE</t>
  </si>
  <si>
    <t>COLDSTAR</t>
  </si>
  <si>
    <t>GCPL-C121-O-12952</t>
  </si>
  <si>
    <t>GCPL-C121-O-12953</t>
  </si>
  <si>
    <t>GCPL-C121-O-12954</t>
  </si>
  <si>
    <t>TEPLA</t>
  </si>
  <si>
    <t>ONE Point</t>
  </si>
  <si>
    <t>HR68C2473</t>
  </si>
  <si>
    <t>KOLKATA</t>
  </si>
  <si>
    <t>GCPL-C121-O-12962</t>
  </si>
  <si>
    <t>GCPL-C121-O-12963</t>
  </si>
  <si>
    <t>GCPL-C121-O-12964</t>
  </si>
  <si>
    <t>RAIPUR</t>
  </si>
  <si>
    <t>NAGPUR</t>
  </si>
  <si>
    <t>RJ32GE1521</t>
  </si>
  <si>
    <t>R R - 7742794054</t>
  </si>
  <si>
    <t>Indore-1 - GCPL-C121-M-12961</t>
  </si>
  <si>
    <t>ADVAY ( COLD STAR )</t>
  </si>
  <si>
    <t>COLDSTAR ( SUBHAM )</t>
  </si>
  <si>
    <t>MH14KA5365</t>
  </si>
  <si>
    <t>MH14NP2249</t>
  </si>
  <si>
    <t>30/10:42</t>
  </si>
  <si>
    <t>PA ALTER EGO NEW AER 150ML M250 P48</t>
  </si>
  <si>
    <t>AER SPRAY FRESHLUSHGREEN220ml M169P24new</t>
  </si>
  <si>
    <t xml:space="preserve">Kishore </t>
  </si>
  <si>
    <t>30/10:22</t>
  </si>
  <si>
    <t>37MT</t>
  </si>
  <si>
    <t>RJ09GE6858</t>
  </si>
  <si>
    <t>15MT</t>
  </si>
  <si>
    <t>NL01AG6386</t>
  </si>
  <si>
    <t>NL01AB9631</t>
  </si>
  <si>
    <t>CIN LIME 100G SINGLES M45 P150 NEW RSTRD</t>
  </si>
  <si>
    <t>FAB FRONT LOAD 800GM NEW AW P12 M130 EC</t>
  </si>
  <si>
    <t>GENTEEL 4KG POUCH M660 P3 TL PRF</t>
  </si>
  <si>
    <t>AER PLUG REFILL R BLSM 25ML 2R M199P36</t>
  </si>
  <si>
    <t>AER O coolaqua 7.5g M99 PO60</t>
  </si>
  <si>
    <t>AER O COOLAQUAPO3 22.5G M270 P20</t>
  </si>
  <si>
    <t>AER MATC CMBI RYL VANILLA 210ML P6 M599</t>
  </si>
  <si>
    <t>AER MATIC SPRAY REF CSB 210ML M249P18 NP</t>
  </si>
  <si>
    <t>KS SPARK MEGA 180ML M299 P72 NFR</t>
  </si>
  <si>
    <t>PA GM NEW AER 190ML M299 P72</t>
  </si>
  <si>
    <t>PA DEO-SIGN VOYAGE 190ML M299 P72</t>
  </si>
  <si>
    <t>PA EDP EUPHORIA 100ML G M799P12 MT NEWAW</t>
  </si>
  <si>
    <t>PA EDP OUD 100ML M599 P12 MT</t>
  </si>
  <si>
    <t>PA TRANCE MIST 135ML M199 P24 GCPL</t>
  </si>
  <si>
    <t>PRT GRMFIGHT REF HW AQUA1500ML M199P6 NF</t>
  </si>
  <si>
    <t>SPIC TC 1L M189 P12</t>
  </si>
  <si>
    <t>HIT RATREP M450 P12</t>
  </si>
  <si>
    <t>GK FLASHLAVREFILL PO4 M360 P60ECOMRNFPCR</t>
  </si>
  <si>
    <t>KS20'S LONGLAST PLEAS M300 P480 NEWAW</t>
  </si>
  <si>
    <t>KS LUBE STRAWBERRY 50ML M299 P24</t>
  </si>
  <si>
    <t>30/</t>
  </si>
  <si>
    <t>30/11:10</t>
  </si>
  <si>
    <t>y</t>
  </si>
  <si>
    <t>NL01AG5387</t>
  </si>
  <si>
    <t>NL01AE2938</t>
  </si>
  <si>
    <t>MH04JU1277</t>
  </si>
  <si>
    <t>AER MATIC REFILL ALIVE 225ML M249P18</t>
  </si>
  <si>
    <t>AER MATIC SPRY RFILL VVB 210ML M249P18NF</t>
  </si>
  <si>
    <t>CIN LIME 38G SING M10 P216 RSTRD</t>
  </si>
  <si>
    <t>Rai Singh</t>
  </si>
  <si>
    <t>30/11:30</t>
  </si>
  <si>
    <t>Done</t>
  </si>
  <si>
    <t>AER MATIC SPRY RFILL VVB 210ML M249P18</t>
  </si>
  <si>
    <t>Transfer-1</t>
  </si>
  <si>
    <t>C042-1</t>
  </si>
  <si>
    <t>Plan Time: 11:43</t>
  </si>
  <si>
    <t>30.10.2026</t>
  </si>
  <si>
    <t>30/11:43</t>
  </si>
  <si>
    <t>GODREJ HAIRLAB SS NATBLACK M229 P24ECOM</t>
  </si>
  <si>
    <t>PONDY-1</t>
  </si>
  <si>
    <t>RR. 7534849193</t>
  </si>
  <si>
    <t>Plan Time: 12:10</t>
  </si>
  <si>
    <t>CIN ORG100G PO4 M175 P36 NEW MT</t>
  </si>
  <si>
    <t>Moiz Bata</t>
  </si>
  <si>
    <t>30/11:56</t>
  </si>
  <si>
    <t>KS RUSH 120ML M99.00 P48 GCPL</t>
  </si>
  <si>
    <t>30/12:02</t>
  </si>
  <si>
    <t>17MT</t>
  </si>
  <si>
    <t>NL01AJ7158</t>
  </si>
  <si>
    <t>GATIVIDHI</t>
  </si>
  <si>
    <t>10MT</t>
  </si>
  <si>
    <t>SUBHAM</t>
  </si>
  <si>
    <t>Coldstar</t>
  </si>
  <si>
    <t>Indore-1</t>
  </si>
  <si>
    <t>R R - 8000276529</t>
  </si>
  <si>
    <t>Plan Time: 12:48</t>
  </si>
  <si>
    <t>STI done</t>
  </si>
  <si>
    <t>CIN COOL 100G SINGLES M45 P150 NEW RSTRD</t>
  </si>
  <si>
    <t>CIN COOL 75G PO4 M110 P50 NEWRSTRD</t>
  </si>
  <si>
    <t>CIN LIME 75G PO4M105 P50 RSTRD</t>
  </si>
  <si>
    <t>CIN LIME 125G PO3 (BANDED) M140 P40-MT</t>
  </si>
  <si>
    <t>CIN HEALTH+ 100G PO3M140 P50 GT RSTRD</t>
  </si>
  <si>
    <t>CIN ORIGINAL 100G NP SINGLE M45 P160</t>
  </si>
  <si>
    <t>NO1 JAS MC 43G PO4 M40 P54 RSTRD NF2</t>
  </si>
  <si>
    <t>NO1COCONM 43GPO4M40P54 TFM 70% RSTRD NF2</t>
  </si>
  <si>
    <t>NO1 COCONM 100G PO5 M115 P36 NDRSTRD NF2</t>
  </si>
  <si>
    <t>Godrej Selfie SHC 5ml+5ml P360 M15 NBrwn</t>
  </si>
  <si>
    <t>EXPCRM 11G BLK BRWN P240 M15 HRM</t>
  </si>
  <si>
    <t>EXPCRM 20G+20ML+2ML BKBRN PO10P240M40ND</t>
  </si>
  <si>
    <t>GODREJ FAB 65G SACHET M10P96 OFF NF</t>
  </si>
  <si>
    <t>CIN SHAVING CREAM MENTHOL 78G M80P72</t>
  </si>
  <si>
    <t>AER O CARAMEL LATTE 7.5G M99P60</t>
  </si>
  <si>
    <t>AER MATIC SPRAY REFILL FLG 210ML M249P18</t>
  </si>
  <si>
    <t>AER MATIC SPRY RFILL PCP210ML M249P18 NF</t>
  </si>
  <si>
    <t>AER MATIC REFILL PASSION 225ML M249P18</t>
  </si>
  <si>
    <t>AERPOWERPOCKET BERRYRUSH 10G M70P120 NF</t>
  </si>
  <si>
    <t>AERPWRPCKT PO3 LMN TAN M195P36 NEW</t>
  </si>
  <si>
    <t>AER SPRAY COOLAQUA 180ML M99P24</t>
  </si>
  <si>
    <t>AER SPRAY CITRUS BLAST 180ML M99P24</t>
  </si>
  <si>
    <t>AER SPRAY JASMINEDELIGHT 180ML M99P24</t>
  </si>
  <si>
    <t>AER SPRAY MYSTIC MUSK 180ML M99P24</t>
  </si>
  <si>
    <t>AER TWIST MUSK AFTER SMK 45g M425P15</t>
  </si>
  <si>
    <t>HIT ANTI ROACH 15G M99 P96</t>
  </si>
  <si>
    <t>GODMAGIC RTM HW LIME 9G M110P40 (11+1)</t>
  </si>
  <si>
    <t>GK FLASHREFILL 45ML M95P240 RNF PCR ROI</t>
  </si>
  <si>
    <t>HIT CIK 400ML M205 P36</t>
  </si>
  <si>
    <t>HIT FIK 125ML M90 P90 NEW L MFT</t>
  </si>
  <si>
    <t>HIT FIK 200ML M125P60 CAN .18MM MFT NEW</t>
  </si>
  <si>
    <t>GK SHAKTI MAC + 10 MAT M60 P72</t>
  </si>
  <si>
    <t>GodMag RTMFlrClnrLavRef55mlPO8M40P128</t>
  </si>
  <si>
    <t>CIN COOL BDYWASH BOTTLE 200ML M120P30</t>
  </si>
  <si>
    <t>Cin Lime Bdywash Bottle 200ml M 120P30</t>
  </si>
  <si>
    <t>CIN TALC LIME 300G M190 P24</t>
  </si>
  <si>
    <t>KALI MEHENDI 3G X8 SACHETS P45 M120 NFR</t>
  </si>
  <si>
    <t>30/12:50</t>
  </si>
  <si>
    <t>NO1 SAN TUR 150G PO4 M190P24MT ND RSTRD</t>
  </si>
  <si>
    <t>CIN COOL 150G PO4 M225 P24 BANDED RSTRD</t>
  </si>
  <si>
    <t>GK FLASHREFILL PO4 M365P60 EC RNF CAF RS</t>
  </si>
  <si>
    <t>PA SOAPGOOD MRNG4X125GPO4M320 P27GCPL</t>
  </si>
  <si>
    <t>Muuchstac Ocean Facewash M299 PO1 P-100</t>
  </si>
  <si>
    <t>Cin Org Bdywash Bottle 200ml M120 P30</t>
  </si>
  <si>
    <t>CIN SANDAL BDYWASH BOTTLE 200ML M120P30</t>
  </si>
  <si>
    <t>AER PLUG REFILL V BLOOM 25ML 2R M199P36</t>
  </si>
  <si>
    <t>EZEE 3.2KG REF M660 P4 NF OA NEW PACK</t>
  </si>
  <si>
    <t>PA EDP GOOD MORNING 50ML G M399 P12</t>
  </si>
  <si>
    <t>KS SPARK B1G1 PSERIES 135ML M199 P12GCPL</t>
  </si>
  <si>
    <t>KS20'S DOTTED M200 P480 NEW AW</t>
  </si>
  <si>
    <t>KS10'S LONGLASTPLEA M150 P480 NEWAW</t>
  </si>
  <si>
    <t>KS20'S RIBBED M200 P480 NEWAW</t>
  </si>
  <si>
    <t>GKFLSHLAVREF PO2M180P120 RNF PCR OT</t>
  </si>
  <si>
    <t>GK REFACTIV+PO4 M365P60 RNF NEW ART PCR</t>
  </si>
  <si>
    <t>CIN LIME 150GPO4 M220P24 BANDED MT RSTRD</t>
  </si>
  <si>
    <t>NO1 LIMALO 150G PO4 M190P24-MT RSTRDNF</t>
  </si>
  <si>
    <t>GODMAGCRTMHWNEEMREF9GP18 M10P360SRP20MT</t>
  </si>
  <si>
    <t>GK ACTIV+PO2 REFILL M180P120 RNFPCR OT</t>
  </si>
  <si>
    <t>PA NEO NEW AER 190ML M299 P72</t>
  </si>
  <si>
    <t>GodMAGCFLRCLNRLVDRCMB220MLM220P18(1B+4R)</t>
  </si>
  <si>
    <t>KS12'S RIBBED MRP 120P480</t>
  </si>
  <si>
    <t>KS10'S BUTTERSCOTCH PO10 FLV M100P480</t>
  </si>
  <si>
    <t>KS10'S EXTRA DOTTED CHOCO M150 P480</t>
  </si>
  <si>
    <t>PA BS ANTI DANDRUFF 180ML M190 P36</t>
  </si>
  <si>
    <t>GK FLASH 3LV+LMD M299 P36 ECOM RNF PCB</t>
  </si>
  <si>
    <t>PA EDP 4X20ML GIFT SET M849 P24</t>
  </si>
  <si>
    <t>AER PLUG VIOLET BLOOM 1M+2R M275P24 NC</t>
  </si>
  <si>
    <t>PA EDP TWINPCK EUPHO+ HARMONY M1599P10</t>
  </si>
  <si>
    <t>PA SOAP PURE LXRY 4X125GPO4 M320 P27GCPL</t>
  </si>
  <si>
    <t>GK Fabric RollOn 8ml M85 P48 Bubblegum</t>
  </si>
  <si>
    <t>AERPOCKET 60G PO6 M390 P20 AMZ- L+L+J</t>
  </si>
  <si>
    <t>AER PLUG FRESH WIND BLM 2R M199P36 NP</t>
  </si>
  <si>
    <t>PA ASL CB SPLASH 100ML M225 P36</t>
  </si>
  <si>
    <t>GK FLASHLAVREFILL PO4 M365 P60ECOMRNFPCR</t>
  </si>
  <si>
    <t>EZEE 2KG POUCH M460 P6 NF OA NEW PACK</t>
  </si>
  <si>
    <t>PA9IN1 ULTIMATE GR.KIT M1799P8 POLY</t>
  </si>
  <si>
    <t>GK ACTIV+ PO6 M549P40 ECOM RNF PCR</t>
  </si>
  <si>
    <t>HIT FIK RACQUET M499 P12- ABS + RIL</t>
  </si>
  <si>
    <t>CIN LIME BDYWASH BOTTLE 750ML M330P12</t>
  </si>
  <si>
    <t>CIN SANDAL BDYWASH BOTTLE 750ML M330P12</t>
  </si>
  <si>
    <t>GodMag HW NeemRef PO5 45gM49P72MTnewform</t>
  </si>
  <si>
    <t>BLOQ CITRUS 40G M99 P48 CARTON PO6</t>
  </si>
  <si>
    <t>AER PLUG ROSE BLOSSOM COMBI1M+2R M275P24</t>
  </si>
  <si>
    <t>PA EDP OUD LEGACY 100ML M799 P12</t>
  </si>
  <si>
    <t>PA BS SB 650 ML M750 P18</t>
  </si>
  <si>
    <t>PA REGAL 4X 130 ML M299 P18 GCPL</t>
  </si>
  <si>
    <t>KS SPARK PO3 MEGA 190ML M897P24 ECOM</t>
  </si>
  <si>
    <t>PA GM PO3 MEGA 190ML M897 P24 ECOM</t>
  </si>
  <si>
    <t>PA 2VOY 1 NEO REFRESH 150ML M500 P16</t>
  </si>
  <si>
    <t>PA FEDPTWIN GRACE+POISE 100ML*2 M1599P10</t>
  </si>
  <si>
    <t>PA EDP EUPHORIA50ML M399P12 REFRESH</t>
  </si>
  <si>
    <t>*PA SC COOL BLUE 84G M75 P48</t>
  </si>
  <si>
    <t>PA DISCOVER REFRESH  B1G1 150ML M250 P24</t>
  </si>
  <si>
    <t>PA FEDP 4X20ML GIFT SET M849 P12 (WKIT)</t>
  </si>
  <si>
    <t>PA AMAZONWOODS 120ML M349 P24 GCPL</t>
  </si>
  <si>
    <t>PA EDP SAMURAI 100ML G M599 P12</t>
  </si>
  <si>
    <t>PA VOYAGE AER 150ML B1G1 M250 P24 GCPL</t>
  </si>
  <si>
    <t>*PA SOAP  LUXURY 125G M 80.00 P108 GCPL</t>
  </si>
  <si>
    <t>KS10'S RIBBED M100 P480 NEWAW</t>
  </si>
  <si>
    <t>c043</t>
  </si>
  <si>
    <t>c048</t>
  </si>
  <si>
    <t>Action</t>
  </si>
  <si>
    <t>30/12:47</t>
  </si>
  <si>
    <t>GIT Not Connected</t>
  </si>
  <si>
    <t>GODREJ FAB 2KG MT POUCH P6M265 NF</t>
  </si>
  <si>
    <t>Manoj Punjala</t>
  </si>
  <si>
    <t>30/13:12</t>
  </si>
  <si>
    <t>GODREJ FAB 4 KG MT POUCH M525 P3</t>
  </si>
  <si>
    <t>EXPERT CRÃˆME NAT BWN PO8 M40 P240-MT ND</t>
  </si>
  <si>
    <t>AER PO4 POCKET ASRTED 40G M260 P36MT NWA</t>
  </si>
  <si>
    <t>AER PO5 PWRPCKT ASSORTED M350P24 ECOM NF</t>
  </si>
  <si>
    <t>GENTEEL 2KG POUCH M360P6 FL MT PRF</t>
  </si>
  <si>
    <t>GODREJ XPRSS SHC NTBLCK18MLPO4P36M120 ND</t>
  </si>
  <si>
    <t>AER SPRAY VIOLET VALLEY 220ml M99P24</t>
  </si>
  <si>
    <t>AER MATIC SPRAY REFILL CSB 210ML M315P18</t>
  </si>
  <si>
    <t>GODREJ XPRESS NBRWN18ML PO4 P36 M120 ND</t>
  </si>
  <si>
    <t>NO1 KESARMC 150G PO4 M200P24MT RSTRD NF2</t>
  </si>
  <si>
    <t>CIN LIME 75G PO4M110 P50ROI RSTRD</t>
  </si>
  <si>
    <t>CIN ORIGINAL 33G M10 P240</t>
  </si>
  <si>
    <t>Expert CrÃ¨me Nt Blk PO8 M37 P240 MT</t>
  </si>
  <si>
    <t>GODREJ XPRESS NBLK18MLPO8 M30 P144 MT ND</t>
  </si>
  <si>
    <t>EXPERT CRÃˆME DRK BWN PO8 M40 P240-MT ND</t>
  </si>
  <si>
    <t>GK AGARBATTI M15 P288 8 STICKS</t>
  </si>
  <si>
    <t>EZEE SACHET 18G (12U X 54N) P648 M5 NF</t>
  </si>
  <si>
    <t>NO1JASMINE100G PO5M115 P36 S40NDRSTRDNF2</t>
  </si>
  <si>
    <t>AER PO3 POWERPOCKET ASSORTED M195P36ECOM</t>
  </si>
  <si>
    <t>GK FLSHLAVREF PO2M175P120MTRNF NWART PCR</t>
  </si>
  <si>
    <t>30/13:21</t>
  </si>
  <si>
    <t>NO Stock</t>
  </si>
  <si>
    <t>Transfer - 2</t>
  </si>
  <si>
    <t>C042-2</t>
  </si>
  <si>
    <t>Plan Time: 14:46</t>
  </si>
  <si>
    <t>C042-3</t>
  </si>
  <si>
    <t>Transfer-3</t>
  </si>
  <si>
    <t>Plan Time: 14:49</t>
  </si>
  <si>
    <t>C042-4</t>
  </si>
  <si>
    <t>Transfer-4</t>
  </si>
  <si>
    <t>Plan Time: 14:50</t>
  </si>
  <si>
    <t>COLDSTAR ( ANAND )</t>
  </si>
  <si>
    <t>MH12UM3900</t>
  </si>
  <si>
    <t>RJ11GC5155</t>
  </si>
  <si>
    <t>25MT</t>
  </si>
  <si>
    <t>NL01AJ7792</t>
  </si>
  <si>
    <t>Kapoor</t>
  </si>
  <si>
    <t>AHMD-1</t>
  </si>
  <si>
    <t>R R - 7974907236</t>
  </si>
  <si>
    <t>Plan Time: 15:00</t>
  </si>
  <si>
    <t>AHMD-1  - 808951594</t>
  </si>
  <si>
    <t>Shivam T</t>
  </si>
  <si>
    <t>AHMD-2</t>
  </si>
  <si>
    <t>R R - 9116911697</t>
  </si>
  <si>
    <t>Plan Time: 15:19</t>
  </si>
  <si>
    <t>AERPWRPCKT JASFLORDELI 10G M70P120</t>
  </si>
  <si>
    <t>One Point</t>
  </si>
  <si>
    <t>Tepla-1</t>
  </si>
  <si>
    <t>Plan Time: 15:28</t>
  </si>
  <si>
    <t>R R - 9729653415</t>
  </si>
  <si>
    <t xml:space="preserve">T T </t>
  </si>
  <si>
    <t>Expert Crème Nt Blk PO8 M37 P240 MT</t>
  </si>
  <si>
    <t>ANAND</t>
  </si>
  <si>
    <t>RR. 6397638558</t>
  </si>
  <si>
    <t>Plan Time: 15:52</t>
  </si>
  <si>
    <t>PUNE-2</t>
  </si>
  <si>
    <t>RR. 9766225219</t>
  </si>
  <si>
    <t>Plan Time: 16:03</t>
  </si>
  <si>
    <t>9MT</t>
  </si>
  <si>
    <t>COLD STAR</t>
  </si>
  <si>
    <t>PUNE-3</t>
  </si>
  <si>
    <t>RR. 9729643295</t>
  </si>
  <si>
    <t>Plan Time: 16:23</t>
  </si>
  <si>
    <t>PUNE-4</t>
  </si>
  <si>
    <t>RR.9011953661</t>
  </si>
  <si>
    <t>Plan Time: 16:33</t>
  </si>
  <si>
    <t>PONDY-2</t>
  </si>
  <si>
    <t>RR. 7232844206</t>
  </si>
  <si>
    <t>Plan Time: 16:51</t>
  </si>
  <si>
    <t>KOLKATTA-1</t>
  </si>
  <si>
    <t>RR. 7003587250</t>
  </si>
  <si>
    <t>Plan Time: 17:06</t>
  </si>
  <si>
    <t>NAGPUR-1</t>
  </si>
  <si>
    <t>RR.7385766424</t>
  </si>
  <si>
    <t>Sanjay</t>
  </si>
  <si>
    <t>GCPL-C121-M-12965</t>
  </si>
  <si>
    <t>Manmohan Yadav</t>
  </si>
  <si>
    <t>Pune-3</t>
  </si>
  <si>
    <t>GCPL-C121-M-12966</t>
  </si>
  <si>
    <t>GCPL-C121-M-12967</t>
  </si>
  <si>
    <t>Plan Time: 17:30</t>
  </si>
  <si>
    <t>GCPL-C121-O-12968</t>
  </si>
  <si>
    <t>Jeet</t>
  </si>
  <si>
    <t>Bahadur</t>
  </si>
  <si>
    <t>Siddesh</t>
  </si>
  <si>
    <t>Rakesh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</si>
</sst>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8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1F497D"/>
      <name val="Times New Roman"/>
      <family val="1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" fontId="13" fillId="2" borderId="11" applyNumberFormat="0" applyProtection="0">
      <alignment horizontal="left" vertical="center" indent="1"/>
    </xf>
    <xf numFmtId="0" fontId="14" fillId="0" borderId="0" applyNumberFormat="0" applyFill="0" applyBorder="0" applyAlignment="0" applyProtection="0"/>
  </cellStyleXfs>
  <cellXfs count="81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/>
    <xf numFmtId="3" fontId="3" fillId="0" borderId="1" xfId="0" applyNumberFormat="1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164" fontId="3" fillId="0" borderId="1" xfId="0" applyNumberFormat="1" applyFont="1" applyBorder="1"/>
    <xf numFmtId="9" fontId="0" fillId="0" borderId="1" xfId="0" applyNumberFormat="1" applyBorder="1" applyAlignment="1">
      <alignment horizontal="center"/>
    </xf>
    <xf numFmtId="0" fontId="1" fillId="0" borderId="0" xfId="0" applyFont="1"/>
    <xf numFmtId="9" fontId="1" fillId="0" borderId="1" xfId="0" applyNumberFormat="1" applyFont="1" applyBorder="1" applyAlignment="1">
      <alignment horizontal="center"/>
    </xf>
    <xf numFmtId="0" fontId="3" fillId="0" borderId="2" xfId="0" applyFont="1" applyBorder="1"/>
    <xf numFmtId="1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/>
    <xf numFmtId="0" fontId="1" fillId="0" borderId="2" xfId="0" applyFont="1" applyBorder="1"/>
    <xf numFmtId="0" fontId="8" fillId="0" borderId="5" xfId="0" applyFont="1" applyBorder="1"/>
    <xf numFmtId="0" fontId="8" fillId="0" borderId="6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3" xfId="0" applyFont="1" applyBorder="1"/>
    <xf numFmtId="0" fontId="8" fillId="0" borderId="8" xfId="0" applyFont="1" applyBorder="1" applyAlignment="1">
      <alignment horizontal="left" vertical="center"/>
    </xf>
    <xf numFmtId="0" fontId="8" fillId="0" borderId="9" xfId="0" applyFont="1" applyBorder="1"/>
    <xf numFmtId="0" fontId="1" fillId="0" borderId="9" xfId="0" applyFont="1" applyBorder="1"/>
    <xf numFmtId="0" fontId="1" fillId="0" borderId="10" xfId="0" applyFont="1" applyBorder="1"/>
    <xf numFmtId="0" fontId="12" fillId="0" borderId="1" xfId="0" applyFont="1" applyBorder="1"/>
    <xf numFmtId="14" fontId="1" fillId="0" borderId="1" xfId="0" applyNumberFormat="1" applyFont="1" applyBorder="1"/>
    <xf numFmtId="3" fontId="1" fillId="0" borderId="1" xfId="0" applyNumberFormat="1" applyFont="1" applyBorder="1"/>
    <xf numFmtId="0" fontId="2" fillId="0" borderId="1" xfId="0" applyFont="1" applyBorder="1" applyAlignment="1">
      <alignment vertical="center"/>
    </xf>
    <xf numFmtId="4" fontId="1" fillId="0" borderId="1" xfId="0" applyNumberFormat="1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/>
    <xf numFmtId="0" fontId="9" fillId="0" borderId="12" xfId="0" applyFont="1" applyBorder="1"/>
    <xf numFmtId="20" fontId="3" fillId="0" borderId="1" xfId="0" applyNumberFormat="1" applyFont="1" applyBorder="1"/>
    <xf numFmtId="0" fontId="14" fillId="0" borderId="1" xfId="2" applyFill="1" applyBorder="1"/>
    <xf numFmtId="0" fontId="14" fillId="0" borderId="1" xfId="2" applyBorder="1"/>
    <xf numFmtId="0" fontId="14" fillId="0" borderId="0" xfId="2"/>
    <xf numFmtId="0" fontId="14" fillId="0" borderId="0" xfId="2" applyAlignment="1">
      <alignment vertical="center"/>
    </xf>
    <xf numFmtId="0" fontId="6" fillId="0" borderId="1" xfId="0" applyFont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" fillId="0" borderId="1" xfId="0" applyFont="1" applyBorder="1" applyAlignment="1">
      <alignment horizontal="left"/>
    </xf>
    <xf numFmtId="1" fontId="0" fillId="0" borderId="0" xfId="0" applyNumberFormat="1"/>
    <xf numFmtId="0" fontId="18" fillId="0" borderId="1" xfId="0" applyFont="1" applyBorder="1"/>
    <xf numFmtId="14" fontId="3" fillId="0" borderId="1" xfId="0" applyNumberFormat="1" applyFont="1" applyBorder="1"/>
    <xf numFmtId="0" fontId="4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/>
    <xf numFmtId="0" fontId="18" fillId="0" borderId="1" xfId="0" applyFont="1" applyBorder="1" applyAlignment="1"/>
    <xf numFmtId="0" fontId="5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0" fillId="0" borderId="0" xfId="0" applyAlignment="1"/>
    <xf numFmtId="3" fontId="0" fillId="0" borderId="1" xfId="0" applyNumberFormat="1" applyBorder="1" applyAlignment="1">
      <alignment vertical="top"/>
    </xf>
    <xf numFmtId="0" fontId="4" fillId="0" borderId="1" xfId="0" applyFont="1" applyBorder="1" applyAlignment="1"/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8" fillId="0" borderId="1" xfId="0" applyFont="1" applyFill="1" applyBorder="1" applyAlignment="1">
      <alignment vertical="center"/>
    </xf>
    <xf numFmtId="3" fontId="0" fillId="0" borderId="1" xfId="0" applyNumberFormat="1" applyBorder="1"/>
    <xf numFmtId="0" fontId="0" fillId="0" borderId="1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0" fontId="3" fillId="0" borderId="1" xfId="0" applyFont="1" applyFill="1" applyBorder="1"/>
  </cellXfs>
  <cellStyles count="3">
    <cellStyle name="Hyperlink" xfId="2" builtinId="8"/>
    <cellStyle name="Normal" xfId="0" builtinId="0"/>
    <cellStyle name="SAPBEXstdItem 4" xfId="1" xr:uid="{00000000-0005-0000-0000-000002000000}"/>
  </cellStyles>
  <dxfs count="1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D60093"/>
        </patternFill>
      </fill>
    </dxf>
    <dxf>
      <fill>
        <patternFill>
          <bgColor rgb="FFCC66FF"/>
        </patternFill>
      </fill>
    </dxf>
    <dxf>
      <fill>
        <patternFill>
          <bgColor rgb="FFFF00FF"/>
        </patternFill>
      </fill>
    </dxf>
    <dxf>
      <fill>
        <patternFill>
          <bgColor rgb="FFCAD81A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66FF"/>
        </patternFill>
      </fill>
    </dxf>
    <dxf>
      <fill>
        <patternFill>
          <bgColor rgb="FFFF00FF"/>
        </patternFill>
      </fill>
    </dxf>
    <dxf>
      <fill>
        <patternFill>
          <bgColor rgb="FFCAD81A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D60093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D60093"/>
        </patternFill>
      </fill>
    </dxf>
    <dxf>
      <fill>
        <patternFill>
          <bgColor rgb="FFCC66FF"/>
        </patternFill>
      </fill>
    </dxf>
    <dxf>
      <fill>
        <patternFill>
          <bgColor rgb="FFFF00FF"/>
        </patternFill>
      </fill>
    </dxf>
    <dxf>
      <fill>
        <patternFill>
          <bgColor rgb="FFCAD81A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D60093"/>
        </patternFill>
      </fill>
    </dxf>
    <dxf>
      <fill>
        <patternFill>
          <bgColor rgb="FFCC66FF"/>
        </patternFill>
      </fill>
    </dxf>
    <dxf>
      <fill>
        <patternFill>
          <bgColor rgb="FFFF00FF"/>
        </patternFill>
      </fill>
    </dxf>
    <dxf>
      <fill>
        <patternFill>
          <bgColor rgb="FFCAD81A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CC66FF"/>
        </patternFill>
      </fill>
    </dxf>
    <dxf>
      <fill>
        <patternFill>
          <bgColor rgb="FFFF00FF"/>
        </patternFill>
      </fill>
    </dxf>
    <dxf>
      <fill>
        <patternFill>
          <bgColor rgb="FFCAD81A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D60093"/>
        </patternFill>
      </fill>
    </dxf>
    <dxf>
      <fill>
        <patternFill>
          <bgColor rgb="FFCC66FF"/>
        </patternFill>
      </fill>
    </dxf>
    <dxf>
      <fill>
        <patternFill>
          <bgColor rgb="FFFF00FF"/>
        </patternFill>
      </fill>
    </dxf>
    <dxf>
      <fill>
        <patternFill>
          <bgColor rgb="FFCAD81A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D600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66FF"/>
        </patternFill>
      </fill>
    </dxf>
    <dxf>
      <fill>
        <patternFill>
          <bgColor rgb="FFFF00FF"/>
        </patternFill>
      </fill>
    </dxf>
    <dxf>
      <fill>
        <patternFill>
          <bgColor rgb="FFCAD81A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D60093"/>
        </patternFill>
      </fill>
    </dxf>
    <dxf>
      <fill>
        <patternFill>
          <bgColor rgb="FFCC66FF"/>
        </patternFill>
      </fill>
    </dxf>
    <dxf>
      <fill>
        <patternFill>
          <bgColor rgb="FFFF00FF"/>
        </patternFill>
      </fill>
    </dxf>
    <dxf>
      <fill>
        <patternFill>
          <bgColor rgb="FFCAD81A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D600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whpur\Desktop\Short%2030%2010.xlsx" TargetMode="External"/><Relationship Id="rId1" Type="http://schemas.openxmlformats.org/officeDocument/2006/relationships/externalLinkPath" Target="Short%2030%201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whpur\Desktop\Sale%2030%2010.xls" TargetMode="External"/><Relationship Id="rId1" Type="http://schemas.openxmlformats.org/officeDocument/2006/relationships/externalLinkPath" Target="Sale%2030%20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"/>
      <sheetName val="GIT"/>
      <sheetName val="TOTAL APO"/>
      <sheetName val="APO"/>
      <sheetName val="Sheet4"/>
      <sheetName val="S&amp;S"/>
      <sheetName val="Sheet3"/>
      <sheetName val="Sheet2"/>
      <sheetName val="Sheet1"/>
      <sheetName val="Vehcle No"/>
      <sheetName val="MM Sir"/>
      <sheetName val="Action Plan"/>
    </sheetNames>
    <sheetDataSet>
      <sheetData sheetId="0">
        <row r="1">
          <cell r="C1" t="str">
            <v/>
          </cell>
          <cell r="D1" t="str">
            <v/>
          </cell>
          <cell r="E1" t="str">
            <v/>
          </cell>
          <cell r="F1" t="str">
            <v/>
          </cell>
          <cell r="G1" t="str">
            <v/>
          </cell>
          <cell r="H1" t="str">
            <v/>
          </cell>
          <cell r="I1" t="str">
            <v xml:space="preserve">
Stock</v>
          </cell>
          <cell r="J1" t="str">
            <v xml:space="preserve">
GIT</v>
          </cell>
          <cell r="K1" t="str">
            <v xml:space="preserve">
Avg 1 day Sales qty</v>
          </cell>
          <cell r="L1" t="str">
            <v xml:space="preserve">
Last Day Sales</v>
          </cell>
          <cell r="M1" t="str">
            <v xml:space="preserve">
Shortage(10)</v>
          </cell>
          <cell r="N1" t="str">
            <v xml:space="preserve">
Avg 10 day Sales qty</v>
          </cell>
          <cell r="P1" t="str">
            <v>Shortage (Norm) Qty</v>
          </cell>
          <cell r="Q1" t="str">
            <v>Moving today</v>
          </cell>
        </row>
        <row r="2">
          <cell r="A2" t="str">
            <v>S</v>
          </cell>
          <cell r="B2" t="str">
            <v>Sr No</v>
          </cell>
          <cell r="C2" t="str">
            <v>Local PGSN</v>
          </cell>
          <cell r="D2" t="str">
            <v>Region</v>
          </cell>
          <cell r="E2" t="str">
            <v>Plant</v>
          </cell>
          <cell r="F2" t="str">
            <v/>
          </cell>
          <cell r="G2" t="str">
            <v>Design Type</v>
          </cell>
          <cell r="H2" t="str">
            <v/>
          </cell>
          <cell r="I2" t="str">
            <v>CS</v>
          </cell>
          <cell r="J2" t="str">
            <v>CS</v>
          </cell>
          <cell r="K2" t="str">
            <v>CS</v>
          </cell>
          <cell r="L2" t="str">
            <v>CS</v>
          </cell>
          <cell r="M2" t="str">
            <v/>
          </cell>
          <cell r="N2" t="str">
            <v>CS</v>
          </cell>
          <cell r="Q2" t="str">
            <v>Qty</v>
          </cell>
        </row>
        <row r="4">
          <cell r="A4" t="str">
            <v>0</v>
          </cell>
          <cell r="B4">
            <v>1</v>
          </cell>
        </row>
        <row r="5">
          <cell r="A5" t="str">
            <v>0</v>
          </cell>
          <cell r="B5">
            <v>2</v>
          </cell>
        </row>
        <row r="6">
          <cell r="A6" t="str">
            <v>0</v>
          </cell>
          <cell r="B6">
            <v>3</v>
          </cell>
        </row>
        <row r="7">
          <cell r="A7" t="str">
            <v>0</v>
          </cell>
          <cell r="B7">
            <v>4</v>
          </cell>
        </row>
        <row r="8">
          <cell r="A8" t="str">
            <v>0</v>
          </cell>
          <cell r="B8">
            <v>5</v>
          </cell>
        </row>
        <row r="9">
          <cell r="A9" t="str">
            <v>0</v>
          </cell>
          <cell r="B9">
            <v>6</v>
          </cell>
        </row>
        <row r="10">
          <cell r="A10" t="str">
            <v>0</v>
          </cell>
          <cell r="B10">
            <v>7</v>
          </cell>
        </row>
        <row r="11">
          <cell r="A11" t="str">
            <v>0</v>
          </cell>
          <cell r="B11">
            <v>8</v>
          </cell>
        </row>
        <row r="12">
          <cell r="A12" t="str">
            <v>0</v>
          </cell>
          <cell r="B12">
            <v>9</v>
          </cell>
        </row>
        <row r="13">
          <cell r="A13" t="str">
            <v>0</v>
          </cell>
          <cell r="B13">
            <v>10</v>
          </cell>
        </row>
        <row r="14">
          <cell r="A14" t="str">
            <v>0</v>
          </cell>
          <cell r="B14">
            <v>11</v>
          </cell>
        </row>
        <row r="15">
          <cell r="A15" t="str">
            <v>0</v>
          </cell>
          <cell r="B15">
            <v>12</v>
          </cell>
        </row>
        <row r="16">
          <cell r="A16" t="str">
            <v>0</v>
          </cell>
          <cell r="B16">
            <v>13</v>
          </cell>
        </row>
        <row r="17">
          <cell r="A17" t="str">
            <v>0</v>
          </cell>
          <cell r="B17">
            <v>14</v>
          </cell>
        </row>
        <row r="18">
          <cell r="A18" t="str">
            <v>0</v>
          </cell>
          <cell r="B18">
            <v>15</v>
          </cell>
        </row>
        <row r="19">
          <cell r="A19" t="str">
            <v>0</v>
          </cell>
          <cell r="B19">
            <v>16</v>
          </cell>
        </row>
        <row r="20">
          <cell r="A20" t="str">
            <v>0</v>
          </cell>
          <cell r="B20">
            <v>17</v>
          </cell>
        </row>
        <row r="21">
          <cell r="A21" t="str">
            <v>0</v>
          </cell>
          <cell r="B21">
            <v>18</v>
          </cell>
        </row>
        <row r="22">
          <cell r="A22" t="str">
            <v>0</v>
          </cell>
          <cell r="B22">
            <v>19</v>
          </cell>
        </row>
        <row r="23">
          <cell r="A23" t="str">
            <v>0</v>
          </cell>
          <cell r="B23">
            <v>20</v>
          </cell>
        </row>
        <row r="24">
          <cell r="A24" t="str">
            <v>0</v>
          </cell>
          <cell r="B24">
            <v>21</v>
          </cell>
        </row>
        <row r="25">
          <cell r="A25" t="str">
            <v>0</v>
          </cell>
          <cell r="B25">
            <v>22</v>
          </cell>
        </row>
        <row r="26">
          <cell r="A26" t="str">
            <v>0</v>
          </cell>
          <cell r="B26">
            <v>23</v>
          </cell>
        </row>
        <row r="27">
          <cell r="A27" t="str">
            <v>0</v>
          </cell>
          <cell r="B27">
            <v>24</v>
          </cell>
        </row>
        <row r="28">
          <cell r="A28" t="str">
            <v>0</v>
          </cell>
          <cell r="B28">
            <v>25</v>
          </cell>
        </row>
        <row r="29">
          <cell r="A29" t="str">
            <v>0</v>
          </cell>
          <cell r="B29">
            <v>26</v>
          </cell>
        </row>
        <row r="30">
          <cell r="A30" t="str">
            <v>0</v>
          </cell>
          <cell r="B30">
            <v>27</v>
          </cell>
        </row>
        <row r="31">
          <cell r="A31" t="str">
            <v>0</v>
          </cell>
          <cell r="B31">
            <v>28</v>
          </cell>
        </row>
        <row r="32">
          <cell r="A32" t="str">
            <v>0</v>
          </cell>
          <cell r="B32">
            <v>29</v>
          </cell>
        </row>
        <row r="33">
          <cell r="A33" t="str">
            <v>0</v>
          </cell>
          <cell r="B33">
            <v>30</v>
          </cell>
        </row>
        <row r="34">
          <cell r="A34" t="str">
            <v>0</v>
          </cell>
          <cell r="B34">
            <v>31</v>
          </cell>
        </row>
        <row r="35">
          <cell r="A35" t="str">
            <v>0</v>
          </cell>
          <cell r="B35">
            <v>32</v>
          </cell>
        </row>
        <row r="36">
          <cell r="A36" t="str">
            <v>0</v>
          </cell>
          <cell r="B36">
            <v>33</v>
          </cell>
        </row>
        <row r="37">
          <cell r="A37" t="str">
            <v>0</v>
          </cell>
          <cell r="B37">
            <v>34</v>
          </cell>
        </row>
        <row r="38">
          <cell r="A38" t="str">
            <v>0</v>
          </cell>
          <cell r="B38">
            <v>35</v>
          </cell>
        </row>
        <row r="39">
          <cell r="A39" t="str">
            <v>0</v>
          </cell>
          <cell r="B39">
            <v>36</v>
          </cell>
        </row>
        <row r="40">
          <cell r="A40" t="str">
            <v>0</v>
          </cell>
          <cell r="B40">
            <v>37</v>
          </cell>
        </row>
        <row r="41">
          <cell r="A41" t="str">
            <v>0</v>
          </cell>
          <cell r="B41">
            <v>38</v>
          </cell>
        </row>
        <row r="42">
          <cell r="A42" t="str">
            <v>0</v>
          </cell>
          <cell r="B42">
            <v>39</v>
          </cell>
        </row>
        <row r="43">
          <cell r="A43" t="str">
            <v>0</v>
          </cell>
          <cell r="B43">
            <v>40</v>
          </cell>
        </row>
        <row r="44">
          <cell r="A44" t="str">
            <v>0</v>
          </cell>
          <cell r="B44">
            <v>41</v>
          </cell>
        </row>
        <row r="45">
          <cell r="A45" t="str">
            <v>0</v>
          </cell>
          <cell r="B45">
            <v>42</v>
          </cell>
        </row>
        <row r="46">
          <cell r="A46" t="str">
            <v>0</v>
          </cell>
          <cell r="B46">
            <v>43</v>
          </cell>
        </row>
        <row r="47">
          <cell r="A47" t="str">
            <v>0</v>
          </cell>
          <cell r="B47">
            <v>44</v>
          </cell>
        </row>
        <row r="48">
          <cell r="A48" t="str">
            <v>0</v>
          </cell>
          <cell r="B48">
            <v>45</v>
          </cell>
        </row>
        <row r="49">
          <cell r="A49" t="str">
            <v>0</v>
          </cell>
          <cell r="B49">
            <v>46</v>
          </cell>
        </row>
        <row r="50">
          <cell r="A50" t="str">
            <v>0</v>
          </cell>
          <cell r="B50">
            <v>47</v>
          </cell>
        </row>
        <row r="51">
          <cell r="A51" t="str">
            <v>0</v>
          </cell>
          <cell r="B51">
            <v>48</v>
          </cell>
        </row>
        <row r="52">
          <cell r="A52" t="str">
            <v>0</v>
          </cell>
          <cell r="B52">
            <v>49</v>
          </cell>
        </row>
        <row r="53">
          <cell r="A53" t="str">
            <v>0</v>
          </cell>
          <cell r="B53">
            <v>50</v>
          </cell>
        </row>
        <row r="54">
          <cell r="A54" t="str">
            <v>0</v>
          </cell>
          <cell r="B54">
            <v>51</v>
          </cell>
        </row>
        <row r="55">
          <cell r="A55" t="str">
            <v>0</v>
          </cell>
          <cell r="B55">
            <v>52</v>
          </cell>
        </row>
        <row r="56">
          <cell r="A56" t="str">
            <v>0</v>
          </cell>
          <cell r="B56">
            <v>53</v>
          </cell>
        </row>
        <row r="57">
          <cell r="A57" t="str">
            <v>0</v>
          </cell>
          <cell r="B57">
            <v>54</v>
          </cell>
        </row>
        <row r="58">
          <cell r="A58" t="str">
            <v>0</v>
          </cell>
          <cell r="B58">
            <v>55</v>
          </cell>
        </row>
        <row r="59">
          <cell r="A59" t="str">
            <v>0</v>
          </cell>
          <cell r="B59">
            <v>56</v>
          </cell>
        </row>
        <row r="60">
          <cell r="A60" t="str">
            <v>0</v>
          </cell>
          <cell r="B60">
            <v>57</v>
          </cell>
        </row>
        <row r="61">
          <cell r="A61" t="str">
            <v>0</v>
          </cell>
          <cell r="B61">
            <v>58</v>
          </cell>
        </row>
        <row r="62">
          <cell r="A62" t="str">
            <v>0</v>
          </cell>
          <cell r="B62">
            <v>59</v>
          </cell>
        </row>
        <row r="63">
          <cell r="A63" t="str">
            <v>0</v>
          </cell>
          <cell r="B63">
            <v>60</v>
          </cell>
        </row>
        <row r="64">
          <cell r="A64" t="str">
            <v>0</v>
          </cell>
          <cell r="B64">
            <v>61</v>
          </cell>
        </row>
        <row r="65">
          <cell r="A65" t="str">
            <v>0</v>
          </cell>
          <cell r="B65">
            <v>62</v>
          </cell>
        </row>
        <row r="66">
          <cell r="A66" t="str">
            <v>0</v>
          </cell>
          <cell r="B66">
            <v>63</v>
          </cell>
        </row>
        <row r="67">
          <cell r="A67" t="str">
            <v>0</v>
          </cell>
          <cell r="B67">
            <v>64</v>
          </cell>
        </row>
        <row r="68">
          <cell r="A68" t="str">
            <v>0</v>
          </cell>
          <cell r="B68">
            <v>65</v>
          </cell>
        </row>
        <row r="69">
          <cell r="A69" t="str">
            <v>0</v>
          </cell>
          <cell r="B69">
            <v>66</v>
          </cell>
        </row>
        <row r="70">
          <cell r="A70" t="str">
            <v>0</v>
          </cell>
          <cell r="B70">
            <v>67</v>
          </cell>
        </row>
        <row r="71">
          <cell r="A71" t="str">
            <v>0</v>
          </cell>
          <cell r="B71">
            <v>68</v>
          </cell>
        </row>
        <row r="72">
          <cell r="A72" t="str">
            <v>0</v>
          </cell>
          <cell r="B72">
            <v>69</v>
          </cell>
        </row>
        <row r="73">
          <cell r="A73" t="str">
            <v>0</v>
          </cell>
          <cell r="B73">
            <v>70</v>
          </cell>
        </row>
        <row r="74">
          <cell r="A74" t="str">
            <v>0</v>
          </cell>
          <cell r="B74">
            <v>71</v>
          </cell>
        </row>
        <row r="75">
          <cell r="A75" t="str">
            <v>0</v>
          </cell>
          <cell r="B75">
            <v>72</v>
          </cell>
        </row>
        <row r="76">
          <cell r="A76" t="str">
            <v>0</v>
          </cell>
          <cell r="B76">
            <v>73</v>
          </cell>
        </row>
        <row r="77">
          <cell r="A77" t="str">
            <v>0</v>
          </cell>
          <cell r="B77">
            <v>74</v>
          </cell>
        </row>
        <row r="78">
          <cell r="A78" t="str">
            <v>0</v>
          </cell>
          <cell r="B78">
            <v>75</v>
          </cell>
        </row>
        <row r="79">
          <cell r="A79" t="str">
            <v>0</v>
          </cell>
          <cell r="B79">
            <v>76</v>
          </cell>
        </row>
        <row r="80">
          <cell r="A80" t="str">
            <v>0</v>
          </cell>
          <cell r="B80">
            <v>77</v>
          </cell>
        </row>
        <row r="81">
          <cell r="A81" t="str">
            <v>0</v>
          </cell>
          <cell r="B81">
            <v>78</v>
          </cell>
        </row>
        <row r="82">
          <cell r="A82" t="str">
            <v>0</v>
          </cell>
          <cell r="B82">
            <v>79</v>
          </cell>
        </row>
        <row r="83">
          <cell r="A83" t="str">
            <v>0</v>
          </cell>
          <cell r="B83">
            <v>80</v>
          </cell>
        </row>
        <row r="84">
          <cell r="A84" t="str">
            <v>0</v>
          </cell>
          <cell r="B84">
            <v>81</v>
          </cell>
        </row>
        <row r="85">
          <cell r="A85" t="str">
            <v>0</v>
          </cell>
          <cell r="B85">
            <v>82</v>
          </cell>
        </row>
        <row r="86">
          <cell r="A86" t="str">
            <v>0</v>
          </cell>
          <cell r="B86">
            <v>83</v>
          </cell>
        </row>
        <row r="87">
          <cell r="A87" t="str">
            <v>0</v>
          </cell>
          <cell r="B87">
            <v>84</v>
          </cell>
        </row>
        <row r="88">
          <cell r="A88" t="str">
            <v>0</v>
          </cell>
          <cell r="B88">
            <v>85</v>
          </cell>
        </row>
        <row r="89">
          <cell r="A89" t="str">
            <v>0</v>
          </cell>
          <cell r="B89">
            <v>86</v>
          </cell>
        </row>
        <row r="90">
          <cell r="A90" t="str">
            <v>0</v>
          </cell>
          <cell r="B90">
            <v>87</v>
          </cell>
        </row>
        <row r="91">
          <cell r="A91" t="str">
            <v>0</v>
          </cell>
          <cell r="B91">
            <v>88</v>
          </cell>
        </row>
        <row r="92">
          <cell r="A92" t="str">
            <v>0</v>
          </cell>
          <cell r="B92">
            <v>89</v>
          </cell>
        </row>
        <row r="93">
          <cell r="A93" t="str">
            <v>0</v>
          </cell>
          <cell r="B93">
            <v>90</v>
          </cell>
        </row>
        <row r="94">
          <cell r="A94" t="str">
            <v>0</v>
          </cell>
          <cell r="B94">
            <v>91</v>
          </cell>
        </row>
        <row r="95">
          <cell r="A95" t="str">
            <v>0</v>
          </cell>
          <cell r="B95">
            <v>92</v>
          </cell>
        </row>
        <row r="96">
          <cell r="A96" t="str">
            <v>0</v>
          </cell>
          <cell r="B96">
            <v>93</v>
          </cell>
        </row>
        <row r="97">
          <cell r="A97" t="str">
            <v>0</v>
          </cell>
          <cell r="B97">
            <v>94</v>
          </cell>
        </row>
        <row r="98">
          <cell r="A98" t="str">
            <v>0</v>
          </cell>
          <cell r="B98">
            <v>95</v>
          </cell>
        </row>
        <row r="99">
          <cell r="A99" t="str">
            <v>0</v>
          </cell>
          <cell r="B99">
            <v>96</v>
          </cell>
        </row>
        <row r="100">
          <cell r="A100" t="str">
            <v>0</v>
          </cell>
          <cell r="B100">
            <v>97</v>
          </cell>
        </row>
        <row r="101">
          <cell r="A101" t="str">
            <v>0</v>
          </cell>
          <cell r="B101">
            <v>98</v>
          </cell>
        </row>
        <row r="102">
          <cell r="A102" t="str">
            <v>0</v>
          </cell>
          <cell r="B102">
            <v>99</v>
          </cell>
        </row>
        <row r="103">
          <cell r="A103" t="str">
            <v>0</v>
          </cell>
          <cell r="B103">
            <v>100</v>
          </cell>
        </row>
        <row r="104">
          <cell r="A104" t="str">
            <v>0</v>
          </cell>
          <cell r="B104">
            <v>101</v>
          </cell>
        </row>
        <row r="105">
          <cell r="A105" t="str">
            <v>0</v>
          </cell>
          <cell r="B105">
            <v>102</v>
          </cell>
        </row>
        <row r="106">
          <cell r="A106" t="str">
            <v>0</v>
          </cell>
          <cell r="B106">
            <v>103</v>
          </cell>
        </row>
        <row r="107">
          <cell r="A107" t="str">
            <v>0</v>
          </cell>
          <cell r="B107">
            <v>104</v>
          </cell>
        </row>
        <row r="108">
          <cell r="A108" t="str">
            <v>0</v>
          </cell>
          <cell r="B108">
            <v>105</v>
          </cell>
        </row>
        <row r="109">
          <cell r="A109" t="str">
            <v>0</v>
          </cell>
          <cell r="B109">
            <v>106</v>
          </cell>
        </row>
        <row r="110">
          <cell r="A110" t="str">
            <v>0</v>
          </cell>
          <cell r="B110">
            <v>107</v>
          </cell>
        </row>
        <row r="111">
          <cell r="A111" t="str">
            <v>0</v>
          </cell>
          <cell r="B111">
            <v>108</v>
          </cell>
        </row>
        <row r="112">
          <cell r="A112" t="str">
            <v>0</v>
          </cell>
          <cell r="B112">
            <v>109</v>
          </cell>
        </row>
        <row r="113">
          <cell r="A113" t="str">
            <v>0</v>
          </cell>
          <cell r="B113">
            <v>110</v>
          </cell>
        </row>
        <row r="114">
          <cell r="A114" t="str">
            <v>0</v>
          </cell>
          <cell r="B114">
            <v>111</v>
          </cell>
        </row>
        <row r="115">
          <cell r="A115" t="str">
            <v>0</v>
          </cell>
          <cell r="B115">
            <v>112</v>
          </cell>
        </row>
        <row r="116">
          <cell r="A116" t="str">
            <v>0</v>
          </cell>
          <cell r="B116">
            <v>113</v>
          </cell>
        </row>
        <row r="117">
          <cell r="A117" t="str">
            <v>0</v>
          </cell>
          <cell r="B117">
            <v>114</v>
          </cell>
        </row>
        <row r="118">
          <cell r="A118" t="str">
            <v>0</v>
          </cell>
          <cell r="B118">
            <v>115</v>
          </cell>
        </row>
        <row r="119">
          <cell r="A119" t="str">
            <v>0</v>
          </cell>
          <cell r="B119">
            <v>116</v>
          </cell>
        </row>
        <row r="120">
          <cell r="A120" t="str">
            <v>0</v>
          </cell>
          <cell r="B120">
            <v>117</v>
          </cell>
        </row>
        <row r="121">
          <cell r="A121" t="str">
            <v>0</v>
          </cell>
          <cell r="B121">
            <v>118</v>
          </cell>
        </row>
        <row r="122">
          <cell r="A122" t="str">
            <v>0</v>
          </cell>
          <cell r="B122">
            <v>119</v>
          </cell>
        </row>
        <row r="123">
          <cell r="A123" t="str">
            <v>0</v>
          </cell>
          <cell r="B123">
            <v>120</v>
          </cell>
        </row>
        <row r="124">
          <cell r="A124" t="str">
            <v>0</v>
          </cell>
          <cell r="B124">
            <v>121</v>
          </cell>
        </row>
        <row r="125">
          <cell r="A125" t="str">
            <v>0</v>
          </cell>
          <cell r="B125">
            <v>122</v>
          </cell>
        </row>
        <row r="126">
          <cell r="A126" t="str">
            <v>0</v>
          </cell>
          <cell r="B126">
            <v>123</v>
          </cell>
        </row>
        <row r="127">
          <cell r="A127" t="str">
            <v>0</v>
          </cell>
          <cell r="B127">
            <v>124</v>
          </cell>
        </row>
        <row r="128">
          <cell r="A128" t="str">
            <v>0</v>
          </cell>
          <cell r="B128">
            <v>125</v>
          </cell>
        </row>
        <row r="129">
          <cell r="A129" t="str">
            <v>0</v>
          </cell>
          <cell r="B129">
            <v>126</v>
          </cell>
        </row>
        <row r="130">
          <cell r="A130" t="str">
            <v>0</v>
          </cell>
          <cell r="B130">
            <v>127</v>
          </cell>
        </row>
        <row r="131">
          <cell r="A131" t="str">
            <v>0</v>
          </cell>
          <cell r="B131">
            <v>128</v>
          </cell>
        </row>
        <row r="132">
          <cell r="A132" t="str">
            <v>0</v>
          </cell>
          <cell r="B132">
            <v>129</v>
          </cell>
        </row>
        <row r="133">
          <cell r="A133" t="str">
            <v>0</v>
          </cell>
          <cell r="B133">
            <v>130</v>
          </cell>
        </row>
        <row r="134">
          <cell r="A134" t="str">
            <v>0</v>
          </cell>
          <cell r="B134">
            <v>131</v>
          </cell>
        </row>
        <row r="135">
          <cell r="A135" t="str">
            <v>0</v>
          </cell>
          <cell r="B135">
            <v>132</v>
          </cell>
        </row>
        <row r="136">
          <cell r="A136" t="str">
            <v>0</v>
          </cell>
          <cell r="B136">
            <v>133</v>
          </cell>
        </row>
        <row r="137">
          <cell r="A137" t="str">
            <v>0</v>
          </cell>
          <cell r="B137">
            <v>134</v>
          </cell>
        </row>
        <row r="138">
          <cell r="A138" t="str">
            <v>0</v>
          </cell>
          <cell r="B138">
            <v>135</v>
          </cell>
        </row>
        <row r="139">
          <cell r="A139" t="str">
            <v>0</v>
          </cell>
          <cell r="B139">
            <v>136</v>
          </cell>
        </row>
        <row r="140">
          <cell r="A140" t="str">
            <v>0</v>
          </cell>
          <cell r="B140">
            <v>137</v>
          </cell>
        </row>
        <row r="141">
          <cell r="A141" t="str">
            <v>0</v>
          </cell>
          <cell r="B141">
            <v>138</v>
          </cell>
        </row>
        <row r="142">
          <cell r="A142" t="str">
            <v>0</v>
          </cell>
          <cell r="B142">
            <v>139</v>
          </cell>
        </row>
        <row r="143">
          <cell r="A143" t="str">
            <v>0</v>
          </cell>
          <cell r="B143">
            <v>140</v>
          </cell>
        </row>
        <row r="144">
          <cell r="A144" t="str">
            <v>0</v>
          </cell>
          <cell r="B144">
            <v>141</v>
          </cell>
        </row>
        <row r="145">
          <cell r="A145" t="str">
            <v>0</v>
          </cell>
          <cell r="B145">
            <v>142</v>
          </cell>
        </row>
        <row r="146">
          <cell r="A146" t="str">
            <v>0</v>
          </cell>
          <cell r="B146">
            <v>143</v>
          </cell>
        </row>
        <row r="147">
          <cell r="A147" t="str">
            <v>0</v>
          </cell>
          <cell r="B147">
            <v>144</v>
          </cell>
        </row>
        <row r="148">
          <cell r="A148" t="str">
            <v>0</v>
          </cell>
          <cell r="B148">
            <v>145</v>
          </cell>
        </row>
        <row r="149">
          <cell r="A149" t="str">
            <v>0</v>
          </cell>
          <cell r="B149">
            <v>146</v>
          </cell>
        </row>
        <row r="150">
          <cell r="A150" t="str">
            <v>0</v>
          </cell>
          <cell r="B150">
            <v>147</v>
          </cell>
        </row>
        <row r="151">
          <cell r="A151" t="str">
            <v>0</v>
          </cell>
          <cell r="B151">
            <v>148</v>
          </cell>
        </row>
        <row r="152">
          <cell r="A152" t="str">
            <v>0</v>
          </cell>
          <cell r="B152">
            <v>149</v>
          </cell>
        </row>
        <row r="153">
          <cell r="A153" t="str">
            <v>0</v>
          </cell>
          <cell r="B153">
            <v>150</v>
          </cell>
        </row>
        <row r="154">
          <cell r="A154" t="str">
            <v>0</v>
          </cell>
          <cell r="B154">
            <v>151</v>
          </cell>
        </row>
        <row r="155">
          <cell r="A155" t="str">
            <v>0</v>
          </cell>
          <cell r="B155">
            <v>152</v>
          </cell>
        </row>
        <row r="156">
          <cell r="A156" t="str">
            <v>0</v>
          </cell>
          <cell r="B156">
            <v>153</v>
          </cell>
        </row>
        <row r="157">
          <cell r="A157" t="str">
            <v>0</v>
          </cell>
          <cell r="B157">
            <v>154</v>
          </cell>
        </row>
        <row r="158">
          <cell r="A158" t="str">
            <v>0</v>
          </cell>
          <cell r="B158">
            <v>155</v>
          </cell>
        </row>
        <row r="159">
          <cell r="A159" t="str">
            <v>0</v>
          </cell>
          <cell r="B159">
            <v>156</v>
          </cell>
        </row>
        <row r="160">
          <cell r="A160" t="str">
            <v>0</v>
          </cell>
          <cell r="B160">
            <v>157</v>
          </cell>
        </row>
        <row r="161">
          <cell r="A161" t="str">
            <v>0</v>
          </cell>
          <cell r="B161">
            <v>158</v>
          </cell>
        </row>
        <row r="162">
          <cell r="A162" t="str">
            <v>0</v>
          </cell>
          <cell r="B162">
            <v>159</v>
          </cell>
        </row>
        <row r="163">
          <cell r="A163" t="str">
            <v>0</v>
          </cell>
          <cell r="B163">
            <v>160</v>
          </cell>
        </row>
        <row r="164">
          <cell r="A164" t="str">
            <v>0</v>
          </cell>
          <cell r="B164">
            <v>161</v>
          </cell>
        </row>
        <row r="165">
          <cell r="A165" t="str">
            <v>0</v>
          </cell>
          <cell r="B165">
            <v>162</v>
          </cell>
        </row>
        <row r="166">
          <cell r="A166" t="str">
            <v>0</v>
          </cell>
          <cell r="B166">
            <v>163</v>
          </cell>
        </row>
        <row r="167">
          <cell r="A167" t="str">
            <v>0</v>
          </cell>
          <cell r="B167">
            <v>164</v>
          </cell>
        </row>
        <row r="168">
          <cell r="A168" t="str">
            <v>0</v>
          </cell>
          <cell r="B168">
            <v>165</v>
          </cell>
        </row>
        <row r="169">
          <cell r="A169" t="str">
            <v>0</v>
          </cell>
          <cell r="B169">
            <v>166</v>
          </cell>
        </row>
        <row r="170">
          <cell r="A170" t="str">
            <v>0</v>
          </cell>
          <cell r="B170">
            <v>167</v>
          </cell>
        </row>
        <row r="171">
          <cell r="A171" t="str">
            <v>0</v>
          </cell>
          <cell r="B171">
            <v>168</v>
          </cell>
        </row>
        <row r="172">
          <cell r="A172" t="str">
            <v>0</v>
          </cell>
          <cell r="B172">
            <v>169</v>
          </cell>
        </row>
        <row r="173">
          <cell r="A173" t="str">
            <v>0</v>
          </cell>
          <cell r="B173">
            <v>170</v>
          </cell>
        </row>
        <row r="174">
          <cell r="A174" t="str">
            <v>0</v>
          </cell>
          <cell r="B174">
            <v>171</v>
          </cell>
        </row>
        <row r="175">
          <cell r="A175" t="str">
            <v>0</v>
          </cell>
          <cell r="B175">
            <v>172</v>
          </cell>
        </row>
        <row r="176">
          <cell r="A176" t="str">
            <v>0</v>
          </cell>
          <cell r="B176">
            <v>173</v>
          </cell>
        </row>
        <row r="177">
          <cell r="A177" t="str">
            <v>0</v>
          </cell>
          <cell r="B177">
            <v>174</v>
          </cell>
        </row>
        <row r="178">
          <cell r="A178" t="str">
            <v>0</v>
          </cell>
          <cell r="B178">
            <v>175</v>
          </cell>
        </row>
        <row r="179">
          <cell r="A179" t="str">
            <v>0</v>
          </cell>
          <cell r="B179">
            <v>176</v>
          </cell>
        </row>
        <row r="180">
          <cell r="A180" t="str">
            <v>0</v>
          </cell>
          <cell r="B180">
            <v>177</v>
          </cell>
        </row>
        <row r="181">
          <cell r="A181" t="str">
            <v>0</v>
          </cell>
          <cell r="B181">
            <v>178</v>
          </cell>
        </row>
        <row r="182">
          <cell r="A182" t="str">
            <v>0</v>
          </cell>
          <cell r="B182">
            <v>179</v>
          </cell>
        </row>
        <row r="183">
          <cell r="A183" t="str">
            <v>0</v>
          </cell>
          <cell r="B183">
            <v>180</v>
          </cell>
        </row>
        <row r="184">
          <cell r="A184" t="str">
            <v>0</v>
          </cell>
          <cell r="B184">
            <v>181</v>
          </cell>
        </row>
        <row r="185">
          <cell r="A185" t="str">
            <v>0</v>
          </cell>
          <cell r="B185">
            <v>182</v>
          </cell>
        </row>
        <row r="186">
          <cell r="A186" t="str">
            <v>0</v>
          </cell>
          <cell r="B186">
            <v>183</v>
          </cell>
        </row>
        <row r="187">
          <cell r="A187" t="str">
            <v>0</v>
          </cell>
          <cell r="B187">
            <v>184</v>
          </cell>
        </row>
        <row r="188">
          <cell r="A188" t="str">
            <v>0</v>
          </cell>
          <cell r="B188">
            <v>185</v>
          </cell>
        </row>
        <row r="189">
          <cell r="A189" t="str">
            <v>0</v>
          </cell>
          <cell r="B189">
            <v>186</v>
          </cell>
        </row>
        <row r="190">
          <cell r="A190" t="str">
            <v>0</v>
          </cell>
          <cell r="B190">
            <v>187</v>
          </cell>
        </row>
        <row r="191">
          <cell r="A191" t="str">
            <v>0</v>
          </cell>
          <cell r="B191">
            <v>188</v>
          </cell>
        </row>
        <row r="192">
          <cell r="A192" t="str">
            <v>0</v>
          </cell>
          <cell r="B192">
            <v>189</v>
          </cell>
        </row>
        <row r="193">
          <cell r="A193" t="str">
            <v>0</v>
          </cell>
          <cell r="B193">
            <v>190</v>
          </cell>
        </row>
        <row r="194">
          <cell r="A194" t="str">
            <v>0</v>
          </cell>
          <cell r="B194">
            <v>191</v>
          </cell>
        </row>
        <row r="195">
          <cell r="A195" t="str">
            <v>0</v>
          </cell>
          <cell r="B195">
            <v>192</v>
          </cell>
        </row>
        <row r="196">
          <cell r="A196" t="str">
            <v>0</v>
          </cell>
          <cell r="B196">
            <v>193</v>
          </cell>
        </row>
        <row r="197">
          <cell r="A197" t="str">
            <v>0</v>
          </cell>
          <cell r="B197">
            <v>194</v>
          </cell>
        </row>
        <row r="198">
          <cell r="A198" t="str">
            <v>0</v>
          </cell>
          <cell r="B198">
            <v>195</v>
          </cell>
        </row>
        <row r="199">
          <cell r="A199" t="str">
            <v>0</v>
          </cell>
          <cell r="B199">
            <v>196</v>
          </cell>
        </row>
        <row r="200">
          <cell r="A200" t="str">
            <v>0</v>
          </cell>
          <cell r="B200">
            <v>197</v>
          </cell>
        </row>
        <row r="201">
          <cell r="A201" t="str">
            <v>0</v>
          </cell>
          <cell r="B201">
            <v>198</v>
          </cell>
        </row>
        <row r="202">
          <cell r="A202" t="str">
            <v>0</v>
          </cell>
          <cell r="B202">
            <v>199</v>
          </cell>
        </row>
        <row r="203">
          <cell r="A203" t="str">
            <v>0</v>
          </cell>
          <cell r="B203">
            <v>200</v>
          </cell>
        </row>
        <row r="204">
          <cell r="A204" t="str">
            <v>0</v>
          </cell>
          <cell r="B204">
            <v>201</v>
          </cell>
        </row>
        <row r="205">
          <cell r="A205" t="str">
            <v>0</v>
          </cell>
          <cell r="B205">
            <v>202</v>
          </cell>
        </row>
        <row r="206">
          <cell r="A206" t="str">
            <v>0</v>
          </cell>
          <cell r="B206">
            <v>203</v>
          </cell>
        </row>
        <row r="207">
          <cell r="A207" t="str">
            <v>0</v>
          </cell>
          <cell r="B207">
            <v>204</v>
          </cell>
        </row>
        <row r="208">
          <cell r="A208" t="str">
            <v>0</v>
          </cell>
          <cell r="B208">
            <v>205</v>
          </cell>
        </row>
        <row r="209">
          <cell r="A209" t="str">
            <v>0</v>
          </cell>
          <cell r="B209">
            <v>206</v>
          </cell>
        </row>
        <row r="210">
          <cell r="A210" t="str">
            <v>0</v>
          </cell>
          <cell r="B210">
            <v>207</v>
          </cell>
        </row>
        <row r="211">
          <cell r="A211" t="str">
            <v>0</v>
          </cell>
          <cell r="B211">
            <v>208</v>
          </cell>
        </row>
        <row r="212">
          <cell r="A212" t="str">
            <v>0</v>
          </cell>
          <cell r="B212">
            <v>209</v>
          </cell>
        </row>
        <row r="213">
          <cell r="A213" t="str">
            <v>0</v>
          </cell>
          <cell r="B213">
            <v>210</v>
          </cell>
        </row>
        <row r="214">
          <cell r="A214" t="str">
            <v>0</v>
          </cell>
          <cell r="B214">
            <v>211</v>
          </cell>
        </row>
        <row r="215">
          <cell r="A215" t="str">
            <v>0</v>
          </cell>
          <cell r="B215">
            <v>212</v>
          </cell>
        </row>
        <row r="216">
          <cell r="A216" t="str">
            <v>0</v>
          </cell>
          <cell r="B216">
            <v>213</v>
          </cell>
        </row>
        <row r="217">
          <cell r="A217" t="str">
            <v>0</v>
          </cell>
          <cell r="B217">
            <v>214</v>
          </cell>
        </row>
        <row r="218">
          <cell r="A218" t="str">
            <v>0</v>
          </cell>
          <cell r="B218">
            <v>215</v>
          </cell>
        </row>
        <row r="219">
          <cell r="A219" t="str">
            <v>0</v>
          </cell>
          <cell r="B219">
            <v>216</v>
          </cell>
        </row>
        <row r="220">
          <cell r="A220" t="str">
            <v>0</v>
          </cell>
          <cell r="B220">
            <v>217</v>
          </cell>
        </row>
        <row r="221">
          <cell r="A221" t="str">
            <v>0</v>
          </cell>
          <cell r="B221">
            <v>218</v>
          </cell>
        </row>
        <row r="222">
          <cell r="A222" t="str">
            <v>0</v>
          </cell>
          <cell r="B222">
            <v>219</v>
          </cell>
        </row>
        <row r="223">
          <cell r="A223" t="str">
            <v>0</v>
          </cell>
          <cell r="B223">
            <v>220</v>
          </cell>
        </row>
        <row r="224">
          <cell r="A224" t="str">
            <v>0</v>
          </cell>
          <cell r="B224">
            <v>221</v>
          </cell>
        </row>
        <row r="225">
          <cell r="A225" t="str">
            <v>0</v>
          </cell>
          <cell r="B225">
            <v>222</v>
          </cell>
        </row>
        <row r="226">
          <cell r="A226" t="str">
            <v>0</v>
          </cell>
          <cell r="B226">
            <v>223</v>
          </cell>
        </row>
        <row r="227">
          <cell r="A227" t="str">
            <v>0</v>
          </cell>
          <cell r="B227">
            <v>224</v>
          </cell>
        </row>
        <row r="228">
          <cell r="A228" t="str">
            <v>0</v>
          </cell>
          <cell r="B228">
            <v>225</v>
          </cell>
        </row>
        <row r="229">
          <cell r="A229" t="str">
            <v>0</v>
          </cell>
          <cell r="B229">
            <v>226</v>
          </cell>
        </row>
        <row r="230">
          <cell r="A230" t="str">
            <v>0</v>
          </cell>
          <cell r="B230">
            <v>227</v>
          </cell>
        </row>
        <row r="231">
          <cell r="A231" t="str">
            <v>0</v>
          </cell>
          <cell r="B231">
            <v>228</v>
          </cell>
        </row>
        <row r="232">
          <cell r="A232" t="str">
            <v>0</v>
          </cell>
          <cell r="B232">
            <v>229</v>
          </cell>
        </row>
        <row r="233">
          <cell r="A233" t="str">
            <v>0</v>
          </cell>
          <cell r="B233">
            <v>230</v>
          </cell>
        </row>
        <row r="234">
          <cell r="A234" t="str">
            <v>0</v>
          </cell>
          <cell r="B234">
            <v>231</v>
          </cell>
        </row>
        <row r="235">
          <cell r="A235" t="str">
            <v>0</v>
          </cell>
          <cell r="B235">
            <v>232</v>
          </cell>
        </row>
        <row r="236">
          <cell r="A236" t="str">
            <v>0</v>
          </cell>
          <cell r="B236">
            <v>233</v>
          </cell>
        </row>
        <row r="237">
          <cell r="A237" t="str">
            <v>0</v>
          </cell>
          <cell r="B237">
            <v>234</v>
          </cell>
        </row>
        <row r="238">
          <cell r="A238" t="str">
            <v>0</v>
          </cell>
          <cell r="B238">
            <v>235</v>
          </cell>
        </row>
        <row r="239">
          <cell r="A239" t="str">
            <v>0</v>
          </cell>
          <cell r="B239">
            <v>236</v>
          </cell>
        </row>
        <row r="240">
          <cell r="A240" t="str">
            <v>0</v>
          </cell>
          <cell r="B240">
            <v>237</v>
          </cell>
        </row>
        <row r="241">
          <cell r="A241" t="str">
            <v>0</v>
          </cell>
          <cell r="B241">
            <v>238</v>
          </cell>
        </row>
        <row r="242">
          <cell r="A242" t="str">
            <v>0</v>
          </cell>
          <cell r="B242">
            <v>239</v>
          </cell>
        </row>
        <row r="243">
          <cell r="A243" t="str">
            <v>0</v>
          </cell>
          <cell r="B243">
            <v>240</v>
          </cell>
        </row>
        <row r="244">
          <cell r="A244" t="str">
            <v>0</v>
          </cell>
          <cell r="B244">
            <v>241</v>
          </cell>
        </row>
        <row r="245">
          <cell r="A245" t="str">
            <v>0</v>
          </cell>
          <cell r="B245">
            <v>242</v>
          </cell>
        </row>
        <row r="246">
          <cell r="A246" t="str">
            <v>0</v>
          </cell>
          <cell r="B246">
            <v>243</v>
          </cell>
        </row>
        <row r="247">
          <cell r="A247" t="str">
            <v>0</v>
          </cell>
          <cell r="B247">
            <v>244</v>
          </cell>
        </row>
        <row r="248">
          <cell r="A248" t="str">
            <v>0</v>
          </cell>
          <cell r="B248">
            <v>245</v>
          </cell>
        </row>
        <row r="249">
          <cell r="A249" t="str">
            <v>0</v>
          </cell>
          <cell r="B249">
            <v>246</v>
          </cell>
        </row>
        <row r="250">
          <cell r="A250" t="str">
            <v>0</v>
          </cell>
          <cell r="B250">
            <v>247</v>
          </cell>
        </row>
        <row r="251">
          <cell r="A251" t="str">
            <v>0</v>
          </cell>
          <cell r="B251">
            <v>248</v>
          </cell>
        </row>
        <row r="252">
          <cell r="A252" t="str">
            <v>0</v>
          </cell>
          <cell r="B252">
            <v>249</v>
          </cell>
        </row>
        <row r="253">
          <cell r="A253" t="str">
            <v>0</v>
          </cell>
          <cell r="B253">
            <v>250</v>
          </cell>
        </row>
        <row r="254">
          <cell r="A254" t="str">
            <v>0</v>
          </cell>
          <cell r="B254">
            <v>251</v>
          </cell>
        </row>
        <row r="255">
          <cell r="A255" t="str">
            <v>0</v>
          </cell>
          <cell r="B255">
            <v>252</v>
          </cell>
        </row>
        <row r="256">
          <cell r="A256" t="str">
            <v>0</v>
          </cell>
          <cell r="B256">
            <v>253</v>
          </cell>
        </row>
        <row r="257">
          <cell r="A257" t="str">
            <v>0</v>
          </cell>
          <cell r="B257">
            <v>254</v>
          </cell>
        </row>
        <row r="258">
          <cell r="A258" t="str">
            <v>0</v>
          </cell>
          <cell r="B258">
            <v>255</v>
          </cell>
        </row>
        <row r="259">
          <cell r="A259" t="str">
            <v>0</v>
          </cell>
          <cell r="B259">
            <v>256</v>
          </cell>
        </row>
        <row r="260">
          <cell r="A260" t="str">
            <v>0</v>
          </cell>
          <cell r="B260">
            <v>257</v>
          </cell>
        </row>
        <row r="261">
          <cell r="A261" t="str">
            <v>0</v>
          </cell>
          <cell r="B261">
            <v>258</v>
          </cell>
        </row>
        <row r="262">
          <cell r="A262" t="str">
            <v>0</v>
          </cell>
          <cell r="B262">
            <v>259</v>
          </cell>
        </row>
        <row r="263">
          <cell r="A263" t="str">
            <v>0</v>
          </cell>
          <cell r="B263">
            <v>260</v>
          </cell>
        </row>
        <row r="264">
          <cell r="A264" t="str">
            <v>0</v>
          </cell>
          <cell r="B264">
            <v>261</v>
          </cell>
        </row>
        <row r="265">
          <cell r="A265" t="str">
            <v>0</v>
          </cell>
          <cell r="B265">
            <v>262</v>
          </cell>
        </row>
        <row r="266">
          <cell r="A266" t="str">
            <v>0</v>
          </cell>
          <cell r="B266">
            <v>263</v>
          </cell>
        </row>
        <row r="267">
          <cell r="A267" t="str">
            <v>0</v>
          </cell>
          <cell r="B267">
            <v>264</v>
          </cell>
        </row>
        <row r="268">
          <cell r="A268" t="str">
            <v>0</v>
          </cell>
          <cell r="B268">
            <v>265</v>
          </cell>
        </row>
        <row r="269">
          <cell r="A269" t="str">
            <v>0</v>
          </cell>
          <cell r="B269">
            <v>266</v>
          </cell>
        </row>
        <row r="270">
          <cell r="A270" t="str">
            <v>0</v>
          </cell>
          <cell r="B270">
            <v>267</v>
          </cell>
        </row>
        <row r="271">
          <cell r="A271" t="str">
            <v>0</v>
          </cell>
          <cell r="B271">
            <v>268</v>
          </cell>
        </row>
        <row r="272">
          <cell r="A272" t="str">
            <v>0</v>
          </cell>
          <cell r="B272">
            <v>269</v>
          </cell>
        </row>
        <row r="273">
          <cell r="A273" t="str">
            <v>0</v>
          </cell>
          <cell r="B273">
            <v>270</v>
          </cell>
        </row>
        <row r="274">
          <cell r="A274" t="str">
            <v>0</v>
          </cell>
          <cell r="B274">
            <v>271</v>
          </cell>
        </row>
        <row r="275">
          <cell r="A275" t="str">
            <v>0</v>
          </cell>
          <cell r="B275">
            <v>272</v>
          </cell>
        </row>
        <row r="276">
          <cell r="A276" t="str">
            <v/>
          </cell>
          <cell r="B276">
            <v>273</v>
          </cell>
        </row>
        <row r="277">
          <cell r="A277" t="str">
            <v/>
          </cell>
          <cell r="B277">
            <v>274</v>
          </cell>
        </row>
        <row r="278">
          <cell r="A278" t="str">
            <v/>
          </cell>
          <cell r="B278">
            <v>275</v>
          </cell>
        </row>
        <row r="279">
          <cell r="A279" t="str">
            <v/>
          </cell>
          <cell r="B279">
            <v>276</v>
          </cell>
        </row>
        <row r="280">
          <cell r="A280" t="str">
            <v/>
          </cell>
          <cell r="B280">
            <v>277</v>
          </cell>
        </row>
        <row r="281">
          <cell r="A281" t="str">
            <v/>
          </cell>
          <cell r="B281">
            <v>278</v>
          </cell>
        </row>
        <row r="282">
          <cell r="A282" t="str">
            <v/>
          </cell>
          <cell r="B282">
            <v>279</v>
          </cell>
        </row>
        <row r="283">
          <cell r="A283" t="str">
            <v/>
          </cell>
          <cell r="B283">
            <v>280</v>
          </cell>
        </row>
        <row r="284">
          <cell r="A284" t="str">
            <v/>
          </cell>
          <cell r="B284">
            <v>281</v>
          </cell>
        </row>
        <row r="285">
          <cell r="A285" t="str">
            <v/>
          </cell>
          <cell r="B285">
            <v>282</v>
          </cell>
        </row>
      </sheetData>
      <sheetData sheetId="1">
        <row r="1">
          <cell r="B1" t="str">
            <v>SKU Code</v>
          </cell>
          <cell r="C1" t="str">
            <v>SKU Desc</v>
          </cell>
          <cell r="D1" t="str">
            <v>Sum of  Qty in CS.</v>
          </cell>
        </row>
        <row r="2">
          <cell r="B2">
            <v>40059094</v>
          </cell>
          <cell r="C2" t="str">
            <v>*CIN ORIG 100G NP SINGLE M50 P160 CSD</v>
          </cell>
          <cell r="D2">
            <v>32</v>
          </cell>
        </row>
        <row r="3">
          <cell r="B3">
            <v>40050204</v>
          </cell>
          <cell r="C3" t="str">
            <v>*FreshGlow 100g PO4 M175 P36 New</v>
          </cell>
          <cell r="D3">
            <v>18</v>
          </cell>
        </row>
        <row r="4">
          <cell r="B4">
            <v>40036555</v>
          </cell>
          <cell r="C4" t="str">
            <v>*No1 Lime&amp;AleoVera 100gB3G1M114 PK36 CSD</v>
          </cell>
          <cell r="D4">
            <v>113</v>
          </cell>
        </row>
        <row r="5">
          <cell r="B5">
            <v>40043571</v>
          </cell>
          <cell r="C5" t="str">
            <v>*PA SC CLASSIC 84G M75 P48</v>
          </cell>
          <cell r="D5">
            <v>291</v>
          </cell>
        </row>
        <row r="6">
          <cell r="B6">
            <v>40043556</v>
          </cell>
          <cell r="C6" t="str">
            <v>*PA SC COOL BLUE 84G M75 P48</v>
          </cell>
          <cell r="D6">
            <v>287</v>
          </cell>
        </row>
        <row r="7">
          <cell r="B7">
            <v>40043584</v>
          </cell>
          <cell r="C7" t="str">
            <v>*PA SC GOOD MORNING 84G M75 P48</v>
          </cell>
          <cell r="D7">
            <v>228</v>
          </cell>
        </row>
        <row r="8">
          <cell r="B8">
            <v>40056925</v>
          </cell>
          <cell r="C8" t="str">
            <v>AER O ASSORTEDPO3 22.5G P20 W/O MRP GGME</v>
          </cell>
          <cell r="D8">
            <v>1269</v>
          </cell>
        </row>
        <row r="9">
          <cell r="B9">
            <v>40064135</v>
          </cell>
          <cell r="C9" t="str">
            <v>AER O CARAMEL LATTE 7.5G P60 W/O M EXP</v>
          </cell>
          <cell r="D9">
            <v>798</v>
          </cell>
        </row>
        <row r="10">
          <cell r="B10">
            <v>40043812</v>
          </cell>
          <cell r="C10" t="str">
            <v>AER O muskaftsmoke 7.5gPO60GGMEW/OMRP</v>
          </cell>
          <cell r="D10">
            <v>979</v>
          </cell>
        </row>
        <row r="11">
          <cell r="B11">
            <v>40064134</v>
          </cell>
          <cell r="C11" t="str">
            <v>AER O ORANGE PUNCH 7.5G P60 W/O M EXP</v>
          </cell>
          <cell r="D11">
            <v>410</v>
          </cell>
        </row>
        <row r="12">
          <cell r="B12">
            <v>40060675</v>
          </cell>
          <cell r="C12" t="str">
            <v>AER O ROSEBLOSSOM 7.5G P60  EXP SPANISH</v>
          </cell>
          <cell r="D12">
            <v>197</v>
          </cell>
        </row>
        <row r="13">
          <cell r="B13">
            <v>40063018</v>
          </cell>
          <cell r="C13" t="str">
            <v>AERPOWERPOCKET BERRYRUSH 10G M70P120 NF</v>
          </cell>
          <cell r="D13">
            <v>213</v>
          </cell>
        </row>
        <row r="14">
          <cell r="B14">
            <v>40049865</v>
          </cell>
          <cell r="C14" t="str">
            <v>AerPwr Pockt BerryRush10g P120W/O MRPEXP</v>
          </cell>
          <cell r="D14">
            <v>1307</v>
          </cell>
        </row>
        <row r="15">
          <cell r="B15">
            <v>40063025</v>
          </cell>
          <cell r="C15" t="str">
            <v>AERPWRPCKT JASFLORDELI 10G M70P120 NF</v>
          </cell>
          <cell r="D15">
            <v>1100</v>
          </cell>
        </row>
        <row r="16">
          <cell r="B16">
            <v>40063021</v>
          </cell>
          <cell r="C16" t="str">
            <v>AERPWRPCKT LAV BLOOM 10G M70P120NP</v>
          </cell>
          <cell r="D16">
            <v>1500</v>
          </cell>
        </row>
        <row r="17">
          <cell r="B17">
            <v>40063421</v>
          </cell>
          <cell r="C17" t="str">
            <v>AERPWRPCKT LEMTANGYDEL 10G M70P120</v>
          </cell>
          <cell r="D17">
            <v>300</v>
          </cell>
        </row>
        <row r="18">
          <cell r="B18">
            <v>40063020</v>
          </cell>
          <cell r="C18" t="str">
            <v>AERPWRPCKT ROSEFRBLOSSM 10G M70P120NP NF</v>
          </cell>
          <cell r="D18">
            <v>700</v>
          </cell>
        </row>
        <row r="19">
          <cell r="B19">
            <v>40064998</v>
          </cell>
          <cell r="C19" t="str">
            <v>CIN COOL 100G SINGLES M45 P150 NEW RSTRD</v>
          </cell>
          <cell r="D19">
            <v>38</v>
          </cell>
        </row>
        <row r="20">
          <cell r="B20">
            <v>40063581</v>
          </cell>
          <cell r="C20" t="str">
            <v>CIN COOL 75G PO4 M110 P50 NEWRSTRD</v>
          </cell>
          <cell r="D20">
            <v>337</v>
          </cell>
        </row>
        <row r="21">
          <cell r="B21">
            <v>40057928</v>
          </cell>
          <cell r="C21" t="str">
            <v>CIN COOL BDYWASH BOTTLE 200ML M120P30</v>
          </cell>
          <cell r="D21">
            <v>513</v>
          </cell>
        </row>
        <row r="22">
          <cell r="B22">
            <v>40058868</v>
          </cell>
          <cell r="C22" t="str">
            <v>CIN COOLBDYWASHBOTTLE 200ML P30 W/OM EXP</v>
          </cell>
          <cell r="D22">
            <v>6</v>
          </cell>
        </row>
        <row r="23">
          <cell r="B23">
            <v>40063757</v>
          </cell>
          <cell r="C23" t="str">
            <v>CIN HEALTH+ 38G NEW M10 P216 RSTRD</v>
          </cell>
          <cell r="D23">
            <v>500</v>
          </cell>
        </row>
        <row r="24">
          <cell r="B24">
            <v>40064999</v>
          </cell>
          <cell r="C24" t="str">
            <v>CIN LIME 100G SINGLES M45 P150 NEW RSTRD</v>
          </cell>
          <cell r="D24">
            <v>144</v>
          </cell>
        </row>
        <row r="25">
          <cell r="B25">
            <v>40063810</v>
          </cell>
          <cell r="C25" t="str">
            <v>CIN LIME 125G PO3 (BANDED) M140 P40-MT</v>
          </cell>
          <cell r="D25">
            <v>150</v>
          </cell>
        </row>
        <row r="26">
          <cell r="B26">
            <v>40064157</v>
          </cell>
          <cell r="C26" t="str">
            <v>CIN LIME 75G PO4M105 P50 RSTRD</v>
          </cell>
          <cell r="D26">
            <v>416</v>
          </cell>
        </row>
        <row r="27">
          <cell r="B27">
            <v>40063781</v>
          </cell>
          <cell r="C27" t="str">
            <v>CIN LIME 75G PO4M110 P50ROI RSTRD</v>
          </cell>
          <cell r="D27">
            <v>790</v>
          </cell>
        </row>
        <row r="28">
          <cell r="B28">
            <v>40065842</v>
          </cell>
          <cell r="C28" t="str">
            <v>CIN LIME BDWSH BTTLE 200ML M99P30 GT</v>
          </cell>
          <cell r="D28">
            <v>671</v>
          </cell>
        </row>
        <row r="29">
          <cell r="B29">
            <v>40065039</v>
          </cell>
          <cell r="C29" t="str">
            <v>CIN ORG100G PO4 M175 P36 NEW MT</v>
          </cell>
          <cell r="D29">
            <v>674</v>
          </cell>
        </row>
        <row r="30">
          <cell r="B30">
            <v>40065040</v>
          </cell>
          <cell r="C30" t="str">
            <v>CIN ORIGINAL 100G NP SINGLE M45 P160</v>
          </cell>
          <cell r="D30">
            <v>160</v>
          </cell>
        </row>
        <row r="31">
          <cell r="B31">
            <v>40060535</v>
          </cell>
          <cell r="C31" t="str">
            <v>CIN SHAVING CREAM LIME FRESH 78G M80 P72</v>
          </cell>
          <cell r="D31">
            <v>46</v>
          </cell>
        </row>
        <row r="32">
          <cell r="B32">
            <v>40060996</v>
          </cell>
          <cell r="C32" t="str">
            <v>CIN SHAVING CREAM MENTHOL 78G M80P72</v>
          </cell>
          <cell r="D32">
            <v>258</v>
          </cell>
        </row>
        <row r="33">
          <cell r="B33">
            <v>40050521</v>
          </cell>
          <cell r="C33" t="str">
            <v>CINORGBDYWSHBTTLE 200ML W/O M0.00 P30EXP</v>
          </cell>
          <cell r="D33">
            <v>6</v>
          </cell>
        </row>
        <row r="34">
          <cell r="B34">
            <v>40061000</v>
          </cell>
          <cell r="C34" t="str">
            <v>CINORIGINALTALC300G M190 P24</v>
          </cell>
          <cell r="D34">
            <v>20</v>
          </cell>
        </row>
        <row r="35">
          <cell r="B35">
            <v>40062179</v>
          </cell>
          <cell r="C35" t="str">
            <v>CROWNING GLORY 75G PO4 M140 P50 NEW</v>
          </cell>
          <cell r="D35">
            <v>150</v>
          </cell>
        </row>
        <row r="36">
          <cell r="B36">
            <v>40062023</v>
          </cell>
          <cell r="C36" t="str">
            <v>EXPCRM 11G NBLK M15 P240 ND</v>
          </cell>
          <cell r="D36">
            <v>150</v>
          </cell>
        </row>
        <row r="37">
          <cell r="B37">
            <v>40063179</v>
          </cell>
          <cell r="C37" t="str">
            <v>EXPCRM 20G+20G+2ML P010 NBLK P240 M40 ND</v>
          </cell>
          <cell r="D37">
            <v>800</v>
          </cell>
        </row>
        <row r="38">
          <cell r="B38">
            <v>40064883</v>
          </cell>
          <cell r="C38" t="str">
            <v>EZEE 2KG POUCH M460 P6 NF OA NEW PACK</v>
          </cell>
          <cell r="D38">
            <v>200</v>
          </cell>
        </row>
        <row r="39">
          <cell r="B39">
            <v>40064886</v>
          </cell>
          <cell r="C39" t="str">
            <v>EZEE 500G M140 P24 50 % PCR</v>
          </cell>
          <cell r="D39">
            <v>1658</v>
          </cell>
        </row>
        <row r="40">
          <cell r="B40">
            <v>40056815</v>
          </cell>
          <cell r="C40" t="str">
            <v>EZEE SACHET 18G (12U X 54N) P648 M5 NF</v>
          </cell>
          <cell r="D40">
            <v>200</v>
          </cell>
        </row>
        <row r="41">
          <cell r="B41">
            <v>40065348</v>
          </cell>
          <cell r="C41" t="str">
            <v>GK FLASH REFILL 60ML M120 P120 RNF</v>
          </cell>
          <cell r="D41">
            <v>35</v>
          </cell>
        </row>
        <row r="42">
          <cell r="B42">
            <v>40065345</v>
          </cell>
          <cell r="C42" t="str">
            <v>GK FLASH REFILL PO2M185 P120 RNF PCR ROI</v>
          </cell>
          <cell r="D42">
            <v>422</v>
          </cell>
        </row>
        <row r="43">
          <cell r="B43">
            <v>40065002</v>
          </cell>
          <cell r="C43" t="str">
            <v>GODPROTEKTNEEM9GM110P40 (11+1)</v>
          </cell>
          <cell r="D43">
            <v>360</v>
          </cell>
        </row>
        <row r="44">
          <cell r="B44">
            <v>40057021</v>
          </cell>
          <cell r="C44" t="str">
            <v>GODREJ FAB 1LTR POUCH P12 W/O MRP-GGME</v>
          </cell>
          <cell r="D44">
            <v>771</v>
          </cell>
        </row>
        <row r="45">
          <cell r="B45">
            <v>40065291</v>
          </cell>
          <cell r="C45" t="str">
            <v>GODREJ FAB 4 KG MT POUCH M525 P3</v>
          </cell>
          <cell r="D45">
            <v>2740</v>
          </cell>
        </row>
        <row r="46">
          <cell r="B46">
            <v>40062071</v>
          </cell>
          <cell r="C46" t="str">
            <v>GODREJ SHIKAKAI 75G M35 P160</v>
          </cell>
          <cell r="D46">
            <v>1500</v>
          </cell>
        </row>
        <row r="47">
          <cell r="B47">
            <v>40062858</v>
          </cell>
          <cell r="C47" t="str">
            <v>KS10'S DOTTED M100 P480 NEWAW</v>
          </cell>
          <cell r="D47">
            <v>656</v>
          </cell>
        </row>
        <row r="48">
          <cell r="B48">
            <v>40062537</v>
          </cell>
          <cell r="C48" t="str">
            <v>KS10'S EXTRA DOTTED M150 P480 NEW AW</v>
          </cell>
          <cell r="D48">
            <v>37</v>
          </cell>
        </row>
        <row r="49">
          <cell r="B49">
            <v>40062332</v>
          </cell>
          <cell r="C49" t="str">
            <v>KS10'S SKINFEEL M180 P480 NEWAW</v>
          </cell>
          <cell r="D49">
            <v>167</v>
          </cell>
        </row>
        <row r="50">
          <cell r="B50">
            <v>40062339</v>
          </cell>
          <cell r="C50" t="str">
            <v>KS20'S LONGLAST PLEAS M300 P480 NEWAW</v>
          </cell>
          <cell r="D50">
            <v>65</v>
          </cell>
        </row>
        <row r="51">
          <cell r="B51">
            <v>40062518</v>
          </cell>
          <cell r="C51" t="str">
            <v>KS20'S RIBBED M200 P480 NEWAW</v>
          </cell>
          <cell r="D51">
            <v>12</v>
          </cell>
        </row>
        <row r="52">
          <cell r="B52">
            <v>40062325</v>
          </cell>
          <cell r="C52" t="str">
            <v>KS3'S BANANA FLV M30P1440 NEWAW</v>
          </cell>
          <cell r="D52">
            <v>1</v>
          </cell>
        </row>
        <row r="53">
          <cell r="B53">
            <v>40062594</v>
          </cell>
          <cell r="C53" t="str">
            <v>KS3'S BANANA FLV M49 P1440 NEPAL</v>
          </cell>
          <cell r="D53">
            <v>1</v>
          </cell>
        </row>
        <row r="54">
          <cell r="B54">
            <v>40062334</v>
          </cell>
          <cell r="C54" t="str">
            <v>KS3S CHOCOLATEFLV M30 P1440 INCRSD NEWAW</v>
          </cell>
          <cell r="D54">
            <v>5</v>
          </cell>
        </row>
        <row r="55">
          <cell r="B55">
            <v>40062349</v>
          </cell>
          <cell r="C55" t="str">
            <v>KS3'S DOTTED M30 P1440 INCR NEWAW</v>
          </cell>
          <cell r="D55">
            <v>184</v>
          </cell>
        </row>
        <row r="56">
          <cell r="B56">
            <v>40062328</v>
          </cell>
          <cell r="C56" t="str">
            <v>KS3'S RIBBED M30 P1440 INCR NEWAW</v>
          </cell>
          <cell r="D56">
            <v>3</v>
          </cell>
        </row>
        <row r="57">
          <cell r="B57">
            <v>40064855</v>
          </cell>
          <cell r="C57" t="str">
            <v>NO1 COCONM 100G PO5 M115 P36 NDRSTRD NF2</v>
          </cell>
          <cell r="D57">
            <v>200</v>
          </cell>
        </row>
        <row r="58">
          <cell r="B58">
            <v>40063964</v>
          </cell>
          <cell r="C58" t="str">
            <v>NO1 JAS MC 43G PO4 M40 P54 RSTRD NF2</v>
          </cell>
          <cell r="D58">
            <v>5</v>
          </cell>
        </row>
        <row r="59">
          <cell r="B59">
            <v>40064844</v>
          </cell>
          <cell r="C59" t="str">
            <v>NO1 JASMINE100G PO5 M125 P36 NDRSTRD NF2</v>
          </cell>
          <cell r="D59">
            <v>560</v>
          </cell>
        </row>
        <row r="60">
          <cell r="B60">
            <v>40063254</v>
          </cell>
          <cell r="C60" t="str">
            <v>NO1 KESR MC 100G PO5 M130 P36 RSTRD NF2</v>
          </cell>
          <cell r="D60">
            <v>112</v>
          </cell>
        </row>
        <row r="61">
          <cell r="B61">
            <v>40063282</v>
          </cell>
          <cell r="C61" t="str">
            <v>NO1 RSE ALMD 100G PO5 M130 P36 RSTRD NF2</v>
          </cell>
          <cell r="D61">
            <v>42</v>
          </cell>
        </row>
        <row r="62">
          <cell r="B62">
            <v>40063198</v>
          </cell>
          <cell r="C62" t="str">
            <v>NO1 RSEWTR ALMND 43G PO4M40P54 RSTRD NF2</v>
          </cell>
          <cell r="D62">
            <v>162</v>
          </cell>
        </row>
        <row r="63">
          <cell r="B63">
            <v>40063193</v>
          </cell>
          <cell r="C63" t="str">
            <v>NO1COCONM 43GPO4M40P54 TFM 70% RSTRD NF2</v>
          </cell>
          <cell r="D63">
            <v>32</v>
          </cell>
        </row>
        <row r="64">
          <cell r="B64">
            <v>40064823</v>
          </cell>
          <cell r="C64" t="str">
            <v>NO1LIME&amp;AV 125G PO4 M115 P30 RSTRD NF2</v>
          </cell>
          <cell r="D64">
            <v>246</v>
          </cell>
        </row>
        <row r="65">
          <cell r="B65">
            <v>40049906</v>
          </cell>
          <cell r="C65" t="str">
            <v>PA AMAZONWOODS 120ML M349 P24 GCPL</v>
          </cell>
          <cell r="D65">
            <v>200</v>
          </cell>
        </row>
        <row r="66">
          <cell r="B66">
            <v>40060737</v>
          </cell>
          <cell r="C66" t="str">
            <v>PA ASL GM 45ML TRAVEL PACK G M85P72</v>
          </cell>
          <cell r="D66">
            <v>317</v>
          </cell>
        </row>
        <row r="67">
          <cell r="B67">
            <v>40064472</v>
          </cell>
          <cell r="C67" t="str">
            <v>PA EDP TWINPCK EUPHO+ HARMONY M1599P10</v>
          </cell>
          <cell r="D67">
            <v>130</v>
          </cell>
        </row>
        <row r="68">
          <cell r="B68">
            <v>40064427</v>
          </cell>
          <cell r="C68" t="str">
            <v>PA SOAP GD MRNG 125G B3G1 M240 P27</v>
          </cell>
          <cell r="D68">
            <v>25</v>
          </cell>
        </row>
        <row r="69">
          <cell r="B69">
            <v>40064430</v>
          </cell>
          <cell r="C69" t="str">
            <v>PA SOAP PURE LXRY 4X125GPO4 M320 P27GCPL</v>
          </cell>
          <cell r="D69">
            <v>120</v>
          </cell>
        </row>
        <row r="70">
          <cell r="B70">
            <v>40064428</v>
          </cell>
          <cell r="C70" t="str">
            <v>PA SOAP PURE LXRY125GB3G1 M240 P27 N</v>
          </cell>
          <cell r="D70">
            <v>70</v>
          </cell>
        </row>
        <row r="71">
          <cell r="B71">
            <v>40064558</v>
          </cell>
          <cell r="C71" t="str">
            <v>PA SOAPGOOD MRNG4X125GPO4M320 P27GCPL</v>
          </cell>
          <cell r="D71">
            <v>50</v>
          </cell>
        </row>
        <row r="72">
          <cell r="B72">
            <v>40059678</v>
          </cell>
          <cell r="C72" t="str">
            <v>PA TRANCE MIST 135ML M199 P24 GCPL</v>
          </cell>
          <cell r="D72">
            <v>100</v>
          </cell>
        </row>
      </sheetData>
      <sheetData sheetId="2">
        <row r="1">
          <cell r="A1" t="str">
            <v>Material</v>
          </cell>
          <cell r="B1" t="str">
            <v>Sum of STO Qty</v>
          </cell>
        </row>
      </sheetData>
      <sheetData sheetId="3">
        <row r="1">
          <cell r="A1" t="str">
            <v>D</v>
          </cell>
          <cell r="B1" t="str">
            <v>STO Number</v>
          </cell>
          <cell r="C1" t="str">
            <v>Demand Plant</v>
          </cell>
          <cell r="D1" t="str">
            <v>Material</v>
          </cell>
          <cell r="E1" t="str">
            <v>Design Type</v>
          </cell>
          <cell r="F1" t="str">
            <v>STO Qty</v>
          </cell>
        </row>
      </sheetData>
      <sheetData sheetId="4"/>
      <sheetData sheetId="5">
        <row r="1">
          <cell r="B1" t="str">
            <v>SKU</v>
          </cell>
          <cell r="C1" t="str">
            <v>SKU Description</v>
          </cell>
          <cell r="D1" t="str">
            <v>STOCK</v>
          </cell>
          <cell r="E1" t="str">
            <v>GIT</v>
          </cell>
          <cell r="F1" t="str">
            <v>TOTAL</v>
          </cell>
        </row>
        <row r="2">
          <cell r="B2">
            <v>40059327</v>
          </cell>
          <cell r="C2" t="str">
            <v>GK AGARBATTI M10(CROSS 15)P288 8 STKS</v>
          </cell>
          <cell r="D2">
            <v>45289.999750000003</v>
          </cell>
          <cell r="E2">
            <v>0</v>
          </cell>
          <cell r="F2">
            <v>45289.999750000003</v>
          </cell>
        </row>
        <row r="3">
          <cell r="B3">
            <v>40065291</v>
          </cell>
          <cell r="C3" t="str">
            <v>GODREJ FAB 4 KG MT POUCH M525 P3</v>
          </cell>
          <cell r="D3">
            <v>8189</v>
          </cell>
          <cell r="E3">
            <v>2740</v>
          </cell>
          <cell r="F3">
            <v>10929</v>
          </cell>
        </row>
        <row r="4">
          <cell r="B4">
            <v>40063699</v>
          </cell>
          <cell r="C4" t="str">
            <v>AER SPRAY JASMINEDELIGHT 180ML M99P24</v>
          </cell>
          <cell r="D4">
            <v>10473.125</v>
          </cell>
          <cell r="E4">
            <v>0</v>
          </cell>
          <cell r="F4">
            <v>10473.125</v>
          </cell>
        </row>
        <row r="5">
          <cell r="B5">
            <v>40065137</v>
          </cell>
          <cell r="C5" t="str">
            <v>GK AGARBATTI M10P288 8 STKS 10INCH</v>
          </cell>
          <cell r="D5">
            <v>9259</v>
          </cell>
          <cell r="E5">
            <v>0</v>
          </cell>
          <cell r="F5">
            <v>9259</v>
          </cell>
        </row>
        <row r="6">
          <cell r="B6">
            <v>40063700</v>
          </cell>
          <cell r="C6" t="str">
            <v>AER SPRAY FOREST FRESH 180ML M99P24</v>
          </cell>
          <cell r="D6">
            <v>9071</v>
          </cell>
          <cell r="E6">
            <v>0</v>
          </cell>
          <cell r="F6">
            <v>9071</v>
          </cell>
        </row>
        <row r="7">
          <cell r="B7">
            <v>40063688</v>
          </cell>
          <cell r="C7" t="str">
            <v>AER SPRAY LAVENDERBLOOM 180ML M99P24</v>
          </cell>
          <cell r="D7">
            <v>8824</v>
          </cell>
          <cell r="E7">
            <v>0</v>
          </cell>
          <cell r="F7">
            <v>8824</v>
          </cell>
        </row>
        <row r="8">
          <cell r="B8">
            <v>40059263</v>
          </cell>
          <cell r="C8" t="str">
            <v>GK AGARBATTI M15 P288 8 STICKS</v>
          </cell>
          <cell r="D8">
            <v>8018</v>
          </cell>
          <cell r="E8">
            <v>0</v>
          </cell>
          <cell r="F8">
            <v>8018</v>
          </cell>
        </row>
        <row r="9">
          <cell r="B9">
            <v>40063753</v>
          </cell>
          <cell r="C9" t="str">
            <v>AER SPRAY COOLAQUA 180ML M99P24</v>
          </cell>
          <cell r="D9">
            <v>7686</v>
          </cell>
          <cell r="E9">
            <v>0</v>
          </cell>
          <cell r="F9">
            <v>7686</v>
          </cell>
        </row>
        <row r="10">
          <cell r="B10">
            <v>40063483</v>
          </cell>
          <cell r="C10" t="str">
            <v>HIT CIK 200ML M110 P60 0.18MM NEW L 33%</v>
          </cell>
          <cell r="D10">
            <v>7084.38288333333</v>
          </cell>
          <cell r="E10">
            <v>0</v>
          </cell>
          <cell r="F10">
            <v>7084.38288333333</v>
          </cell>
        </row>
        <row r="11">
          <cell r="B11">
            <v>40063686</v>
          </cell>
          <cell r="C11" t="str">
            <v>PROTKT GRMFIGHTERHW AQUAREF650ML M99P18</v>
          </cell>
          <cell r="D11">
            <v>5928.6666666666697</v>
          </cell>
          <cell r="E11">
            <v>0</v>
          </cell>
          <cell r="F11">
            <v>5928.6666666666697</v>
          </cell>
        </row>
        <row r="12">
          <cell r="B12">
            <v>40064688</v>
          </cell>
          <cell r="C12" t="str">
            <v>HIT CIK 400ML M205 P36</v>
          </cell>
          <cell r="D12">
            <v>5564</v>
          </cell>
          <cell r="E12">
            <v>0</v>
          </cell>
          <cell r="F12">
            <v>5564</v>
          </cell>
        </row>
        <row r="13">
          <cell r="B13">
            <v>40064682</v>
          </cell>
          <cell r="C13" t="str">
            <v>GODREJ ZAP 400ML POUCH M109 P12 ECOMM</v>
          </cell>
          <cell r="D13">
            <v>5448</v>
          </cell>
          <cell r="E13">
            <v>0</v>
          </cell>
          <cell r="F13">
            <v>5448</v>
          </cell>
        </row>
        <row r="14">
          <cell r="B14">
            <v>40063747</v>
          </cell>
          <cell r="C14" t="str">
            <v>AER SPRAY ROSEBLOSSOM 180ML M99P24</v>
          </cell>
          <cell r="D14">
            <v>4797</v>
          </cell>
          <cell r="E14">
            <v>0</v>
          </cell>
          <cell r="F14">
            <v>4797</v>
          </cell>
        </row>
        <row r="15">
          <cell r="B15">
            <v>40061011</v>
          </cell>
          <cell r="C15" t="str">
            <v>AER PWRPOCKTLEMTNGYDEL10GP120W/OMRPEXPNF</v>
          </cell>
          <cell r="D15">
            <v>4649.3416666666699</v>
          </cell>
          <cell r="E15">
            <v>0</v>
          </cell>
          <cell r="F15">
            <v>4649.3416666666699</v>
          </cell>
        </row>
        <row r="16">
          <cell r="B16">
            <v>40063685</v>
          </cell>
          <cell r="C16" t="str">
            <v>PROTET GRMFIGHTHW LIM&amp;EUREF650ML M99P18</v>
          </cell>
          <cell r="D16">
            <v>3653.4444444444398</v>
          </cell>
          <cell r="E16">
            <v>0</v>
          </cell>
          <cell r="F16">
            <v>3653.4444444444398</v>
          </cell>
        </row>
        <row r="17">
          <cell r="B17">
            <v>40060972</v>
          </cell>
          <cell r="C17" t="str">
            <v>AERPWRPCKTLEMONTNGYDLGHTP120-LATAMEXP_NF</v>
          </cell>
          <cell r="D17">
            <v>3300.8</v>
          </cell>
          <cell r="E17">
            <v>0</v>
          </cell>
          <cell r="F17">
            <v>3300.8</v>
          </cell>
        </row>
        <row r="18">
          <cell r="B18">
            <v>40065292</v>
          </cell>
          <cell r="C18" t="str">
            <v>FAB FRONT LOAD 800GM NEW AW P12 M130 EC</v>
          </cell>
          <cell r="D18">
            <v>3084</v>
          </cell>
          <cell r="E18">
            <v>0</v>
          </cell>
          <cell r="F18">
            <v>3084</v>
          </cell>
        </row>
        <row r="19">
          <cell r="B19">
            <v>40063045</v>
          </cell>
          <cell r="C19" t="str">
            <v>HIT FIK 200ML M125P60 CAN .18MM MFT NEW</v>
          </cell>
          <cell r="D19">
            <v>2960.0166666666701</v>
          </cell>
          <cell r="E19">
            <v>0</v>
          </cell>
          <cell r="F19">
            <v>2960.0166666666701</v>
          </cell>
        </row>
        <row r="20">
          <cell r="B20">
            <v>40049654</v>
          </cell>
          <cell r="C20" t="str">
            <v>Cin Lime Bdywash Bottle 200ml M 120P30</v>
          </cell>
          <cell r="D20">
            <v>2897</v>
          </cell>
          <cell r="E20">
            <v>0</v>
          </cell>
          <cell r="F20">
            <v>2897</v>
          </cell>
        </row>
        <row r="21">
          <cell r="B21">
            <v>40060776</v>
          </cell>
          <cell r="C21" t="str">
            <v>Muuchstac Ocean Facewash M598 PO2 P-50</v>
          </cell>
          <cell r="D21">
            <v>2788</v>
          </cell>
          <cell r="E21">
            <v>0</v>
          </cell>
          <cell r="F21">
            <v>2788</v>
          </cell>
        </row>
        <row r="22">
          <cell r="B22">
            <v>40064876</v>
          </cell>
          <cell r="C22" t="str">
            <v>GODREJ FAB 2KG P6 M309 FL</v>
          </cell>
          <cell r="D22">
            <v>2748</v>
          </cell>
          <cell r="E22">
            <v>0</v>
          </cell>
          <cell r="F22">
            <v>2748</v>
          </cell>
        </row>
        <row r="23">
          <cell r="B23">
            <v>40032959</v>
          </cell>
          <cell r="C23" t="str">
            <v>Expert crème Bur PO8 P240 W/O MRP-MT</v>
          </cell>
          <cell r="D23">
            <v>2695.6875</v>
          </cell>
          <cell r="E23">
            <v>0</v>
          </cell>
          <cell r="F23">
            <v>2695.6875</v>
          </cell>
        </row>
        <row r="24">
          <cell r="B24">
            <v>40060986</v>
          </cell>
          <cell r="C24" t="str">
            <v>AERPOWERPOCKTSEABREZE10G P120W/OMRPEXPNF</v>
          </cell>
          <cell r="D24">
            <v>2559.2916666666702</v>
          </cell>
          <cell r="E24">
            <v>0</v>
          </cell>
          <cell r="F24">
            <v>2559.2916666666702</v>
          </cell>
        </row>
        <row r="25">
          <cell r="B25">
            <v>40065336</v>
          </cell>
          <cell r="C25" t="str">
            <v>GK FLASHREFILL PO4 M365P60 EC RNF CAF RS</v>
          </cell>
          <cell r="D25">
            <v>2559</v>
          </cell>
          <cell r="E25">
            <v>0</v>
          </cell>
          <cell r="F25">
            <v>2559</v>
          </cell>
        </row>
        <row r="26">
          <cell r="B26">
            <v>40065338</v>
          </cell>
          <cell r="C26" t="str">
            <v>GK FLASHREFILL 45ML M95P240 RNF PCR ROI</v>
          </cell>
          <cell r="D26">
            <v>2550</v>
          </cell>
          <cell r="E26">
            <v>0</v>
          </cell>
          <cell r="F26">
            <v>2550</v>
          </cell>
        </row>
        <row r="27">
          <cell r="B27">
            <v>40064886</v>
          </cell>
          <cell r="C27" t="str">
            <v>EZEE 500G M140 P24 50 % PCR</v>
          </cell>
          <cell r="D27">
            <v>766.91666666666697</v>
          </cell>
          <cell r="E27">
            <v>1658</v>
          </cell>
          <cell r="F27">
            <v>2424.916666666667</v>
          </cell>
        </row>
        <row r="28">
          <cell r="B28">
            <v>40049865</v>
          </cell>
          <cell r="C28" t="str">
            <v>AerPwr Pockt BerryRush10g P120W/O MRPEXP</v>
          </cell>
          <cell r="D28">
            <v>967</v>
          </cell>
          <cell r="E28">
            <v>1307</v>
          </cell>
          <cell r="F28">
            <v>2274</v>
          </cell>
        </row>
        <row r="29">
          <cell r="B29">
            <v>40060738</v>
          </cell>
          <cell r="C29" t="str">
            <v>PA ASL GM 50ML (AUTOMIZER) G M135P18</v>
          </cell>
          <cell r="D29">
            <v>2269</v>
          </cell>
          <cell r="E29">
            <v>0</v>
          </cell>
          <cell r="F29">
            <v>2269</v>
          </cell>
        </row>
        <row r="30">
          <cell r="B30">
            <v>40061008</v>
          </cell>
          <cell r="C30" t="str">
            <v>AERPWRPOCKET LAV BLOOM10GP120W/OMRPEXPNF</v>
          </cell>
          <cell r="D30">
            <v>2157.35</v>
          </cell>
          <cell r="E30">
            <v>0</v>
          </cell>
          <cell r="F30">
            <v>2157.35</v>
          </cell>
        </row>
        <row r="31">
          <cell r="B31">
            <v>40066092</v>
          </cell>
          <cell r="C31" t="str">
            <v>PA ESSENTIAL GROOMING KIT M499 P6</v>
          </cell>
          <cell r="D31">
            <v>2147</v>
          </cell>
          <cell r="E31">
            <v>0</v>
          </cell>
          <cell r="F31">
            <v>2147</v>
          </cell>
        </row>
        <row r="32">
          <cell r="B32">
            <v>40050728</v>
          </cell>
          <cell r="C32" t="str">
            <v>*CIN SHAVING CREAM 20GLIME FRESH M27P72</v>
          </cell>
          <cell r="D32">
            <v>2141</v>
          </cell>
          <cell r="E32">
            <v>0</v>
          </cell>
          <cell r="F32">
            <v>2141</v>
          </cell>
        </row>
        <row r="33">
          <cell r="B33">
            <v>40065842</v>
          </cell>
          <cell r="C33" t="str">
            <v>CIN LIME BDWSH BTTLE 200ML M99P30 GT</v>
          </cell>
          <cell r="D33">
            <v>1458</v>
          </cell>
          <cell r="E33">
            <v>671</v>
          </cell>
          <cell r="F33">
            <v>2129</v>
          </cell>
        </row>
        <row r="34">
          <cell r="B34">
            <v>40065001</v>
          </cell>
          <cell r="C34" t="str">
            <v>SPIC TC 900 ML M149 P12</v>
          </cell>
          <cell r="D34">
            <v>2073</v>
          </cell>
          <cell r="E34">
            <v>0</v>
          </cell>
          <cell r="F34">
            <v>2073</v>
          </cell>
        </row>
        <row r="35">
          <cell r="B35">
            <v>40060030</v>
          </cell>
          <cell r="C35" t="str">
            <v>AER MATIC REFILL ALIVE 225ML M249P18</v>
          </cell>
          <cell r="D35">
            <v>2065</v>
          </cell>
          <cell r="E35">
            <v>0</v>
          </cell>
          <cell r="F35">
            <v>2065</v>
          </cell>
        </row>
        <row r="36">
          <cell r="B36">
            <v>40063689</v>
          </cell>
          <cell r="C36" t="str">
            <v>AER SPRAY MYSTIC MUSK 180ML M99P24</v>
          </cell>
          <cell r="D36">
            <v>2042</v>
          </cell>
          <cell r="E36">
            <v>0</v>
          </cell>
          <cell r="F36">
            <v>2042</v>
          </cell>
        </row>
        <row r="37">
          <cell r="B37">
            <v>40057928</v>
          </cell>
          <cell r="C37" t="str">
            <v>CIN COOL BDYWASH BOTTLE 200ML M120P30</v>
          </cell>
          <cell r="D37">
            <v>1445</v>
          </cell>
          <cell r="E37">
            <v>513</v>
          </cell>
          <cell r="F37">
            <v>1958</v>
          </cell>
        </row>
        <row r="38">
          <cell r="B38">
            <v>40061671</v>
          </cell>
          <cell r="C38" t="str">
            <v>PA NEO NEW AER 150ML M250 P48</v>
          </cell>
          <cell r="D38">
            <v>1955.0208333333301</v>
          </cell>
          <cell r="E38">
            <v>0</v>
          </cell>
          <cell r="F38">
            <v>1955.0208333333301</v>
          </cell>
        </row>
        <row r="39">
          <cell r="B39">
            <v>40062071</v>
          </cell>
          <cell r="C39" t="str">
            <v>GODREJ SHIKAKAI 75G M35 P160</v>
          </cell>
          <cell r="D39">
            <v>450</v>
          </cell>
          <cell r="E39">
            <v>1500</v>
          </cell>
          <cell r="F39">
            <v>1950</v>
          </cell>
        </row>
        <row r="40">
          <cell r="B40">
            <v>40062343</v>
          </cell>
          <cell r="C40" t="str">
            <v>KS10'S LONGLASTPLEA M150 P480 NEWAW</v>
          </cell>
          <cell r="D40">
            <v>1890</v>
          </cell>
          <cell r="E40">
            <v>0</v>
          </cell>
          <cell r="F40">
            <v>1890</v>
          </cell>
        </row>
        <row r="41">
          <cell r="B41">
            <v>40060777</v>
          </cell>
          <cell r="C41" t="str">
            <v>Muuchstac Ocean Facewash M897 PO3 P-33</v>
          </cell>
          <cell r="D41">
            <v>1869</v>
          </cell>
          <cell r="E41">
            <v>0</v>
          </cell>
          <cell r="F41">
            <v>1869</v>
          </cell>
        </row>
        <row r="42">
          <cell r="B42">
            <v>40049729</v>
          </cell>
          <cell r="C42" t="str">
            <v>AER SPRAY VIOLET VALLEY 220ml M99P24</v>
          </cell>
          <cell r="D42">
            <v>1831</v>
          </cell>
          <cell r="E42">
            <v>0</v>
          </cell>
          <cell r="F42">
            <v>1831</v>
          </cell>
        </row>
        <row r="43">
          <cell r="B43">
            <v>40050605</v>
          </cell>
          <cell r="C43" t="str">
            <v>HIT FIK 320ML M210.00 P50 0.18 CSD</v>
          </cell>
          <cell r="D43">
            <v>1793.9816000000001</v>
          </cell>
          <cell r="E43">
            <v>0</v>
          </cell>
          <cell r="F43">
            <v>1793.9816000000001</v>
          </cell>
        </row>
        <row r="44">
          <cell r="B44">
            <v>40057135</v>
          </cell>
          <cell r="C44" t="str">
            <v>GK FLASH REFILL 60ML M100 P120 RNF CSD</v>
          </cell>
          <cell r="D44">
            <v>1765</v>
          </cell>
          <cell r="E44">
            <v>0</v>
          </cell>
          <cell r="F44">
            <v>1765</v>
          </cell>
        </row>
        <row r="45">
          <cell r="B45">
            <v>40043571</v>
          </cell>
          <cell r="C45" t="str">
            <v>*PA SC CLASSIC 84G M75 P48</v>
          </cell>
          <cell r="D45">
            <v>1457</v>
          </cell>
          <cell r="E45">
            <v>291</v>
          </cell>
          <cell r="F45">
            <v>1748</v>
          </cell>
        </row>
        <row r="46">
          <cell r="B46">
            <v>40062858</v>
          </cell>
          <cell r="C46" t="str">
            <v>KS10'S DOTTED M100 P480 NEWAW</v>
          </cell>
          <cell r="D46">
            <v>1083</v>
          </cell>
          <cell r="E46">
            <v>656</v>
          </cell>
          <cell r="F46">
            <v>1739</v>
          </cell>
        </row>
        <row r="47">
          <cell r="B47">
            <v>40063021</v>
          </cell>
          <cell r="C47" t="str">
            <v>AERPWRPCKT LAV BLOOM 10G M70P120NP</v>
          </cell>
          <cell r="D47">
            <v>207</v>
          </cell>
          <cell r="E47">
            <v>1500</v>
          </cell>
          <cell r="F47">
            <v>1707</v>
          </cell>
        </row>
        <row r="48">
          <cell r="B48">
            <v>40064135</v>
          </cell>
          <cell r="C48" t="str">
            <v>AER O CARAMEL LATTE 7.5G P60 W/O M EXP</v>
          </cell>
          <cell r="D48">
            <v>899</v>
          </cell>
          <cell r="E48">
            <v>798</v>
          </cell>
          <cell r="F48">
            <v>1697</v>
          </cell>
        </row>
        <row r="49">
          <cell r="B49">
            <v>40060553</v>
          </cell>
          <cell r="C49" t="str">
            <v>AER SPRAYMORNING MISTY 220ML P15-WALMART</v>
          </cell>
          <cell r="D49">
            <v>1692</v>
          </cell>
          <cell r="E49">
            <v>0</v>
          </cell>
          <cell r="F49">
            <v>1692</v>
          </cell>
        </row>
        <row r="50">
          <cell r="B50">
            <v>40060555</v>
          </cell>
          <cell r="C50" t="str">
            <v>AER SPRAY VIOLET VALLEY 220ML P15WALMART</v>
          </cell>
          <cell r="D50">
            <v>1684</v>
          </cell>
          <cell r="E50">
            <v>0</v>
          </cell>
          <cell r="F50">
            <v>1684</v>
          </cell>
        </row>
        <row r="51">
          <cell r="B51">
            <v>40063025</v>
          </cell>
          <cell r="C51" t="str">
            <v>AERPWRPCKT JASFLORDELI 10G M70P120 NF</v>
          </cell>
          <cell r="D51">
            <v>556</v>
          </cell>
          <cell r="E51">
            <v>1100</v>
          </cell>
          <cell r="F51">
            <v>1656</v>
          </cell>
        </row>
        <row r="52">
          <cell r="B52">
            <v>40060551</v>
          </cell>
          <cell r="C52" t="str">
            <v>AER SPRAY COOL SURFBLUE 220MLP15-WALMART</v>
          </cell>
          <cell r="D52">
            <v>1635</v>
          </cell>
          <cell r="E52">
            <v>0</v>
          </cell>
          <cell r="F52">
            <v>1635</v>
          </cell>
        </row>
        <row r="53">
          <cell r="B53">
            <v>40061053</v>
          </cell>
          <cell r="C53" t="str">
            <v>AERPCKTSEABREEZE 10GP120ARABIC AW-EXP-NF</v>
          </cell>
          <cell r="D53">
            <v>1619</v>
          </cell>
          <cell r="E53">
            <v>0</v>
          </cell>
          <cell r="F53">
            <v>1619</v>
          </cell>
        </row>
        <row r="54">
          <cell r="B54">
            <v>40061055</v>
          </cell>
          <cell r="C54" t="str">
            <v>AER POCKTJASFLRDLI10GP120ARABICAW-EXP-NF</v>
          </cell>
          <cell r="D54">
            <v>1573.8916666666701</v>
          </cell>
          <cell r="E54">
            <v>0</v>
          </cell>
          <cell r="F54">
            <v>1573.8916666666701</v>
          </cell>
        </row>
        <row r="55">
          <cell r="B55">
            <v>40062000</v>
          </cell>
          <cell r="C55" t="str">
            <v>KS SPARK 45ML DEO SHOT M80 P144 GCPL NFR</v>
          </cell>
          <cell r="D55">
            <v>1544.9998888888899</v>
          </cell>
          <cell r="E55">
            <v>0</v>
          </cell>
          <cell r="F55">
            <v>1544.9998888888899</v>
          </cell>
        </row>
        <row r="56">
          <cell r="B56">
            <v>40060029</v>
          </cell>
          <cell r="C56" t="str">
            <v>AER MATIC SPRAY REFILL FLG 210ML M249P18</v>
          </cell>
          <cell r="D56">
            <v>1528</v>
          </cell>
          <cell r="E56">
            <v>0</v>
          </cell>
          <cell r="F56">
            <v>1528</v>
          </cell>
        </row>
        <row r="57">
          <cell r="B57">
            <v>40061051</v>
          </cell>
          <cell r="C57" t="str">
            <v>AERPWRPOCKT BERYRUSH10GP120-ARABICNFGGME</v>
          </cell>
          <cell r="D57">
            <v>1491.69133333333</v>
          </cell>
          <cell r="E57">
            <v>0</v>
          </cell>
          <cell r="F57">
            <v>1491.69133333333</v>
          </cell>
        </row>
        <row r="58">
          <cell r="B58">
            <v>40061009</v>
          </cell>
          <cell r="C58" t="str">
            <v>AERPWRPOCKTJASFLRDELI10G P120W/OMRPEXPNF</v>
          </cell>
          <cell r="D58">
            <v>1488.05</v>
          </cell>
          <cell r="E58">
            <v>0</v>
          </cell>
          <cell r="F58">
            <v>1488.05</v>
          </cell>
        </row>
        <row r="59">
          <cell r="B59">
            <v>40024294</v>
          </cell>
          <cell r="C59" t="str">
            <v xml:space="preserve"> PHD 9G NAT. BLACK 4 LANG. PK72 - HAITI</v>
          </cell>
          <cell r="D59">
            <v>1450</v>
          </cell>
          <cell r="E59">
            <v>0</v>
          </cell>
          <cell r="F59">
            <v>1450</v>
          </cell>
        </row>
        <row r="60">
          <cell r="B60">
            <v>40062523</v>
          </cell>
          <cell r="C60" t="str">
            <v>KS10'S STRAWBERRYFLV M100 P480 NEWAW</v>
          </cell>
          <cell r="D60">
            <v>1438</v>
          </cell>
          <cell r="E60">
            <v>0</v>
          </cell>
          <cell r="F60">
            <v>1438</v>
          </cell>
        </row>
        <row r="61">
          <cell r="B61">
            <v>40064380</v>
          </cell>
          <cell r="C61" t="str">
            <v>HIT CIK 225ML P60 N A/W M-LKR 750 SL</v>
          </cell>
          <cell r="D61">
            <v>1436</v>
          </cell>
          <cell r="E61">
            <v>0</v>
          </cell>
          <cell r="F61">
            <v>1436</v>
          </cell>
        </row>
        <row r="62">
          <cell r="B62">
            <v>40063020</v>
          </cell>
          <cell r="C62" t="str">
            <v>AERPWRPCKT ROSEFRBLOSSM 10G M70P120NP NF</v>
          </cell>
          <cell r="D62">
            <v>729</v>
          </cell>
          <cell r="E62">
            <v>700</v>
          </cell>
          <cell r="F62">
            <v>1429</v>
          </cell>
        </row>
        <row r="63">
          <cell r="B63">
            <v>40061049</v>
          </cell>
          <cell r="C63" t="str">
            <v>AER PWRPOCKTRSEFRBLOSM10GP120-ARABICNF</v>
          </cell>
          <cell r="D63">
            <v>1429</v>
          </cell>
          <cell r="E63">
            <v>0</v>
          </cell>
          <cell r="F63">
            <v>1429</v>
          </cell>
        </row>
        <row r="64">
          <cell r="B64">
            <v>40061010</v>
          </cell>
          <cell r="C64" t="str">
            <v>AERPWR POCKT BERRYRUSH10GP120W/OMRPEXPNF</v>
          </cell>
          <cell r="D64">
            <v>1398.3</v>
          </cell>
          <cell r="E64">
            <v>0</v>
          </cell>
          <cell r="F64">
            <v>1398.3</v>
          </cell>
        </row>
        <row r="65">
          <cell r="B65">
            <v>40063026</v>
          </cell>
          <cell r="C65" t="str">
            <v>AERPOWERPOCKET SEABREEZE 10G M70P120 NEW</v>
          </cell>
          <cell r="D65">
            <v>1398</v>
          </cell>
          <cell r="E65">
            <v>0</v>
          </cell>
          <cell r="F65">
            <v>1398</v>
          </cell>
        </row>
        <row r="66">
          <cell r="B66">
            <v>40028299</v>
          </cell>
          <cell r="C66" t="str">
            <v>Aer clickgel FrshLushGrnBlister P18 GCC</v>
          </cell>
          <cell r="D66">
            <v>1386</v>
          </cell>
          <cell r="E66">
            <v>0</v>
          </cell>
          <cell r="F66">
            <v>1386</v>
          </cell>
        </row>
        <row r="67">
          <cell r="B67">
            <v>40062524</v>
          </cell>
          <cell r="C67" t="str">
            <v>KS10'S CHOCOLATE FLV M100 P480 NEWAW</v>
          </cell>
          <cell r="D67">
            <v>1379</v>
          </cell>
          <cell r="E67">
            <v>0</v>
          </cell>
          <cell r="F67">
            <v>1379</v>
          </cell>
        </row>
        <row r="68">
          <cell r="B68">
            <v>40063781</v>
          </cell>
          <cell r="C68" t="str">
            <v>CIN LIME 75G PO4M110 P50ROI RSTRD</v>
          </cell>
          <cell r="D68">
            <v>569.72</v>
          </cell>
          <cell r="E68">
            <v>790</v>
          </cell>
          <cell r="F68">
            <v>1359.72</v>
          </cell>
        </row>
        <row r="69">
          <cell r="B69">
            <v>40043812</v>
          </cell>
          <cell r="C69" t="str">
            <v>AER O muskaftsmoke 7.5gPO60GGMEW/OMRP</v>
          </cell>
          <cell r="D69">
            <v>361</v>
          </cell>
          <cell r="E69">
            <v>979</v>
          </cell>
          <cell r="F69">
            <v>1340</v>
          </cell>
        </row>
        <row r="70">
          <cell r="B70">
            <v>40033886</v>
          </cell>
          <cell r="C70" t="str">
            <v>AER SPRAY CSB 300ML P24 W/O MRP-EXP</v>
          </cell>
          <cell r="D70">
            <v>1334.6666666666699</v>
          </cell>
          <cell r="E70">
            <v>0</v>
          </cell>
          <cell r="F70">
            <v>1334.6666666666699</v>
          </cell>
        </row>
        <row r="71">
          <cell r="B71">
            <v>40036557</v>
          </cell>
          <cell r="C71" t="str">
            <v>*No1Kesar&amp;MilkCrm100gB3G1M114PK36-CSD</v>
          </cell>
          <cell r="D71">
            <v>1330.00033333333</v>
          </cell>
          <cell r="E71">
            <v>0</v>
          </cell>
          <cell r="F71">
            <v>1330.00033333333</v>
          </cell>
        </row>
        <row r="72">
          <cell r="B72">
            <v>40062336</v>
          </cell>
          <cell r="C72" t="str">
            <v>KS3'S STRAWBERRYFLV M30 P1440 INCR NEWAW</v>
          </cell>
          <cell r="D72">
            <v>1282</v>
          </cell>
          <cell r="E72">
            <v>0</v>
          </cell>
          <cell r="F72">
            <v>1282</v>
          </cell>
        </row>
        <row r="73">
          <cell r="B73">
            <v>40056925</v>
          </cell>
          <cell r="C73" t="str">
            <v>AER O ASSORTEDPO3 22.5G P20 W/O MRP GGME</v>
          </cell>
          <cell r="D73">
            <v>0</v>
          </cell>
          <cell r="E73">
            <v>1269</v>
          </cell>
          <cell r="F73">
            <v>1269</v>
          </cell>
        </row>
        <row r="74">
          <cell r="B74">
            <v>40057243</v>
          </cell>
          <cell r="C74" t="str">
            <v>PA EDP OUD 100ML M599 P12 MT</v>
          </cell>
          <cell r="D74">
            <v>1268.9994999999999</v>
          </cell>
          <cell r="E74">
            <v>0</v>
          </cell>
          <cell r="F74">
            <v>1268.9994999999999</v>
          </cell>
        </row>
        <row r="75">
          <cell r="B75">
            <v>40062024</v>
          </cell>
          <cell r="C75" t="str">
            <v>EXPCRM 11G NAT BRWN M15 P240 ND</v>
          </cell>
          <cell r="D75">
            <v>1231.00416666667</v>
          </cell>
          <cell r="E75">
            <v>0</v>
          </cell>
          <cell r="F75">
            <v>1231.00416666667</v>
          </cell>
        </row>
        <row r="76">
          <cell r="B76">
            <v>40061052</v>
          </cell>
          <cell r="C76" t="str">
            <v>AERPKTLMNTNGYDLGHT 10GP120ARABICAW-EXPNF</v>
          </cell>
          <cell r="D76">
            <v>1219</v>
          </cell>
          <cell r="E76">
            <v>0</v>
          </cell>
          <cell r="F76">
            <v>1219</v>
          </cell>
        </row>
        <row r="77">
          <cell r="B77">
            <v>40059178</v>
          </cell>
          <cell r="C77" t="str">
            <v>NUPUR PURE HEENA 1KG P12 -USA</v>
          </cell>
          <cell r="D77">
            <v>1200</v>
          </cell>
          <cell r="E77">
            <v>0</v>
          </cell>
          <cell r="F77">
            <v>1200</v>
          </cell>
        </row>
        <row r="78">
          <cell r="B78">
            <v>40060985</v>
          </cell>
          <cell r="C78" t="str">
            <v>AERPOWERPOCKETSEABREEZEP120-LATAMEXP-NF</v>
          </cell>
          <cell r="D78">
            <v>1170.6416666666701</v>
          </cell>
          <cell r="E78">
            <v>0</v>
          </cell>
          <cell r="F78">
            <v>1170.6416666666701</v>
          </cell>
        </row>
        <row r="79">
          <cell r="B79">
            <v>40061668</v>
          </cell>
          <cell r="C79" t="str">
            <v>PA GM NEW AER 150ML M225 P48</v>
          </cell>
          <cell r="D79">
            <v>1166.9583333333301</v>
          </cell>
          <cell r="E79">
            <v>0</v>
          </cell>
          <cell r="F79">
            <v>1166.9583333333301</v>
          </cell>
        </row>
        <row r="80">
          <cell r="B80">
            <v>40050608</v>
          </cell>
          <cell r="C80" t="str">
            <v>HIT CIK 320ML M210.00 P50 0.18 CSD</v>
          </cell>
          <cell r="D80">
            <v>1151.02</v>
          </cell>
          <cell r="E80">
            <v>0</v>
          </cell>
          <cell r="F80">
            <v>1151.02</v>
          </cell>
        </row>
        <row r="81">
          <cell r="B81">
            <v>40043584</v>
          </cell>
          <cell r="C81" t="str">
            <v>*PA SC GOOD MORNING 84G M75 P48</v>
          </cell>
          <cell r="D81">
            <v>917</v>
          </cell>
          <cell r="E81">
            <v>228</v>
          </cell>
          <cell r="F81">
            <v>1145</v>
          </cell>
        </row>
        <row r="82">
          <cell r="B82">
            <v>40065236</v>
          </cell>
          <cell r="C82" t="str">
            <v>GODREJ RIZZ DISHWASH 250ML M45 P48 GT</v>
          </cell>
          <cell r="D82">
            <v>1123</v>
          </cell>
          <cell r="E82">
            <v>0</v>
          </cell>
          <cell r="F82">
            <v>1123</v>
          </cell>
        </row>
        <row r="83">
          <cell r="B83">
            <v>40065953</v>
          </cell>
          <cell r="C83" t="str">
            <v>HIT GLUE PAD 50G M130 P50 OT</v>
          </cell>
          <cell r="D83">
            <v>1085</v>
          </cell>
          <cell r="E83">
            <v>0</v>
          </cell>
          <cell r="F83">
            <v>1085</v>
          </cell>
        </row>
        <row r="84">
          <cell r="B84">
            <v>40032961</v>
          </cell>
          <cell r="C84" t="str">
            <v>Expert crème Nt Blk PO8 P240 W/O MRP-MT</v>
          </cell>
          <cell r="D84">
            <v>1084.7666666666701</v>
          </cell>
          <cell r="E84">
            <v>0</v>
          </cell>
          <cell r="F84">
            <v>1084.7666666666701</v>
          </cell>
        </row>
        <row r="85">
          <cell r="B85">
            <v>40062349</v>
          </cell>
          <cell r="C85" t="str">
            <v>KS3'S DOTTED M30 P1440 INCR NEWAW</v>
          </cell>
          <cell r="D85">
            <v>880</v>
          </cell>
          <cell r="E85">
            <v>184</v>
          </cell>
          <cell r="F85">
            <v>1064</v>
          </cell>
        </row>
        <row r="86">
          <cell r="B86">
            <v>40063018</v>
          </cell>
          <cell r="C86" t="str">
            <v>AERPOWERPOCKET BERRYRUSH 10G M70P120 NF</v>
          </cell>
          <cell r="D86">
            <v>848</v>
          </cell>
          <cell r="E86">
            <v>213</v>
          </cell>
          <cell r="F86">
            <v>1061</v>
          </cell>
        </row>
        <row r="87">
          <cell r="B87">
            <v>40041526</v>
          </cell>
          <cell r="C87" t="str">
            <v>AER SPRAY FRESHLUSHGREEN220ml M169P24new</v>
          </cell>
          <cell r="D87">
            <v>1052.0407499999999</v>
          </cell>
          <cell r="E87">
            <v>0</v>
          </cell>
          <cell r="F87">
            <v>1052.0407499999999</v>
          </cell>
        </row>
        <row r="88">
          <cell r="B88">
            <v>40063615</v>
          </cell>
          <cell r="C88" t="str">
            <v>AER MATIC CMBI LAV BLM  210ML P6 M599 NF</v>
          </cell>
          <cell r="D88">
            <v>1050</v>
          </cell>
          <cell r="E88">
            <v>0</v>
          </cell>
          <cell r="F88">
            <v>1050</v>
          </cell>
        </row>
        <row r="89">
          <cell r="B89">
            <v>40049658</v>
          </cell>
          <cell r="C89" t="str">
            <v>Cin Org Bdywash Bottle 200ml M120 P30</v>
          </cell>
          <cell r="D89">
            <v>1044</v>
          </cell>
          <cell r="E89">
            <v>0</v>
          </cell>
          <cell r="F89">
            <v>1044</v>
          </cell>
        </row>
        <row r="90">
          <cell r="B90">
            <v>40041514</v>
          </cell>
          <cell r="C90" t="str">
            <v>AER SPRAY COOLSURFBLUE 220ml M169P24 new</v>
          </cell>
          <cell r="D90">
            <v>1033</v>
          </cell>
          <cell r="E90">
            <v>0</v>
          </cell>
          <cell r="F90">
            <v>1033</v>
          </cell>
        </row>
        <row r="91">
          <cell r="B91">
            <v>40065337</v>
          </cell>
          <cell r="C91" t="str">
            <v>GK FLSHLAVREF PO2M185P120MTRNF NWART PCR</v>
          </cell>
          <cell r="D91">
            <v>1014</v>
          </cell>
          <cell r="E91">
            <v>0</v>
          </cell>
          <cell r="F91">
            <v>1014</v>
          </cell>
        </row>
        <row r="92">
          <cell r="B92">
            <v>40062334</v>
          </cell>
          <cell r="C92" t="str">
            <v>KS3S CHOCOLATEFLV M30 P1440 INCRSD NEWAW</v>
          </cell>
          <cell r="D92">
            <v>994</v>
          </cell>
          <cell r="E92">
            <v>5</v>
          </cell>
          <cell r="F92">
            <v>999</v>
          </cell>
        </row>
        <row r="93">
          <cell r="B93">
            <v>40050411</v>
          </cell>
          <cell r="C93" t="str">
            <v>HIT ANTI ROACH M199.00 P30</v>
          </cell>
          <cell r="D93">
            <v>994.00633333333303</v>
          </cell>
          <cell r="E93">
            <v>0</v>
          </cell>
          <cell r="F93">
            <v>994.00633333333303</v>
          </cell>
        </row>
        <row r="94">
          <cell r="B94">
            <v>40065348</v>
          </cell>
          <cell r="C94" t="str">
            <v>GK FLASH REFILL 60ML M120 P120 RNF</v>
          </cell>
          <cell r="D94">
            <v>942</v>
          </cell>
          <cell r="E94">
            <v>35</v>
          </cell>
          <cell r="F94">
            <v>977</v>
          </cell>
        </row>
        <row r="95">
          <cell r="B95">
            <v>40060914</v>
          </cell>
          <cell r="C95" t="str">
            <v>NO1 SAN TUR 150G PO4 M190P24MT ND RSTRD</v>
          </cell>
          <cell r="D95">
            <v>970</v>
          </cell>
          <cell r="E95">
            <v>0</v>
          </cell>
          <cell r="F95">
            <v>970</v>
          </cell>
        </row>
        <row r="96">
          <cell r="B96">
            <v>40063489</v>
          </cell>
          <cell r="C96" t="str">
            <v>HIT FIK 625ML M350P25 .18MM 28% MFT NEW</v>
          </cell>
          <cell r="D96">
            <v>949</v>
          </cell>
          <cell r="E96">
            <v>0</v>
          </cell>
          <cell r="F96">
            <v>949</v>
          </cell>
        </row>
        <row r="97">
          <cell r="B97">
            <v>40060970</v>
          </cell>
          <cell r="C97" t="str">
            <v>AERPWRPCKTJASFLORALDLGHTP120-LATAMEXP-NF</v>
          </cell>
          <cell r="D97">
            <v>941</v>
          </cell>
          <cell r="E97">
            <v>0</v>
          </cell>
          <cell r="F97">
            <v>941</v>
          </cell>
        </row>
        <row r="98">
          <cell r="B98">
            <v>40065345</v>
          </cell>
          <cell r="C98" t="str">
            <v>GK FLASH REFILL PO2M185 P120 RNF PCR ROI</v>
          </cell>
          <cell r="D98">
            <v>514</v>
          </cell>
          <cell r="E98">
            <v>422</v>
          </cell>
          <cell r="F98">
            <v>936</v>
          </cell>
        </row>
        <row r="99">
          <cell r="B99">
            <v>40057021</v>
          </cell>
          <cell r="C99" t="str">
            <v>GODREJ FAB 1LTR POUCH P12 W/O MRP-GGME</v>
          </cell>
          <cell r="D99">
            <v>150.833333333333</v>
          </cell>
          <cell r="E99">
            <v>771</v>
          </cell>
          <cell r="F99">
            <v>921.83333333333303</v>
          </cell>
        </row>
        <row r="100">
          <cell r="B100">
            <v>40063179</v>
          </cell>
          <cell r="C100" t="str">
            <v>EXPCRM 20G+20G+2ML P010 NBLK P240 M40 ND</v>
          </cell>
          <cell r="D100">
            <v>56</v>
          </cell>
          <cell r="E100">
            <v>800</v>
          </cell>
          <cell r="F100">
            <v>856</v>
          </cell>
        </row>
        <row r="101">
          <cell r="B101">
            <v>40064685</v>
          </cell>
          <cell r="C101" t="str">
            <v>HIT CIK 125ML M80 P90X</v>
          </cell>
          <cell r="D101">
            <v>850.73288888888897</v>
          </cell>
          <cell r="E101">
            <v>0</v>
          </cell>
          <cell r="F101">
            <v>850.73288888888897</v>
          </cell>
        </row>
        <row r="102">
          <cell r="B102">
            <v>40065287</v>
          </cell>
          <cell r="C102" t="str">
            <v>MUUCHSTAC OCEAN FWASH M325 PO2 P50 MT</v>
          </cell>
          <cell r="D102">
            <v>846</v>
          </cell>
          <cell r="E102">
            <v>0</v>
          </cell>
          <cell r="F102">
            <v>846</v>
          </cell>
        </row>
        <row r="103">
          <cell r="B103">
            <v>40060737</v>
          </cell>
          <cell r="C103" t="str">
            <v>PA ASL GM 45ML TRAVEL PACK G M85P72</v>
          </cell>
          <cell r="D103">
            <v>511</v>
          </cell>
          <cell r="E103">
            <v>317</v>
          </cell>
          <cell r="F103">
            <v>828</v>
          </cell>
        </row>
        <row r="104">
          <cell r="B104">
            <v>40065000</v>
          </cell>
          <cell r="C104" t="str">
            <v>GODMAGIC RTM HW LIME 9G M110P40 (11+1)</v>
          </cell>
          <cell r="D104">
            <v>825</v>
          </cell>
          <cell r="E104">
            <v>0</v>
          </cell>
          <cell r="F104">
            <v>825</v>
          </cell>
        </row>
        <row r="105">
          <cell r="B105">
            <v>40064535</v>
          </cell>
          <cell r="C105" t="str">
            <v>PRT GRMFIGHT REF HW AQUA1500ML M199P6 NF</v>
          </cell>
          <cell r="D105">
            <v>807.5</v>
          </cell>
          <cell r="E105">
            <v>0</v>
          </cell>
          <cell r="F105">
            <v>807.5</v>
          </cell>
        </row>
        <row r="106">
          <cell r="B106">
            <v>40064683</v>
          </cell>
          <cell r="C106" t="str">
            <v>GODREJ ZAP 800 ML M209 P12 ECOMM</v>
          </cell>
          <cell r="D106">
            <v>777</v>
          </cell>
          <cell r="E106">
            <v>0</v>
          </cell>
          <cell r="F106">
            <v>777</v>
          </cell>
        </row>
        <row r="107">
          <cell r="B107">
            <v>40063637</v>
          </cell>
          <cell r="C107" t="str">
            <v>EXPCRM 11G BURGUNDY M15 P240 ND</v>
          </cell>
          <cell r="D107">
            <v>774</v>
          </cell>
          <cell r="E107">
            <v>0</v>
          </cell>
          <cell r="F107">
            <v>774</v>
          </cell>
        </row>
        <row r="108">
          <cell r="B108">
            <v>40000257</v>
          </cell>
          <cell r="C108" t="str">
            <v>CINTHOL DEO SPORT SOAP 125G 72 P EXPORT</v>
          </cell>
          <cell r="D108">
            <v>773.54166666666697</v>
          </cell>
          <cell r="E108">
            <v>0</v>
          </cell>
          <cell r="F108">
            <v>773.54166666666697</v>
          </cell>
        </row>
        <row r="109">
          <cell r="B109">
            <v>40033879</v>
          </cell>
          <cell r="C109" t="str">
            <v>AERSPRAYVIOLETVALLY300ML P24 W/O MRP-EXP</v>
          </cell>
          <cell r="D109">
            <v>770.29166666666697</v>
          </cell>
          <cell r="E109">
            <v>0</v>
          </cell>
          <cell r="F109">
            <v>770.29166666666697</v>
          </cell>
        </row>
        <row r="110">
          <cell r="B110">
            <v>40062536</v>
          </cell>
          <cell r="C110" t="str">
            <v>KS20'S DOTTED M200 P480 NEW AW</v>
          </cell>
          <cell r="D110">
            <v>768</v>
          </cell>
          <cell r="E110">
            <v>0</v>
          </cell>
          <cell r="F110">
            <v>768</v>
          </cell>
        </row>
        <row r="111">
          <cell r="B111">
            <v>40060975</v>
          </cell>
          <cell r="C111" t="str">
            <v>AER POWER POCKET PO5 P24 GGME W/O MRP NF</v>
          </cell>
          <cell r="D111">
            <v>764</v>
          </cell>
          <cell r="E111">
            <v>0</v>
          </cell>
          <cell r="F111">
            <v>764</v>
          </cell>
        </row>
        <row r="112">
          <cell r="B112">
            <v>40043811</v>
          </cell>
          <cell r="C112" t="str">
            <v>AER O Roseblossom 7.5g PO60GGMEW/OMRP</v>
          </cell>
          <cell r="D112">
            <v>756</v>
          </cell>
          <cell r="E112">
            <v>0</v>
          </cell>
          <cell r="F112">
            <v>756</v>
          </cell>
        </row>
        <row r="113">
          <cell r="B113">
            <v>40060974</v>
          </cell>
          <cell r="C113" t="str">
            <v>AERPOWERPCKT ASRTEDPO3P36-GGME W/OMRP NF</v>
          </cell>
          <cell r="D113">
            <v>735</v>
          </cell>
          <cell r="E113">
            <v>0</v>
          </cell>
          <cell r="F113">
            <v>735</v>
          </cell>
        </row>
        <row r="114">
          <cell r="B114">
            <v>40060449</v>
          </cell>
          <cell r="C114" t="str">
            <v>CIN SANDAL BDYWASH BOTTLE 200ML M120P30</v>
          </cell>
          <cell r="D114">
            <v>728</v>
          </cell>
          <cell r="E114">
            <v>0</v>
          </cell>
          <cell r="F114">
            <v>728</v>
          </cell>
        </row>
        <row r="115">
          <cell r="B115">
            <v>40033885</v>
          </cell>
          <cell r="C115" t="str">
            <v>AER SPRAY FLG 300ML P24 W/O MRP-EXP</v>
          </cell>
          <cell r="D115">
            <v>720</v>
          </cell>
          <cell r="E115">
            <v>0</v>
          </cell>
          <cell r="F115">
            <v>720</v>
          </cell>
        </row>
        <row r="116">
          <cell r="B116">
            <v>40057765</v>
          </cell>
          <cell r="C116" t="str">
            <v>CIN ORG100G PO4  NEW W/O MRP P36 EXP</v>
          </cell>
          <cell r="D116">
            <v>717</v>
          </cell>
          <cell r="E116">
            <v>0</v>
          </cell>
          <cell r="F116">
            <v>717</v>
          </cell>
        </row>
        <row r="117">
          <cell r="B117">
            <v>40064088</v>
          </cell>
          <cell r="C117" t="str">
            <v>PA NEO REFRESH 150ML B1G1 M250 P24</v>
          </cell>
          <cell r="D117">
            <v>716</v>
          </cell>
          <cell r="E117">
            <v>0</v>
          </cell>
          <cell r="F117">
            <v>716</v>
          </cell>
        </row>
        <row r="118">
          <cell r="B118">
            <v>40001621</v>
          </cell>
          <cell r="C118" t="str">
            <v>PHD10G EXPERTx10G 72 BOTTLES 30.00 EX</v>
          </cell>
          <cell r="D118">
            <v>710.91711111111101</v>
          </cell>
          <cell r="E118">
            <v>0</v>
          </cell>
          <cell r="F118">
            <v>710.91711111111101</v>
          </cell>
        </row>
        <row r="119">
          <cell r="B119">
            <v>40060775</v>
          </cell>
          <cell r="C119" t="str">
            <v>Muuchstac Ocean Facewash M299 PO1 P-100</v>
          </cell>
          <cell r="D119">
            <v>710</v>
          </cell>
          <cell r="E119">
            <v>0</v>
          </cell>
          <cell r="F119">
            <v>710</v>
          </cell>
        </row>
        <row r="120">
          <cell r="B120">
            <v>40065352</v>
          </cell>
          <cell r="C120" t="str">
            <v>GK REFACTIV+PO4 M365P60 RNF NEW ART PCR</v>
          </cell>
          <cell r="D120">
            <v>707</v>
          </cell>
          <cell r="E120">
            <v>0</v>
          </cell>
          <cell r="F120">
            <v>707</v>
          </cell>
        </row>
        <row r="121">
          <cell r="B121">
            <v>40036565</v>
          </cell>
          <cell r="C121" t="str">
            <v>*No1 Jasmine 100g B3G1 M114 PK36 CSD</v>
          </cell>
          <cell r="D121">
            <v>701</v>
          </cell>
          <cell r="E121">
            <v>0</v>
          </cell>
          <cell r="F121">
            <v>701</v>
          </cell>
        </row>
        <row r="122">
          <cell r="B122">
            <v>40049906</v>
          </cell>
          <cell r="C122" t="str">
            <v>PA AMAZONWOODS 120ML M349 P24 GCPL</v>
          </cell>
          <cell r="D122">
            <v>497</v>
          </cell>
          <cell r="E122">
            <v>200</v>
          </cell>
          <cell r="F122">
            <v>697</v>
          </cell>
        </row>
        <row r="123">
          <cell r="B123">
            <v>40065374</v>
          </cell>
          <cell r="C123" t="str">
            <v>GODREJ FAB 65G SACHET M10P96 OFF NF</v>
          </cell>
          <cell r="D123">
            <v>692</v>
          </cell>
          <cell r="E123">
            <v>0</v>
          </cell>
          <cell r="F123">
            <v>692</v>
          </cell>
        </row>
        <row r="124">
          <cell r="B124">
            <v>40060554</v>
          </cell>
          <cell r="C124" t="str">
            <v>AER SPRAY MUSKAFTERSMOKE 220MLP15WALMART</v>
          </cell>
          <cell r="D124">
            <v>683</v>
          </cell>
          <cell r="E124">
            <v>0</v>
          </cell>
          <cell r="F124">
            <v>683</v>
          </cell>
        </row>
        <row r="125">
          <cell r="B125">
            <v>40060034</v>
          </cell>
          <cell r="C125" t="str">
            <v>AER MATIC SPRY RFILL VVB 210ML M249P18NF</v>
          </cell>
          <cell r="D125">
            <v>679.33333333333303</v>
          </cell>
          <cell r="E125">
            <v>0</v>
          </cell>
          <cell r="F125">
            <v>679.33333333333303</v>
          </cell>
        </row>
        <row r="126">
          <cell r="B126">
            <v>40059656</v>
          </cell>
          <cell r="C126" t="str">
            <v>KS SPARK POCKET 18ML M70 P160 GCPL</v>
          </cell>
          <cell r="D126">
            <v>676.00025000000005</v>
          </cell>
          <cell r="E126">
            <v>0</v>
          </cell>
          <cell r="F126">
            <v>676.00025000000005</v>
          </cell>
        </row>
        <row r="127">
          <cell r="B127">
            <v>40065039</v>
          </cell>
          <cell r="C127" t="str">
            <v>CIN ORG100G PO4 M175 P36 NEW MT</v>
          </cell>
          <cell r="D127">
            <v>0</v>
          </cell>
          <cell r="E127">
            <v>674</v>
          </cell>
          <cell r="F127">
            <v>674</v>
          </cell>
        </row>
        <row r="128">
          <cell r="B128">
            <v>40028280</v>
          </cell>
          <cell r="C128" t="str">
            <v>Aer clickgel CoolBlue Blister P18 GCC</v>
          </cell>
          <cell r="D128">
            <v>669</v>
          </cell>
          <cell r="E128">
            <v>0</v>
          </cell>
          <cell r="F128">
            <v>669</v>
          </cell>
        </row>
        <row r="129">
          <cell r="B129">
            <v>40064913</v>
          </cell>
          <cell r="C129" t="str">
            <v>HIT RAT GLUE 25G M65 P100 BLUE ART</v>
          </cell>
          <cell r="D129">
            <v>665</v>
          </cell>
          <cell r="E129">
            <v>0</v>
          </cell>
          <cell r="F129">
            <v>665</v>
          </cell>
        </row>
        <row r="130">
          <cell r="B130">
            <v>40059764</v>
          </cell>
          <cell r="C130" t="str">
            <v>HIT RATREP M450 P12</v>
          </cell>
          <cell r="D130">
            <v>664</v>
          </cell>
          <cell r="E130">
            <v>0</v>
          </cell>
          <cell r="F130">
            <v>664</v>
          </cell>
        </row>
        <row r="131">
          <cell r="B131">
            <v>40060549</v>
          </cell>
          <cell r="C131" t="str">
            <v>AER SPRAY FRESHLUSHGREEN 220MLP15WALMART</v>
          </cell>
          <cell r="D131">
            <v>664</v>
          </cell>
          <cell r="E131">
            <v>0</v>
          </cell>
          <cell r="F131">
            <v>664</v>
          </cell>
        </row>
        <row r="132">
          <cell r="B132">
            <v>40063144</v>
          </cell>
          <cell r="C132" t="str">
            <v>PA RAZOR APACHE 4 - FRC100 M150 P240</v>
          </cell>
          <cell r="D132">
            <v>660.66666666666697</v>
          </cell>
          <cell r="E132">
            <v>0</v>
          </cell>
          <cell r="F132">
            <v>660.66666666666697</v>
          </cell>
        </row>
        <row r="133">
          <cell r="B133">
            <v>40062347</v>
          </cell>
          <cell r="C133" t="str">
            <v>SPIC TC 1L M189 P12</v>
          </cell>
          <cell r="D133">
            <v>654</v>
          </cell>
          <cell r="E133">
            <v>0</v>
          </cell>
          <cell r="F133">
            <v>654</v>
          </cell>
        </row>
        <row r="134">
          <cell r="B134">
            <v>40064841</v>
          </cell>
          <cell r="C134" t="str">
            <v>CIN ASSORTED 150G PO5 M350 P12 MT RSTRD</v>
          </cell>
          <cell r="D134">
            <v>650</v>
          </cell>
          <cell r="E134">
            <v>0</v>
          </cell>
          <cell r="F134">
            <v>650</v>
          </cell>
        </row>
        <row r="135">
          <cell r="B135">
            <v>40064534</v>
          </cell>
          <cell r="C135" t="str">
            <v>SPIC TC 525 ML P24 Nigeria</v>
          </cell>
          <cell r="D135">
            <v>645</v>
          </cell>
          <cell r="E135">
            <v>0</v>
          </cell>
          <cell r="F135">
            <v>645</v>
          </cell>
        </row>
        <row r="136">
          <cell r="B136">
            <v>40049949</v>
          </cell>
          <cell r="C136" t="str">
            <v>PA SIGNATURE COLLECTION KIT M899P6</v>
          </cell>
          <cell r="D136">
            <v>625</v>
          </cell>
          <cell r="E136">
            <v>0</v>
          </cell>
          <cell r="F136">
            <v>625</v>
          </cell>
        </row>
        <row r="137">
          <cell r="B137">
            <v>40063481</v>
          </cell>
          <cell r="C137" t="str">
            <v>HIT FIK LIME 200ML M160P60 0.18 MFT RH</v>
          </cell>
          <cell r="D137">
            <v>621</v>
          </cell>
          <cell r="E137">
            <v>0</v>
          </cell>
          <cell r="F137">
            <v>621</v>
          </cell>
        </row>
        <row r="138">
          <cell r="B138">
            <v>40064374</v>
          </cell>
          <cell r="C138" t="str">
            <v>PA DISCOVER PREMIUM BS 150ML M250 P48</v>
          </cell>
          <cell r="D138">
            <v>618</v>
          </cell>
          <cell r="E138">
            <v>0</v>
          </cell>
          <cell r="F138">
            <v>618</v>
          </cell>
        </row>
        <row r="139">
          <cell r="B139">
            <v>40064249</v>
          </cell>
          <cell r="C139" t="str">
            <v>GP DIMENSION SHADE 3 M440 70G P24</v>
          </cell>
          <cell r="D139">
            <v>617</v>
          </cell>
          <cell r="E139">
            <v>0</v>
          </cell>
          <cell r="F139">
            <v>617</v>
          </cell>
        </row>
        <row r="140">
          <cell r="B140">
            <v>40059677</v>
          </cell>
          <cell r="C140" t="str">
            <v>KS SPARK POWSERIES 135ML M199 P24 GCPL</v>
          </cell>
          <cell r="D140">
            <v>616.041333333333</v>
          </cell>
          <cell r="E140">
            <v>0</v>
          </cell>
          <cell r="F140">
            <v>616.041333333333</v>
          </cell>
        </row>
        <row r="141">
          <cell r="B141">
            <v>40060677</v>
          </cell>
          <cell r="C141" t="str">
            <v>AER O COOLAQUA 7.5G P60 - EXP SPANISH</v>
          </cell>
          <cell r="D141">
            <v>615</v>
          </cell>
          <cell r="E141">
            <v>0</v>
          </cell>
          <cell r="F141">
            <v>615</v>
          </cell>
        </row>
        <row r="142">
          <cell r="B142">
            <v>40001411</v>
          </cell>
          <cell r="C142" t="str">
            <v xml:space="preserve"> NO.1 ROSE 115G 72PK EXPORT</v>
          </cell>
          <cell r="D142">
            <v>605.95833333333303</v>
          </cell>
          <cell r="E142">
            <v>0</v>
          </cell>
          <cell r="F142">
            <v>605.95833333333303</v>
          </cell>
        </row>
        <row r="143">
          <cell r="B143">
            <v>40062023</v>
          </cell>
          <cell r="C143" t="str">
            <v>EXPCRM 11G NBLK M15 P240 ND</v>
          </cell>
          <cell r="D143">
            <v>442.58333333333297</v>
          </cell>
          <cell r="E143">
            <v>150</v>
          </cell>
          <cell r="F143">
            <v>592.58333333333303</v>
          </cell>
        </row>
        <row r="144">
          <cell r="B144">
            <v>40062385</v>
          </cell>
          <cell r="C144" t="str">
            <v>KS SPARK AER 120 ML M99 P48 NFR</v>
          </cell>
          <cell r="D144">
            <v>590.75</v>
          </cell>
          <cell r="E144">
            <v>0</v>
          </cell>
          <cell r="F144">
            <v>590.75</v>
          </cell>
        </row>
        <row r="145">
          <cell r="B145">
            <v>40034366</v>
          </cell>
          <cell r="C145" t="str">
            <v>CINTHOL LIME FRESH  125G 72 PK - GGME</v>
          </cell>
          <cell r="D145">
            <v>586</v>
          </cell>
          <cell r="E145">
            <v>0</v>
          </cell>
          <cell r="F145">
            <v>586</v>
          </cell>
        </row>
        <row r="146">
          <cell r="B146">
            <v>40028360</v>
          </cell>
          <cell r="C146" t="str">
            <v>AER SPRAY VIOLETVALLEY300ML P24 EXP GGME</v>
          </cell>
          <cell r="D146">
            <v>585.83333333333303</v>
          </cell>
          <cell r="E146">
            <v>0</v>
          </cell>
          <cell r="F146">
            <v>585.83333333333303</v>
          </cell>
        </row>
        <row r="147">
          <cell r="B147">
            <v>40058575</v>
          </cell>
          <cell r="C147" t="str">
            <v>AER MATIC COMBI VVB 210ML P6 EXP W/O M</v>
          </cell>
          <cell r="D147">
            <v>573</v>
          </cell>
          <cell r="E147">
            <v>0</v>
          </cell>
          <cell r="F147">
            <v>573</v>
          </cell>
        </row>
        <row r="148">
          <cell r="B148">
            <v>40061007</v>
          </cell>
          <cell r="C148" t="str">
            <v>AERPOWERPOCKET BERYRUSH P120-LATAMEXP-NF</v>
          </cell>
          <cell r="D148">
            <v>572.9</v>
          </cell>
          <cell r="E148">
            <v>0</v>
          </cell>
          <cell r="F148">
            <v>572.9</v>
          </cell>
        </row>
        <row r="149">
          <cell r="B149">
            <v>40063967</v>
          </cell>
          <cell r="C149" t="str">
            <v>PA LUXURY GROOMING KIT M1149 P6 EDP</v>
          </cell>
          <cell r="D149">
            <v>570</v>
          </cell>
          <cell r="E149">
            <v>0</v>
          </cell>
          <cell r="F149">
            <v>570</v>
          </cell>
        </row>
        <row r="150">
          <cell r="B150">
            <v>40064844</v>
          </cell>
          <cell r="C150" t="str">
            <v>NO1 JASMINE100G PO5 M125 P36 NDRSTRD NF2</v>
          </cell>
          <cell r="D150">
            <v>0</v>
          </cell>
          <cell r="E150">
            <v>560</v>
          </cell>
          <cell r="F150">
            <v>560</v>
          </cell>
        </row>
        <row r="151">
          <cell r="B151">
            <v>40060450</v>
          </cell>
          <cell r="C151" t="str">
            <v>CIN SANDAL BDYWASH BOTTLE 750ML M330P12</v>
          </cell>
          <cell r="D151">
            <v>555</v>
          </cell>
          <cell r="E151">
            <v>0</v>
          </cell>
          <cell r="F151">
            <v>555</v>
          </cell>
        </row>
        <row r="152">
          <cell r="B152">
            <v>40064824</v>
          </cell>
          <cell r="C152" t="str">
            <v>NO1 ASSORTEDPACK 150GPO5 M330P12 MTRSTRD</v>
          </cell>
          <cell r="D152">
            <v>550</v>
          </cell>
          <cell r="E152">
            <v>0</v>
          </cell>
          <cell r="F152">
            <v>550</v>
          </cell>
        </row>
        <row r="153">
          <cell r="B153">
            <v>40063168</v>
          </cell>
          <cell r="C153" t="str">
            <v>EXPCRM 20G+20ML+2ML P010 NTBRN P240M40ND</v>
          </cell>
          <cell r="D153">
            <v>539</v>
          </cell>
          <cell r="E153">
            <v>0</v>
          </cell>
          <cell r="F153">
            <v>539</v>
          </cell>
        </row>
        <row r="154">
          <cell r="B154">
            <v>40028194</v>
          </cell>
          <cell r="C154" t="str">
            <v>AER SPRAY FLG 300ml PK24 EXP GGME</v>
          </cell>
          <cell r="D154">
            <v>524.70833333333303</v>
          </cell>
          <cell r="E154">
            <v>0</v>
          </cell>
          <cell r="F154">
            <v>524.70833333333303</v>
          </cell>
        </row>
        <row r="155">
          <cell r="B155">
            <v>40028181</v>
          </cell>
          <cell r="C155" t="str">
            <v>AER SPRAY MRNG MSTY300MLP24 EXP GGME</v>
          </cell>
          <cell r="D155">
            <v>520.66666666666697</v>
          </cell>
          <cell r="E155">
            <v>0</v>
          </cell>
          <cell r="F155">
            <v>520.66666666666697</v>
          </cell>
        </row>
        <row r="156">
          <cell r="B156">
            <v>40033873</v>
          </cell>
          <cell r="C156" t="str">
            <v>AER SPRAY MRNGMSTY 300ML P24 W/O MRP-EXP</v>
          </cell>
          <cell r="D156">
            <v>518.29166666666697</v>
          </cell>
          <cell r="E156">
            <v>0</v>
          </cell>
          <cell r="F156">
            <v>518.29166666666697</v>
          </cell>
        </row>
        <row r="157">
          <cell r="B157">
            <v>40064489</v>
          </cell>
          <cell r="C157" t="str">
            <v>CIN ORIGINAL 100G PO8 M330 P18 ECOM</v>
          </cell>
          <cell r="D157">
            <v>518</v>
          </cell>
          <cell r="E157">
            <v>0</v>
          </cell>
          <cell r="F157">
            <v>518</v>
          </cell>
        </row>
        <row r="158">
          <cell r="B158">
            <v>40061003</v>
          </cell>
          <cell r="C158" t="str">
            <v>AERPWRPCKT ROSEFRSHBLSSMP120-LATAMEXP-NF</v>
          </cell>
          <cell r="D158">
            <v>510</v>
          </cell>
          <cell r="E158">
            <v>0</v>
          </cell>
          <cell r="F158">
            <v>510</v>
          </cell>
        </row>
        <row r="159">
          <cell r="B159">
            <v>40033872</v>
          </cell>
          <cell r="C159" t="str">
            <v>AER SPRAYPETALPINK 300ML P24 W/O MRP-EXP</v>
          </cell>
          <cell r="D159">
            <v>509.25</v>
          </cell>
          <cell r="E159">
            <v>0</v>
          </cell>
          <cell r="F159">
            <v>509.25</v>
          </cell>
        </row>
        <row r="160">
          <cell r="B160">
            <v>40060033</v>
          </cell>
          <cell r="C160" t="str">
            <v>AER MATIC REFILL PASSION 225ML M249P18</v>
          </cell>
          <cell r="D160">
            <v>505</v>
          </cell>
          <cell r="E160">
            <v>0</v>
          </cell>
          <cell r="F160">
            <v>505</v>
          </cell>
        </row>
        <row r="161">
          <cell r="B161">
            <v>40006858</v>
          </cell>
          <cell r="C161" t="str">
            <v>NO1 Saffron&amp;MlkCrm115g Pks96  EXPORT-blk</v>
          </cell>
          <cell r="D161">
            <v>500</v>
          </cell>
          <cell r="E161">
            <v>0</v>
          </cell>
          <cell r="F161">
            <v>500</v>
          </cell>
        </row>
        <row r="162">
          <cell r="B162">
            <v>40065725</v>
          </cell>
          <cell r="C162" t="str">
            <v>EXPERT CRÈME BUR B2G1F P240 - EGYPT</v>
          </cell>
          <cell r="D162">
            <v>500</v>
          </cell>
          <cell r="E162">
            <v>0</v>
          </cell>
          <cell r="F162">
            <v>500</v>
          </cell>
        </row>
        <row r="163">
          <cell r="B163">
            <v>40057309</v>
          </cell>
          <cell r="C163" t="str">
            <v>GK FLSHREFIL 45MLP240RNF GGME W/OM EXPRY</v>
          </cell>
          <cell r="D163">
            <v>500</v>
          </cell>
          <cell r="E163">
            <v>0</v>
          </cell>
          <cell r="F163">
            <v>500</v>
          </cell>
        </row>
        <row r="164">
          <cell r="B164">
            <v>40063757</v>
          </cell>
          <cell r="C164" t="str">
            <v>CIN HEALTH+ 38G NEW M10 P216 RSTRD</v>
          </cell>
          <cell r="D164">
            <v>0</v>
          </cell>
          <cell r="E164">
            <v>500</v>
          </cell>
          <cell r="F164">
            <v>500</v>
          </cell>
        </row>
        <row r="165">
          <cell r="B165">
            <v>40064562</v>
          </cell>
          <cell r="C165" t="str">
            <v>CIN LIME 150G PO5 M330 P12 NEW MT RSTRD</v>
          </cell>
          <cell r="D165">
            <v>492</v>
          </cell>
          <cell r="E165">
            <v>0</v>
          </cell>
          <cell r="F165">
            <v>492</v>
          </cell>
        </row>
        <row r="166">
          <cell r="B166">
            <v>40064885</v>
          </cell>
          <cell r="C166" t="str">
            <v>EZEE 250G M75 P60 50% PCR</v>
          </cell>
          <cell r="D166">
            <v>489</v>
          </cell>
          <cell r="E166">
            <v>0</v>
          </cell>
          <cell r="F166">
            <v>489</v>
          </cell>
        </row>
        <row r="167">
          <cell r="B167">
            <v>40062204</v>
          </cell>
          <cell r="C167" t="str">
            <v>GP NEW COLORPLAYSHADE 4 M370 70G P24</v>
          </cell>
          <cell r="D167">
            <v>481</v>
          </cell>
          <cell r="E167">
            <v>0</v>
          </cell>
          <cell r="F167">
            <v>481</v>
          </cell>
        </row>
        <row r="168">
          <cell r="B168">
            <v>40062339</v>
          </cell>
          <cell r="C168" t="str">
            <v>KS20'S LONGLAST PLEAS M300 P480 NEWAW</v>
          </cell>
          <cell r="D168">
            <v>413</v>
          </cell>
          <cell r="E168">
            <v>65</v>
          </cell>
          <cell r="F168">
            <v>478</v>
          </cell>
        </row>
        <row r="169">
          <cell r="B169">
            <v>40001395</v>
          </cell>
          <cell r="C169" t="str">
            <v xml:space="preserve"> NO.1 JASMINE 115G PK 72 EXPORT</v>
          </cell>
          <cell r="D169">
            <v>457.777777777778</v>
          </cell>
          <cell r="E169">
            <v>0</v>
          </cell>
          <cell r="F169">
            <v>457.777777777778</v>
          </cell>
        </row>
        <row r="170">
          <cell r="B170">
            <v>40062517</v>
          </cell>
          <cell r="C170" t="str">
            <v>KS3'S LONGLAST PLEA M50 P1440 INCR NEWAW</v>
          </cell>
          <cell r="D170">
            <v>449</v>
          </cell>
          <cell r="E170">
            <v>0</v>
          </cell>
          <cell r="F170">
            <v>449</v>
          </cell>
        </row>
        <row r="171">
          <cell r="B171">
            <v>40063540</v>
          </cell>
          <cell r="C171" t="str">
            <v>PA DEO-SIGN VOYAGE 190ML M299 P72</v>
          </cell>
          <cell r="D171">
            <v>441</v>
          </cell>
          <cell r="E171">
            <v>0</v>
          </cell>
          <cell r="F171">
            <v>441</v>
          </cell>
        </row>
        <row r="172">
          <cell r="B172">
            <v>40064710</v>
          </cell>
          <cell r="C172" t="str">
            <v>HIT FIK RACQUET M499 P12- ABS + RIL</v>
          </cell>
          <cell r="D172">
            <v>437</v>
          </cell>
          <cell r="E172">
            <v>0</v>
          </cell>
          <cell r="F172">
            <v>437</v>
          </cell>
        </row>
        <row r="173">
          <cell r="B173">
            <v>40017846</v>
          </cell>
          <cell r="C173" t="str">
            <v xml:space="preserve"> Nupur Heena 400g (9 herbs) P24 - EXP</v>
          </cell>
          <cell r="D173">
            <v>436</v>
          </cell>
          <cell r="E173">
            <v>0</v>
          </cell>
          <cell r="F173">
            <v>436</v>
          </cell>
        </row>
        <row r="174">
          <cell r="B174">
            <v>40060517</v>
          </cell>
          <cell r="C174" t="str">
            <v>GODMAGCRTMHWNEEMREF9GP18 M10P360SRP20MT</v>
          </cell>
          <cell r="D174">
            <v>432</v>
          </cell>
          <cell r="E174">
            <v>0</v>
          </cell>
          <cell r="F174">
            <v>432</v>
          </cell>
        </row>
        <row r="175">
          <cell r="B175">
            <v>40063788</v>
          </cell>
          <cell r="C175" t="str">
            <v>PA EDP OUD LEGACY 20ML G M175 P48</v>
          </cell>
          <cell r="D175">
            <v>430</v>
          </cell>
          <cell r="E175">
            <v>0</v>
          </cell>
          <cell r="F175">
            <v>430</v>
          </cell>
        </row>
        <row r="176">
          <cell r="B176">
            <v>40033871</v>
          </cell>
          <cell r="C176" t="str">
            <v>AER SPRAY MUSK 300ML P24 W/O MRP-EXP</v>
          </cell>
          <cell r="D176">
            <v>427.33333333333297</v>
          </cell>
          <cell r="E176">
            <v>0</v>
          </cell>
          <cell r="F176">
            <v>427.33333333333297</v>
          </cell>
        </row>
        <row r="177">
          <cell r="B177">
            <v>40059574</v>
          </cell>
          <cell r="C177" t="str">
            <v>PA DEOLOTION M20 P120</v>
          </cell>
          <cell r="D177">
            <v>427</v>
          </cell>
          <cell r="E177">
            <v>0</v>
          </cell>
          <cell r="F177">
            <v>427</v>
          </cell>
        </row>
        <row r="178">
          <cell r="B178">
            <v>40063537</v>
          </cell>
          <cell r="C178" t="str">
            <v>GK FLASH 2LV+LMD M199 P60 MT RNF PCB</v>
          </cell>
          <cell r="D178">
            <v>426</v>
          </cell>
          <cell r="E178">
            <v>0</v>
          </cell>
          <cell r="F178">
            <v>426</v>
          </cell>
        </row>
        <row r="179">
          <cell r="B179">
            <v>40006326</v>
          </cell>
          <cell r="C179" t="str">
            <v xml:space="preserve"> NO.1 SAF&amp;MILK CREAM 115G 72PK EXPORT</v>
          </cell>
          <cell r="D179">
            <v>425.972222222222</v>
          </cell>
          <cell r="E179">
            <v>0</v>
          </cell>
          <cell r="F179">
            <v>425.972222222222</v>
          </cell>
        </row>
        <row r="180">
          <cell r="B180">
            <v>40028292</v>
          </cell>
          <cell r="C180" t="str">
            <v>Aer clickgel MuskAftSmokeBlister P18 GCC</v>
          </cell>
          <cell r="D180">
            <v>425</v>
          </cell>
          <cell r="E180">
            <v>0</v>
          </cell>
          <cell r="F180">
            <v>425</v>
          </cell>
        </row>
        <row r="181">
          <cell r="B181">
            <v>40065157</v>
          </cell>
          <cell r="C181" t="str">
            <v>KS SPARK MEGA 180ML M299 P72 NFR</v>
          </cell>
          <cell r="D181">
            <v>423</v>
          </cell>
          <cell r="E181">
            <v>0</v>
          </cell>
          <cell r="F181">
            <v>423</v>
          </cell>
        </row>
        <row r="182">
          <cell r="B182">
            <v>40061006</v>
          </cell>
          <cell r="C182" t="str">
            <v>AER PWRPOCKTRSFRBLOSSM10GP120W/OMRPEXPNF</v>
          </cell>
          <cell r="D182">
            <v>419.33333333333297</v>
          </cell>
          <cell r="E182">
            <v>0</v>
          </cell>
          <cell r="F182">
            <v>419.33333333333297</v>
          </cell>
        </row>
        <row r="183">
          <cell r="B183">
            <v>40064157</v>
          </cell>
          <cell r="C183" t="str">
            <v>CIN LIME 75G PO4M105 P50 RSTRD</v>
          </cell>
          <cell r="D183">
            <v>0</v>
          </cell>
          <cell r="E183">
            <v>416</v>
          </cell>
          <cell r="F183">
            <v>416</v>
          </cell>
        </row>
        <row r="184">
          <cell r="B184">
            <v>40064134</v>
          </cell>
          <cell r="C184" t="str">
            <v>AER O ORANGE PUNCH 7.5G P60 W/O M EXP</v>
          </cell>
          <cell r="D184">
            <v>0</v>
          </cell>
          <cell r="E184">
            <v>410</v>
          </cell>
          <cell r="F184">
            <v>410</v>
          </cell>
        </row>
        <row r="185">
          <cell r="B185">
            <v>40050013</v>
          </cell>
          <cell r="C185" t="str">
            <v>GP ColorPlay Devl20 Vol 1000ml M500 P9</v>
          </cell>
          <cell r="D185">
            <v>408</v>
          </cell>
          <cell r="E185">
            <v>0</v>
          </cell>
          <cell r="F185">
            <v>408</v>
          </cell>
        </row>
        <row r="186">
          <cell r="B186">
            <v>40060675</v>
          </cell>
          <cell r="C186" t="str">
            <v>AER O ROSEBLOSSOM 7.5G P60  EXP SPANISH</v>
          </cell>
          <cell r="D186">
            <v>209</v>
          </cell>
          <cell r="E186">
            <v>197</v>
          </cell>
          <cell r="F186">
            <v>406</v>
          </cell>
        </row>
        <row r="187">
          <cell r="B187">
            <v>40063016</v>
          </cell>
          <cell r="C187" t="str">
            <v>EXPCRM 20G+20ML+2ML DBRN PO10 P240 M40ND</v>
          </cell>
          <cell r="D187">
            <v>401</v>
          </cell>
          <cell r="E187">
            <v>0</v>
          </cell>
          <cell r="F187">
            <v>401</v>
          </cell>
        </row>
        <row r="188">
          <cell r="B188">
            <v>40002704</v>
          </cell>
          <cell r="C188" t="str">
            <v>GK Powerlite + 45N Refill PK 60 -EXP</v>
          </cell>
          <cell r="D188">
            <v>400</v>
          </cell>
          <cell r="E188">
            <v>0</v>
          </cell>
          <cell r="F188">
            <v>400</v>
          </cell>
        </row>
        <row r="189">
          <cell r="B189">
            <v>40064730</v>
          </cell>
          <cell r="C189" t="str">
            <v>PA EDP EUPHORIA 100ML G P12  N-AW GGME</v>
          </cell>
          <cell r="D189">
            <v>400</v>
          </cell>
          <cell r="E189">
            <v>0</v>
          </cell>
          <cell r="F189">
            <v>400</v>
          </cell>
        </row>
        <row r="190">
          <cell r="B190">
            <v>40061498</v>
          </cell>
          <cell r="C190" t="str">
            <v>EXPCRM 11G  NBLK P240 M15 TT-SR(75*85C)</v>
          </cell>
          <cell r="D190">
            <v>398</v>
          </cell>
          <cell r="E190">
            <v>0</v>
          </cell>
          <cell r="F190">
            <v>398</v>
          </cell>
        </row>
        <row r="191">
          <cell r="B191">
            <v>40062370</v>
          </cell>
          <cell r="C191" t="str">
            <v>SELFI 5 MIN BUR 18ML P144 MT- EXP</v>
          </cell>
          <cell r="D191">
            <v>394.777777777778</v>
          </cell>
          <cell r="E191">
            <v>0</v>
          </cell>
          <cell r="F191">
            <v>394.777777777778</v>
          </cell>
        </row>
        <row r="192">
          <cell r="B192">
            <v>40041584</v>
          </cell>
          <cell r="C192" t="str">
            <v>God SelfieSHC Nblk18mlPO8P144 MT W/O MRP</v>
          </cell>
          <cell r="D192">
            <v>392.777777777778</v>
          </cell>
          <cell r="E192">
            <v>0</v>
          </cell>
          <cell r="F192">
            <v>392.777777777778</v>
          </cell>
        </row>
        <row r="193">
          <cell r="B193">
            <v>40034691</v>
          </cell>
          <cell r="C193" t="str">
            <v>ABHA NAT BLACK 10G-24X6X10 - EXPORT</v>
          </cell>
          <cell r="D193">
            <v>388.375</v>
          </cell>
          <cell r="E193">
            <v>0</v>
          </cell>
          <cell r="F193">
            <v>388.375</v>
          </cell>
        </row>
        <row r="194">
          <cell r="B194">
            <v>40063178</v>
          </cell>
          <cell r="C194" t="str">
            <v>EXPCRM 20G+20ML+2ML BKBRN PO10P240M40ND</v>
          </cell>
          <cell r="D194">
            <v>383</v>
          </cell>
          <cell r="E194">
            <v>0</v>
          </cell>
          <cell r="F194">
            <v>383</v>
          </cell>
        </row>
        <row r="195">
          <cell r="B195">
            <v>40061179</v>
          </cell>
          <cell r="C195" t="str">
            <v>KS SPARK AER 150ML M230 P24 GCPL-LIQ</v>
          </cell>
          <cell r="D195">
            <v>382.29166666666703</v>
          </cell>
          <cell r="E195">
            <v>0</v>
          </cell>
          <cell r="F195">
            <v>382.29166666666703</v>
          </cell>
        </row>
        <row r="196">
          <cell r="B196">
            <v>40063614</v>
          </cell>
          <cell r="C196" t="str">
            <v>AER MATC CMBI RYL VANILLA 210ML P6 M599</v>
          </cell>
          <cell r="D196">
            <v>378</v>
          </cell>
          <cell r="E196">
            <v>0</v>
          </cell>
          <cell r="F196">
            <v>378</v>
          </cell>
        </row>
        <row r="197">
          <cell r="B197">
            <v>40065002</v>
          </cell>
          <cell r="C197" t="str">
            <v>GODPROTEKTNEEM9GM110P40 (11+1)</v>
          </cell>
          <cell r="D197">
            <v>17</v>
          </cell>
          <cell r="E197">
            <v>360</v>
          </cell>
          <cell r="F197">
            <v>377</v>
          </cell>
        </row>
        <row r="198">
          <cell r="B198">
            <v>40034053</v>
          </cell>
          <cell r="C198" t="str">
            <v>CINTHOL DEO SPORT SOAP 125G 72 PK - GCC</v>
          </cell>
          <cell r="D198">
            <v>377</v>
          </cell>
          <cell r="E198">
            <v>0</v>
          </cell>
          <cell r="F198">
            <v>377</v>
          </cell>
        </row>
        <row r="199">
          <cell r="B199">
            <v>40059774</v>
          </cell>
          <cell r="C199" t="str">
            <v>CIN LIME BDYWASH BOTTLE 750ML M330P12</v>
          </cell>
          <cell r="D199">
            <v>373</v>
          </cell>
          <cell r="E199">
            <v>0</v>
          </cell>
          <cell r="F199">
            <v>373</v>
          </cell>
        </row>
        <row r="200">
          <cell r="B200">
            <v>40058577</v>
          </cell>
          <cell r="C200" t="str">
            <v>AER MATIC COMBI PCP 210ML P6  EXP W/O M</v>
          </cell>
          <cell r="D200">
            <v>368.5</v>
          </cell>
          <cell r="E200">
            <v>0</v>
          </cell>
          <cell r="F200">
            <v>368.5</v>
          </cell>
        </row>
        <row r="201">
          <cell r="B201">
            <v>40065917</v>
          </cell>
          <cell r="C201" t="str">
            <v>GK FLASH COMBI M120 P60 RNF PCB ROI</v>
          </cell>
          <cell r="D201">
            <v>368</v>
          </cell>
          <cell r="E201">
            <v>0</v>
          </cell>
          <cell r="F201">
            <v>368</v>
          </cell>
        </row>
        <row r="202">
          <cell r="B202">
            <v>40059775</v>
          </cell>
          <cell r="C202" t="str">
            <v>CIN COOL BDYWASH BOTTLE 750ML M330P12</v>
          </cell>
          <cell r="D202">
            <v>364</v>
          </cell>
          <cell r="E202">
            <v>0</v>
          </cell>
          <cell r="F202">
            <v>364</v>
          </cell>
        </row>
        <row r="203">
          <cell r="B203">
            <v>40060659</v>
          </cell>
          <cell r="C203" t="str">
            <v>PA EDP CONQUER 100ML G M799 P6 SL</v>
          </cell>
          <cell r="D203">
            <v>361</v>
          </cell>
          <cell r="E203">
            <v>0</v>
          </cell>
          <cell r="F203">
            <v>361</v>
          </cell>
        </row>
        <row r="204">
          <cell r="B204">
            <v>40000189</v>
          </cell>
          <cell r="C204" t="str">
            <v>CINTHOL COL DEO SOAP 125G 72 PK EXPORT</v>
          </cell>
          <cell r="D204">
            <v>360.66666666666703</v>
          </cell>
          <cell r="E204">
            <v>0</v>
          </cell>
          <cell r="F204">
            <v>360.66666666666703</v>
          </cell>
        </row>
        <row r="205">
          <cell r="B205">
            <v>40061999</v>
          </cell>
          <cell r="C205" t="str">
            <v>PA GM POCKET 18ML M70 P160 GCPL</v>
          </cell>
          <cell r="D205">
            <v>359</v>
          </cell>
          <cell r="E205">
            <v>0</v>
          </cell>
          <cell r="F205">
            <v>359</v>
          </cell>
        </row>
        <row r="206">
          <cell r="B206">
            <v>40057545</v>
          </cell>
          <cell r="C206" t="str">
            <v>GERC DBROWN 50G+50ML BOX P36 W/O M EXP</v>
          </cell>
          <cell r="D206">
            <v>358</v>
          </cell>
          <cell r="E206">
            <v>0</v>
          </cell>
          <cell r="F206">
            <v>358</v>
          </cell>
        </row>
        <row r="207">
          <cell r="B207">
            <v>40033199</v>
          </cell>
          <cell r="C207" t="str">
            <v>HIT FIK 320ML PK50 (3yr) - EXP</v>
          </cell>
          <cell r="D207">
            <v>357</v>
          </cell>
          <cell r="E207">
            <v>0</v>
          </cell>
          <cell r="F207">
            <v>357</v>
          </cell>
        </row>
        <row r="208">
          <cell r="B208">
            <v>40062265</v>
          </cell>
          <cell r="C208" t="str">
            <v>AER MATIC SPRAY REF CSB 210ML M249P18 NP</v>
          </cell>
          <cell r="D208">
            <v>352.99944444444401</v>
          </cell>
          <cell r="E208">
            <v>0</v>
          </cell>
          <cell r="F208">
            <v>352.99944444444401</v>
          </cell>
        </row>
        <row r="209">
          <cell r="B209">
            <v>40065278</v>
          </cell>
          <cell r="C209" t="str">
            <v>AER PLUG VIOLET BLOOM 1M+2R M275P24 NC</v>
          </cell>
          <cell r="D209">
            <v>350</v>
          </cell>
          <cell r="E209">
            <v>0</v>
          </cell>
          <cell r="F209">
            <v>350</v>
          </cell>
        </row>
        <row r="210">
          <cell r="B210">
            <v>40041135</v>
          </cell>
          <cell r="C210" t="str">
            <v>PA GM Shaving Brush(MRP90) LC for GKP96</v>
          </cell>
          <cell r="D210">
            <v>348.93883333333298</v>
          </cell>
          <cell r="E210">
            <v>0</v>
          </cell>
          <cell r="F210">
            <v>348.93883333333298</v>
          </cell>
        </row>
        <row r="211">
          <cell r="B211">
            <v>40061670</v>
          </cell>
          <cell r="C211" t="str">
            <v>PA VOYAGE NEW AER 150 ML M250 P48</v>
          </cell>
          <cell r="D211">
            <v>348</v>
          </cell>
          <cell r="E211">
            <v>0</v>
          </cell>
          <cell r="F211">
            <v>348</v>
          </cell>
        </row>
        <row r="212">
          <cell r="B212">
            <v>40064503</v>
          </cell>
          <cell r="C212" t="str">
            <v>NO1 LIME&amp;ALO 100GP5 M125 P36 RSTRD NF2</v>
          </cell>
          <cell r="D212">
            <v>346</v>
          </cell>
          <cell r="E212">
            <v>0</v>
          </cell>
          <cell r="F212">
            <v>346</v>
          </cell>
        </row>
        <row r="213">
          <cell r="B213">
            <v>40061005</v>
          </cell>
          <cell r="C213" t="str">
            <v>AERPWRPCKTLAVENDRBLOOM P120-LATAMEXP-NF</v>
          </cell>
          <cell r="D213">
            <v>345</v>
          </cell>
          <cell r="E213">
            <v>0</v>
          </cell>
          <cell r="F213">
            <v>345</v>
          </cell>
        </row>
        <row r="214">
          <cell r="B214">
            <v>40062518</v>
          </cell>
          <cell r="C214" t="str">
            <v>KS20'S RIBBED M200 P480 NEWAW</v>
          </cell>
          <cell r="D214">
            <v>331</v>
          </cell>
          <cell r="E214">
            <v>12</v>
          </cell>
          <cell r="F214">
            <v>343</v>
          </cell>
        </row>
        <row r="215">
          <cell r="B215">
            <v>40060547</v>
          </cell>
          <cell r="C215" t="str">
            <v>AERPWRPOCTKLEMTNGYDEL10GP144(6X4)WALMART</v>
          </cell>
          <cell r="D215">
            <v>340.625</v>
          </cell>
          <cell r="E215">
            <v>0</v>
          </cell>
          <cell r="F215">
            <v>340.625</v>
          </cell>
        </row>
        <row r="216">
          <cell r="B216">
            <v>40015911</v>
          </cell>
          <cell r="C216" t="str">
            <v>NO 1 SANDAL TURM 115G PK72 -GUYANA</v>
          </cell>
          <cell r="D216">
            <v>338.972222222222</v>
          </cell>
          <cell r="E216">
            <v>0</v>
          </cell>
          <cell r="F216">
            <v>338.972222222222</v>
          </cell>
        </row>
        <row r="217">
          <cell r="B217">
            <v>40063581</v>
          </cell>
          <cell r="C217" t="str">
            <v>CIN COOL 75G PO4 M110 P50 NEWRSTRD</v>
          </cell>
          <cell r="D217">
            <v>0</v>
          </cell>
          <cell r="E217">
            <v>337</v>
          </cell>
          <cell r="F217">
            <v>337</v>
          </cell>
        </row>
        <row r="218">
          <cell r="B218">
            <v>40028180</v>
          </cell>
          <cell r="C218" t="str">
            <v>AER SPRAY PETAL 300MLPK24 NEW A/W-GGME</v>
          </cell>
          <cell r="D218">
            <v>335.83333333333297</v>
          </cell>
          <cell r="E218">
            <v>0</v>
          </cell>
          <cell r="F218">
            <v>335.83333333333297</v>
          </cell>
        </row>
        <row r="219">
          <cell r="B219">
            <v>40043556</v>
          </cell>
          <cell r="C219" t="str">
            <v>*PA SC COOL BLUE 84G M75 P48</v>
          </cell>
          <cell r="D219">
            <v>48.75</v>
          </cell>
          <cell r="E219">
            <v>287</v>
          </cell>
          <cell r="F219">
            <v>335.75</v>
          </cell>
        </row>
        <row r="220">
          <cell r="B220">
            <v>40032985</v>
          </cell>
          <cell r="C220" t="str">
            <v>Expert crème DkBwn PO8 P240 W/O MRP-MT</v>
          </cell>
          <cell r="D220">
            <v>325.73333333333301</v>
          </cell>
          <cell r="E220">
            <v>0</v>
          </cell>
          <cell r="F220">
            <v>325.73333333333301</v>
          </cell>
        </row>
        <row r="221">
          <cell r="B221">
            <v>40063423</v>
          </cell>
          <cell r="C221" t="str">
            <v>EXPERT CRÈMEPO4NBRWNM148P24ECOM ND</v>
          </cell>
          <cell r="D221">
            <v>322</v>
          </cell>
          <cell r="E221">
            <v>0</v>
          </cell>
          <cell r="F221">
            <v>322</v>
          </cell>
        </row>
        <row r="222">
          <cell r="B222">
            <v>40057020</v>
          </cell>
          <cell r="C222" t="str">
            <v>GODREJ FAB 2LTR POUCH NF W/O MRP P6 GGME</v>
          </cell>
          <cell r="D222">
            <v>320</v>
          </cell>
          <cell r="E222">
            <v>0</v>
          </cell>
          <cell r="F222">
            <v>320</v>
          </cell>
        </row>
        <row r="223">
          <cell r="B223">
            <v>40060383</v>
          </cell>
          <cell r="C223" t="str">
            <v>AER O ROSEBLOSSOM 7.5G P60 ARABICAW EXP</v>
          </cell>
          <cell r="D223">
            <v>316</v>
          </cell>
          <cell r="E223">
            <v>0</v>
          </cell>
          <cell r="F223">
            <v>316</v>
          </cell>
        </row>
        <row r="224">
          <cell r="B224">
            <v>40064709</v>
          </cell>
          <cell r="C224" t="str">
            <v>SPIC TC 200ML M35 P48</v>
          </cell>
          <cell r="D224">
            <v>314</v>
          </cell>
          <cell r="E224">
            <v>0</v>
          </cell>
          <cell r="F224">
            <v>314</v>
          </cell>
        </row>
        <row r="225">
          <cell r="B225">
            <v>40065274</v>
          </cell>
          <cell r="C225" t="str">
            <v>GK COIL MINIJUMBOPLAIN M39 P60 RNF HP</v>
          </cell>
          <cell r="D225">
            <v>313</v>
          </cell>
          <cell r="E225">
            <v>0</v>
          </cell>
          <cell r="F225">
            <v>313</v>
          </cell>
        </row>
        <row r="226">
          <cell r="B226">
            <v>40043577</v>
          </cell>
          <cell r="C226" t="str">
            <v>KS 2 SPARK+ 1URG B2G1 150ML M460 P8 GCPL</v>
          </cell>
          <cell r="D226">
            <v>312.875</v>
          </cell>
          <cell r="E226">
            <v>0</v>
          </cell>
          <cell r="F226">
            <v>312.875</v>
          </cell>
        </row>
        <row r="227">
          <cell r="B227">
            <v>40032969</v>
          </cell>
          <cell r="C227" t="str">
            <v>Expert crème Nt Bwn PO8 P240 W/O MRP-MT</v>
          </cell>
          <cell r="D227">
            <v>306.63333333333298</v>
          </cell>
          <cell r="E227">
            <v>0</v>
          </cell>
          <cell r="F227">
            <v>306.63333333333298</v>
          </cell>
        </row>
        <row r="228">
          <cell r="B228">
            <v>40063421</v>
          </cell>
          <cell r="C228" t="str">
            <v>AERPWRPCKT LEMTANGYDEL 10G M70P120</v>
          </cell>
          <cell r="D228">
            <v>5</v>
          </cell>
          <cell r="E228">
            <v>300</v>
          </cell>
          <cell r="F228">
            <v>305</v>
          </cell>
        </row>
        <row r="229">
          <cell r="B229">
            <v>40064251</v>
          </cell>
          <cell r="C229" t="str">
            <v>SPIC TC 1L M189 P12 GGME</v>
          </cell>
          <cell r="D229">
            <v>305</v>
          </cell>
          <cell r="E229">
            <v>0</v>
          </cell>
          <cell r="F229">
            <v>305</v>
          </cell>
        </row>
        <row r="230">
          <cell r="B230">
            <v>40059662</v>
          </cell>
          <cell r="C230" t="str">
            <v>HIT CIK 625ML P25 M-LKR 1600 SL</v>
          </cell>
          <cell r="D230">
            <v>300</v>
          </cell>
          <cell r="E230">
            <v>0</v>
          </cell>
          <cell r="F230">
            <v>300</v>
          </cell>
        </row>
        <row r="231">
          <cell r="B231">
            <v>40061117</v>
          </cell>
          <cell r="C231" t="str">
            <v>SPIC TC P24 EXP CC</v>
          </cell>
          <cell r="D231">
            <v>300</v>
          </cell>
          <cell r="E231">
            <v>0</v>
          </cell>
          <cell r="F231">
            <v>300</v>
          </cell>
        </row>
        <row r="232">
          <cell r="B232">
            <v>40002574</v>
          </cell>
          <cell r="C232" t="str">
            <v>GK LIQ REFILL 45N SLIVER PK 100 EXP</v>
          </cell>
          <cell r="D232">
            <v>298</v>
          </cell>
          <cell r="E232">
            <v>0</v>
          </cell>
          <cell r="F232">
            <v>298</v>
          </cell>
        </row>
        <row r="233">
          <cell r="B233">
            <v>40061298</v>
          </cell>
          <cell r="C233" t="str">
            <v>PA GMDEOSHOT 40ML RS 80 W/O HANGP144-LIQ</v>
          </cell>
          <cell r="D233">
            <v>298</v>
          </cell>
          <cell r="E233">
            <v>0</v>
          </cell>
          <cell r="F233">
            <v>298</v>
          </cell>
        </row>
        <row r="234">
          <cell r="B234">
            <v>40063539</v>
          </cell>
          <cell r="C234" t="str">
            <v>PA NEO NEW AER 190ML M299 P72</v>
          </cell>
          <cell r="D234">
            <v>296.01177777777798</v>
          </cell>
          <cell r="E234">
            <v>0</v>
          </cell>
          <cell r="F234">
            <v>296.01177777777798</v>
          </cell>
        </row>
        <row r="235">
          <cell r="B235">
            <v>40057975</v>
          </cell>
          <cell r="C235" t="str">
            <v>KS RUSH 120ML M99.00 P48 GCPL</v>
          </cell>
          <cell r="D235">
            <v>295</v>
          </cell>
          <cell r="E235">
            <v>0</v>
          </cell>
          <cell r="F235">
            <v>295</v>
          </cell>
        </row>
        <row r="236">
          <cell r="B236">
            <v>40028204</v>
          </cell>
          <cell r="C236" t="str">
            <v>AER SPRAY CSB 300ml PK24 EXP GGME</v>
          </cell>
          <cell r="D236">
            <v>294.95833333333297</v>
          </cell>
          <cell r="E236">
            <v>0</v>
          </cell>
          <cell r="F236">
            <v>294.95833333333297</v>
          </cell>
        </row>
        <row r="237">
          <cell r="B237">
            <v>40044028</v>
          </cell>
          <cell r="C237" t="str">
            <v>*PA SC Classic 84g M75 P144 CSD</v>
          </cell>
          <cell r="D237">
            <v>293</v>
          </cell>
          <cell r="E237">
            <v>0</v>
          </cell>
          <cell r="F237">
            <v>293</v>
          </cell>
        </row>
        <row r="238">
          <cell r="B238">
            <v>40057532</v>
          </cell>
          <cell r="C238" t="str">
            <v>GERC NAT BRWN 50G+50ML BOX P36 W/O M EXP</v>
          </cell>
          <cell r="D238">
            <v>287</v>
          </cell>
          <cell r="E238">
            <v>0</v>
          </cell>
          <cell r="F238">
            <v>287</v>
          </cell>
        </row>
        <row r="239">
          <cell r="B239">
            <v>40059654</v>
          </cell>
          <cell r="C239" t="str">
            <v>PA GM DEOSHOT 40ML HANG M80 P144</v>
          </cell>
          <cell r="D239">
            <v>281</v>
          </cell>
          <cell r="E239">
            <v>0</v>
          </cell>
          <cell r="F239">
            <v>281</v>
          </cell>
        </row>
        <row r="240">
          <cell r="B240">
            <v>40065297</v>
          </cell>
          <cell r="C240" t="str">
            <v>MUUCHSTAC OCN FWASH (100G) M99 PO1 P100</v>
          </cell>
          <cell r="D240">
            <v>281</v>
          </cell>
          <cell r="E240">
            <v>0</v>
          </cell>
          <cell r="F240">
            <v>281</v>
          </cell>
        </row>
        <row r="241">
          <cell r="B241">
            <v>40065326</v>
          </cell>
          <cell r="C241" t="str">
            <v>PA EDP HARMONY 100ML P12 NEWAW SL</v>
          </cell>
          <cell r="D241">
            <v>277</v>
          </cell>
          <cell r="E241">
            <v>0</v>
          </cell>
          <cell r="F241">
            <v>277</v>
          </cell>
        </row>
        <row r="242">
          <cell r="B242">
            <v>40063373</v>
          </cell>
          <cell r="C242" t="str">
            <v>AERPOWRPOCKT BERRYRUSH10G M70P120 NF NPL</v>
          </cell>
          <cell r="D242">
            <v>270</v>
          </cell>
          <cell r="E242">
            <v>0</v>
          </cell>
          <cell r="F242">
            <v>270</v>
          </cell>
        </row>
        <row r="243">
          <cell r="B243">
            <v>40001417</v>
          </cell>
          <cell r="C243" t="str">
            <v xml:space="preserve"> NO 1 SANDAL TURM 115G 72PK EXPORT</v>
          </cell>
          <cell r="D243">
            <v>264</v>
          </cell>
          <cell r="E243">
            <v>0</v>
          </cell>
          <cell r="F243">
            <v>264</v>
          </cell>
        </row>
        <row r="244">
          <cell r="B244">
            <v>40058607</v>
          </cell>
          <cell r="C244" t="str">
            <v>AER MATIC COMBI VVB 210ML P6 GGME W/OM</v>
          </cell>
          <cell r="D244">
            <v>260.5</v>
          </cell>
          <cell r="E244">
            <v>0</v>
          </cell>
          <cell r="F244">
            <v>260.5</v>
          </cell>
        </row>
        <row r="245">
          <cell r="B245">
            <v>40062018</v>
          </cell>
          <cell r="C245" t="str">
            <v>GODREJ XPRSS SHC 9+9ML P144 M30 NBLK ND</v>
          </cell>
          <cell r="D245">
            <v>260</v>
          </cell>
          <cell r="E245">
            <v>0</v>
          </cell>
          <cell r="F245">
            <v>260</v>
          </cell>
        </row>
        <row r="246">
          <cell r="B246">
            <v>40060996</v>
          </cell>
          <cell r="C246" t="str">
            <v>CIN SHAVING CREAM MENTHOL 78G M80P72</v>
          </cell>
          <cell r="D246">
            <v>0</v>
          </cell>
          <cell r="E246">
            <v>258</v>
          </cell>
          <cell r="F246">
            <v>258</v>
          </cell>
        </row>
        <row r="247">
          <cell r="B247">
            <v>40060552</v>
          </cell>
          <cell r="C247" t="str">
            <v>AER SPRAYPETALCRUSHPINK 220MLP15-WALMART</v>
          </cell>
          <cell r="D247">
            <v>257</v>
          </cell>
          <cell r="E247">
            <v>0</v>
          </cell>
          <cell r="F247">
            <v>257</v>
          </cell>
        </row>
        <row r="248">
          <cell r="B248">
            <v>40065349</v>
          </cell>
          <cell r="C248" t="str">
            <v>GK ACTIV+ REFILL M95P240 RNF PCR ROI</v>
          </cell>
          <cell r="D248">
            <v>255</v>
          </cell>
          <cell r="E248">
            <v>0</v>
          </cell>
          <cell r="F248">
            <v>255</v>
          </cell>
        </row>
        <row r="249">
          <cell r="B249">
            <v>40061050</v>
          </cell>
          <cell r="C249" t="str">
            <v>AER PCKTLVNDERBLOOM10GP120ARBICAW-EXP-NF</v>
          </cell>
          <cell r="D249">
            <v>251</v>
          </cell>
          <cell r="E249">
            <v>0</v>
          </cell>
          <cell r="F249">
            <v>251</v>
          </cell>
        </row>
        <row r="250">
          <cell r="B250">
            <v>40001389</v>
          </cell>
          <cell r="C250" t="str">
            <v xml:space="preserve"> NO.1 COCO  NEEM 115G 72PK EXPORT</v>
          </cell>
          <cell r="D250">
            <v>250.59725</v>
          </cell>
          <cell r="E250">
            <v>0</v>
          </cell>
          <cell r="F250">
            <v>250.59725</v>
          </cell>
        </row>
        <row r="251">
          <cell r="B251">
            <v>40063613</v>
          </cell>
          <cell r="C251" t="str">
            <v>AER MATIC COMBI VVB 210ML P6 M599 NF</v>
          </cell>
          <cell r="D251">
            <v>250</v>
          </cell>
          <cell r="E251">
            <v>0</v>
          </cell>
          <cell r="F251">
            <v>250</v>
          </cell>
        </row>
        <row r="252">
          <cell r="B252">
            <v>40057059</v>
          </cell>
          <cell r="C252" t="str">
            <v>GODREJ FAB 3.2LTR POUCH  W/O MRP P4-GGME</v>
          </cell>
          <cell r="D252">
            <v>246.75</v>
          </cell>
          <cell r="E252">
            <v>0</v>
          </cell>
          <cell r="F252">
            <v>246.75</v>
          </cell>
        </row>
        <row r="253">
          <cell r="B253">
            <v>40064823</v>
          </cell>
          <cell r="C253" t="str">
            <v>NO1LIME&amp;AV 125G PO4 M115 P30 RSTRD NF2</v>
          </cell>
          <cell r="D253">
            <v>0</v>
          </cell>
          <cell r="E253">
            <v>246</v>
          </cell>
          <cell r="F253">
            <v>246</v>
          </cell>
        </row>
        <row r="254">
          <cell r="B254">
            <v>40041820</v>
          </cell>
          <cell r="C254" t="str">
            <v>GodMag RTMFlrClnrLavRef55mlPO8M40P128</v>
          </cell>
          <cell r="D254">
            <v>245</v>
          </cell>
          <cell r="E254">
            <v>0</v>
          </cell>
          <cell r="F254">
            <v>245</v>
          </cell>
        </row>
        <row r="255">
          <cell r="B255">
            <v>40064537</v>
          </cell>
          <cell r="C255" t="str">
            <v>GODMAGCRTMHWLIMEREF9GP18 M10P360SRP20MT</v>
          </cell>
          <cell r="D255">
            <v>245</v>
          </cell>
          <cell r="E255">
            <v>0</v>
          </cell>
          <cell r="F255">
            <v>245</v>
          </cell>
        </row>
        <row r="256">
          <cell r="B256">
            <v>40062205</v>
          </cell>
          <cell r="C256" t="str">
            <v>GP NEW COLORPLAYSHADE 3 M370 70G P24</v>
          </cell>
          <cell r="D256">
            <v>245</v>
          </cell>
          <cell r="E256">
            <v>0</v>
          </cell>
          <cell r="F256">
            <v>245</v>
          </cell>
        </row>
        <row r="257">
          <cell r="B257">
            <v>40065167</v>
          </cell>
          <cell r="C257" t="str">
            <v>AERPWRPCKT PO3 LMN TAN M195P36 NEW</v>
          </cell>
          <cell r="D257">
            <v>244</v>
          </cell>
          <cell r="E257">
            <v>0</v>
          </cell>
          <cell r="F257">
            <v>244</v>
          </cell>
        </row>
        <row r="258">
          <cell r="B258">
            <v>40042202</v>
          </cell>
          <cell r="C258" t="str">
            <v>PA GMDEOSHOT 40ML (RS 80) W/O HANGP144</v>
          </cell>
          <cell r="D258">
            <v>242.00169444444401</v>
          </cell>
          <cell r="E258">
            <v>0</v>
          </cell>
          <cell r="F258">
            <v>242.00169444444401</v>
          </cell>
        </row>
        <row r="259">
          <cell r="B259">
            <v>40063659</v>
          </cell>
          <cell r="C259" t="str">
            <v>GK COIL ADV LOWSMOKE 12HR M47 P60 HP</v>
          </cell>
          <cell r="D259">
            <v>235</v>
          </cell>
          <cell r="E259">
            <v>0</v>
          </cell>
          <cell r="F259">
            <v>235</v>
          </cell>
        </row>
        <row r="260">
          <cell r="B260">
            <v>40059440</v>
          </cell>
          <cell r="C260" t="str">
            <v>AERPOWERPOCKET ASRTED 40GPO4 P36 EXP CC</v>
          </cell>
          <cell r="D260">
            <v>229.666666666667</v>
          </cell>
          <cell r="E260">
            <v>0</v>
          </cell>
          <cell r="F260">
            <v>229.666666666667</v>
          </cell>
        </row>
        <row r="261">
          <cell r="B261">
            <v>40063754</v>
          </cell>
          <cell r="C261" t="str">
            <v>EXPCRM 11G BLK BRWN P240 M15 HRM</v>
          </cell>
          <cell r="D261">
            <v>228.9545</v>
          </cell>
          <cell r="E261">
            <v>0</v>
          </cell>
          <cell r="F261">
            <v>228.9545</v>
          </cell>
        </row>
        <row r="262">
          <cell r="B262">
            <v>40063022</v>
          </cell>
          <cell r="C262" t="str">
            <v>AER PO5 PWRPCKT ASSORTED M350P24 ECOM NF</v>
          </cell>
          <cell r="D262">
            <v>224</v>
          </cell>
          <cell r="E262">
            <v>0</v>
          </cell>
          <cell r="F262">
            <v>224</v>
          </cell>
        </row>
        <row r="263">
          <cell r="B263">
            <v>40024689</v>
          </cell>
          <cell r="C263" t="str">
            <v>GK CARE MINI JUMBO PS:60 - EXP CC</v>
          </cell>
          <cell r="D263">
            <v>224</v>
          </cell>
          <cell r="E263">
            <v>0</v>
          </cell>
          <cell r="F263">
            <v>224</v>
          </cell>
        </row>
        <row r="264">
          <cell r="B264">
            <v>40064255</v>
          </cell>
          <cell r="C264" t="str">
            <v>EXP CRÃ¨ME BUR PO8 P240 W/O MRP-MT-EGYPT</v>
          </cell>
          <cell r="D264">
            <v>222</v>
          </cell>
          <cell r="E264">
            <v>0</v>
          </cell>
          <cell r="F264">
            <v>222</v>
          </cell>
        </row>
        <row r="265">
          <cell r="B265">
            <v>40062261</v>
          </cell>
          <cell r="C265" t="str">
            <v>PA CB AER 150ML P48 GCPL GGME W/O M</v>
          </cell>
          <cell r="D265">
            <v>221</v>
          </cell>
          <cell r="E265">
            <v>0</v>
          </cell>
          <cell r="F265">
            <v>221</v>
          </cell>
        </row>
        <row r="266">
          <cell r="B266">
            <v>40062260</v>
          </cell>
          <cell r="C266" t="str">
            <v>PA STORM AER 150MLP48 GCPL GGME W/O M</v>
          </cell>
          <cell r="D266">
            <v>221</v>
          </cell>
          <cell r="E266">
            <v>0</v>
          </cell>
          <cell r="F266">
            <v>221</v>
          </cell>
        </row>
        <row r="267">
          <cell r="B267">
            <v>40050286</v>
          </cell>
          <cell r="C267" t="str">
            <v>AER O Roseblssm7.5g PO60-W/O MRP-EXP</v>
          </cell>
          <cell r="D267">
            <v>220.6</v>
          </cell>
          <cell r="E267">
            <v>0</v>
          </cell>
          <cell r="F267">
            <v>220.6</v>
          </cell>
        </row>
        <row r="268">
          <cell r="B268">
            <v>40032977</v>
          </cell>
          <cell r="C268" t="str">
            <v>Expert crème BlkBwn PO8 P240 W/O MRP-MT</v>
          </cell>
          <cell r="D268">
            <v>217.833333333333</v>
          </cell>
          <cell r="E268">
            <v>0</v>
          </cell>
          <cell r="F268">
            <v>217.833333333333</v>
          </cell>
        </row>
        <row r="269">
          <cell r="B269">
            <v>40065841</v>
          </cell>
          <cell r="C269" t="str">
            <v>CIN SANDL BDWSH BTTLE 200ML M99P30 GT</v>
          </cell>
          <cell r="D269">
            <v>217</v>
          </cell>
          <cell r="E269">
            <v>0</v>
          </cell>
          <cell r="F269">
            <v>217</v>
          </cell>
        </row>
        <row r="270">
          <cell r="B270">
            <v>40024690</v>
          </cell>
          <cell r="C270" t="str">
            <v>BLACK HENNA New Laminate 3gmX48X5–SUDAN</v>
          </cell>
          <cell r="D270">
            <v>214</v>
          </cell>
          <cell r="E270">
            <v>0</v>
          </cell>
          <cell r="F270">
            <v>214</v>
          </cell>
        </row>
        <row r="271">
          <cell r="B271">
            <v>40058316</v>
          </cell>
          <cell r="C271" t="str">
            <v>PA AW (5+1) 40+8TSTR M225 P40 (8*6)INER</v>
          </cell>
          <cell r="D271">
            <v>213</v>
          </cell>
          <cell r="E271">
            <v>0</v>
          </cell>
          <cell r="F271">
            <v>213</v>
          </cell>
        </row>
        <row r="272">
          <cell r="B272">
            <v>40057184</v>
          </cell>
          <cell r="C272" t="str">
            <v>KS RUSH AER 150ML P24 GCPL W/O MRP GGME</v>
          </cell>
          <cell r="D272">
            <v>213</v>
          </cell>
          <cell r="E272">
            <v>0</v>
          </cell>
          <cell r="F272">
            <v>213</v>
          </cell>
        </row>
        <row r="273">
          <cell r="B273">
            <v>40056815</v>
          </cell>
          <cell r="C273" t="str">
            <v>EZEE SACHET 18G (12U X 54N) P648 M5 NF</v>
          </cell>
          <cell r="D273">
            <v>6</v>
          </cell>
          <cell r="E273">
            <v>200</v>
          </cell>
          <cell r="F273">
            <v>206</v>
          </cell>
        </row>
        <row r="274">
          <cell r="B274">
            <v>40059326</v>
          </cell>
          <cell r="C274" t="str">
            <v>PA NEO AER 150ML (PO3) M250 P48 GCPL</v>
          </cell>
          <cell r="D274">
            <v>204</v>
          </cell>
          <cell r="E274">
            <v>0</v>
          </cell>
          <cell r="F274">
            <v>204</v>
          </cell>
        </row>
        <row r="275">
          <cell r="B275">
            <v>40063902</v>
          </cell>
          <cell r="C275" t="str">
            <v>AERPOWERPOCKET NEEM HERBAL 10G M70P120</v>
          </cell>
          <cell r="D275">
            <v>203</v>
          </cell>
          <cell r="E275">
            <v>0</v>
          </cell>
          <cell r="F275">
            <v>203</v>
          </cell>
        </row>
        <row r="276">
          <cell r="B276">
            <v>40064990</v>
          </cell>
          <cell r="C276" t="str">
            <v>GODREJ HAIRLAB SS NATBLACK M229 P24ECOMM</v>
          </cell>
          <cell r="D276">
            <v>201</v>
          </cell>
          <cell r="E276">
            <v>0</v>
          </cell>
          <cell r="F276">
            <v>201</v>
          </cell>
        </row>
        <row r="277">
          <cell r="B277">
            <v>40064883</v>
          </cell>
          <cell r="C277" t="str">
            <v>EZEE 2KG POUCH M460 P6 NF OA NEW PACK</v>
          </cell>
          <cell r="D277">
            <v>0</v>
          </cell>
          <cell r="E277">
            <v>200</v>
          </cell>
          <cell r="F277">
            <v>200</v>
          </cell>
        </row>
        <row r="278">
          <cell r="B278">
            <v>40059605</v>
          </cell>
          <cell r="C278" t="str">
            <v>EZEE 36G SACHET(12UX18N) M10 P216 NEWPCK</v>
          </cell>
          <cell r="D278">
            <v>200</v>
          </cell>
          <cell r="E278">
            <v>0</v>
          </cell>
          <cell r="F278">
            <v>200</v>
          </cell>
        </row>
        <row r="279">
          <cell r="B279">
            <v>40063604</v>
          </cell>
          <cell r="C279" t="str">
            <v>GENTEEL TL 2KG POUCH M340 P6 NEWPRF</v>
          </cell>
          <cell r="D279">
            <v>200</v>
          </cell>
          <cell r="E279">
            <v>0</v>
          </cell>
          <cell r="F279">
            <v>200</v>
          </cell>
        </row>
        <row r="280">
          <cell r="B280">
            <v>40064855</v>
          </cell>
          <cell r="C280" t="str">
            <v>NO1 COCONM 100G PO5 M115 P36 NDRSTRD NF2</v>
          </cell>
          <cell r="D280">
            <v>0</v>
          </cell>
          <cell r="E280">
            <v>200</v>
          </cell>
          <cell r="F280">
            <v>200</v>
          </cell>
        </row>
        <row r="281">
          <cell r="B281">
            <v>40064825</v>
          </cell>
          <cell r="C281" t="str">
            <v>NO1ROSE ALMND150G PO4M200 P24MT RSTRDNF2</v>
          </cell>
          <cell r="D281">
            <v>200</v>
          </cell>
          <cell r="E281">
            <v>0</v>
          </cell>
          <cell r="F281">
            <v>200</v>
          </cell>
        </row>
        <row r="282">
          <cell r="B282">
            <v>40050860</v>
          </cell>
          <cell r="C282" t="str">
            <v>GODREJ FAB 2LTR POUCH PK6 NF EXP CC</v>
          </cell>
          <cell r="D282">
            <v>200</v>
          </cell>
          <cell r="E282">
            <v>0</v>
          </cell>
          <cell r="F282">
            <v>200</v>
          </cell>
        </row>
        <row r="283">
          <cell r="B283">
            <v>40065729</v>
          </cell>
          <cell r="C283" t="str">
            <v>EXPERT CRÈME NT BWN B2G1F P240 - EGYPT</v>
          </cell>
          <cell r="D283">
            <v>200</v>
          </cell>
          <cell r="E283">
            <v>0</v>
          </cell>
          <cell r="F283">
            <v>200</v>
          </cell>
        </row>
        <row r="284">
          <cell r="B284">
            <v>40063407</v>
          </cell>
          <cell r="C284" t="str">
            <v>AERPWRPCKT JASFLORDELI 10G M70P120</v>
          </cell>
          <cell r="D284">
            <v>200</v>
          </cell>
          <cell r="E284">
            <v>0</v>
          </cell>
          <cell r="F284">
            <v>200</v>
          </cell>
        </row>
        <row r="285">
          <cell r="B285">
            <v>40061257</v>
          </cell>
          <cell r="C285" t="str">
            <v>PA SIG. DISCOVER AER 150ML M250 P24-LIQ</v>
          </cell>
          <cell r="D285">
            <v>199</v>
          </cell>
          <cell r="E285">
            <v>0</v>
          </cell>
          <cell r="F285">
            <v>199</v>
          </cell>
        </row>
        <row r="286">
          <cell r="B286">
            <v>40060535</v>
          </cell>
          <cell r="C286" t="str">
            <v>CIN SHAVING CREAM LIME FRESH 78G M80 P72</v>
          </cell>
          <cell r="D286">
            <v>152</v>
          </cell>
          <cell r="E286">
            <v>46</v>
          </cell>
          <cell r="F286">
            <v>198</v>
          </cell>
        </row>
        <row r="287">
          <cell r="B287">
            <v>40065915</v>
          </cell>
          <cell r="C287" t="str">
            <v>GK FLASH LAV COMBI M120 P60 RNF PCB</v>
          </cell>
          <cell r="D287">
            <v>195</v>
          </cell>
          <cell r="E287">
            <v>0</v>
          </cell>
          <cell r="F287">
            <v>195</v>
          </cell>
        </row>
        <row r="288">
          <cell r="B288">
            <v>40065477</v>
          </cell>
          <cell r="C288" t="str">
            <v>PA EDP HARMONY 100ML M599P10 GT(10+2) RE</v>
          </cell>
          <cell r="D288">
            <v>191.8</v>
          </cell>
          <cell r="E288">
            <v>0</v>
          </cell>
          <cell r="F288">
            <v>191.8</v>
          </cell>
        </row>
        <row r="289">
          <cell r="B289">
            <v>40043951</v>
          </cell>
          <cell r="C289" t="str">
            <v>PA STORM AER 150ML M225 P72 CSD GCPL</v>
          </cell>
          <cell r="D289">
            <v>191.00077777777801</v>
          </cell>
          <cell r="E289">
            <v>0</v>
          </cell>
          <cell r="F289">
            <v>191.00077777777801</v>
          </cell>
        </row>
        <row r="290">
          <cell r="B290">
            <v>40065325</v>
          </cell>
          <cell r="C290" t="str">
            <v>PA EDP CONQ 100ML P12 MT NEWAW SL</v>
          </cell>
          <cell r="D290">
            <v>191</v>
          </cell>
          <cell r="E290">
            <v>0</v>
          </cell>
          <cell r="F290">
            <v>191</v>
          </cell>
        </row>
        <row r="291">
          <cell r="B291">
            <v>40065478</v>
          </cell>
          <cell r="C291" t="str">
            <v>PA EDP CONQ 100ML M599P10 GT(10+2) RE</v>
          </cell>
          <cell r="D291">
            <v>187.8</v>
          </cell>
          <cell r="E291">
            <v>0</v>
          </cell>
          <cell r="F291">
            <v>187.8</v>
          </cell>
        </row>
        <row r="292">
          <cell r="B292">
            <v>40063810</v>
          </cell>
          <cell r="C292" t="str">
            <v>CIN LIME 125G PO3 (BANDED) M140 P40-MT</v>
          </cell>
          <cell r="D292">
            <v>37</v>
          </cell>
          <cell r="E292">
            <v>150</v>
          </cell>
          <cell r="F292">
            <v>187</v>
          </cell>
        </row>
        <row r="293">
          <cell r="B293">
            <v>40063509</v>
          </cell>
          <cell r="C293" t="str">
            <v>NO1LIM&amp;AL150GPO9 M449P10ECOFKND RSTR NF2</v>
          </cell>
          <cell r="D293">
            <v>180</v>
          </cell>
          <cell r="E293">
            <v>0</v>
          </cell>
          <cell r="F293">
            <v>180</v>
          </cell>
        </row>
        <row r="294">
          <cell r="B294">
            <v>40013364</v>
          </cell>
          <cell r="C294" t="str">
            <v>HIT CIK 320ML P50 -EXP-CC</v>
          </cell>
          <cell r="D294">
            <v>180</v>
          </cell>
          <cell r="E294">
            <v>0</v>
          </cell>
          <cell r="F294">
            <v>180</v>
          </cell>
        </row>
        <row r="295">
          <cell r="B295">
            <v>40060544</v>
          </cell>
          <cell r="C295" t="str">
            <v>AERPWRPOCTK FLOR DELI10GP144(6X4)WALMART</v>
          </cell>
          <cell r="D295">
            <v>178.791666666667</v>
          </cell>
          <cell r="E295">
            <v>0</v>
          </cell>
          <cell r="F295">
            <v>178.791666666667</v>
          </cell>
        </row>
        <row r="296">
          <cell r="B296">
            <v>40064946</v>
          </cell>
          <cell r="C296" t="str">
            <v>SPIC TC 1L P12 GGME</v>
          </cell>
          <cell r="D296">
            <v>176</v>
          </cell>
          <cell r="E296">
            <v>0</v>
          </cell>
          <cell r="F296">
            <v>176</v>
          </cell>
        </row>
        <row r="297">
          <cell r="B297">
            <v>40037165</v>
          </cell>
          <cell r="C297" t="str">
            <v>GK SUPER MATS 30s P200 (3yr)-EXP NEW A/W</v>
          </cell>
          <cell r="D297">
            <v>175.97</v>
          </cell>
          <cell r="E297">
            <v>0</v>
          </cell>
          <cell r="F297">
            <v>175.97</v>
          </cell>
        </row>
        <row r="298">
          <cell r="B298">
            <v>40042297</v>
          </cell>
          <cell r="C298" t="str">
            <v>God SelfieSHC 9ml+9ml P144 NBrwn-W/O MRP</v>
          </cell>
          <cell r="D298">
            <v>172.722222222222</v>
          </cell>
          <cell r="E298">
            <v>0</v>
          </cell>
          <cell r="F298">
            <v>172.722222222222</v>
          </cell>
        </row>
        <row r="299">
          <cell r="B299">
            <v>40063422</v>
          </cell>
          <cell r="C299" t="str">
            <v>EXPERT CRÈMEPO4NATBLKM148P24 ECOM ND</v>
          </cell>
          <cell r="D299">
            <v>171</v>
          </cell>
          <cell r="E299">
            <v>0</v>
          </cell>
          <cell r="F299">
            <v>171</v>
          </cell>
        </row>
        <row r="300">
          <cell r="B300">
            <v>40017832</v>
          </cell>
          <cell r="C300" t="str">
            <v xml:space="preserve"> Nupur Heena 120g (9 herbs) P72 -EXP</v>
          </cell>
          <cell r="D300">
            <v>170</v>
          </cell>
          <cell r="E300">
            <v>0</v>
          </cell>
          <cell r="F300">
            <v>170</v>
          </cell>
        </row>
        <row r="301">
          <cell r="B301">
            <v>40058625</v>
          </cell>
          <cell r="C301" t="str">
            <v>AER MATIC COMBI CSB 210ML P6 GGME W/OM</v>
          </cell>
          <cell r="D301">
            <v>169.333333333333</v>
          </cell>
          <cell r="E301">
            <v>0</v>
          </cell>
          <cell r="F301">
            <v>169.333333333333</v>
          </cell>
        </row>
        <row r="302">
          <cell r="B302">
            <v>40061636</v>
          </cell>
          <cell r="C302" t="str">
            <v>PA NEO AER 150ML (PO3) M250 P48 GCPL -SL</v>
          </cell>
          <cell r="D302">
            <v>168</v>
          </cell>
          <cell r="E302">
            <v>0</v>
          </cell>
          <cell r="F302">
            <v>168</v>
          </cell>
        </row>
        <row r="303">
          <cell r="B303">
            <v>40062332</v>
          </cell>
          <cell r="C303" t="str">
            <v>KS10'S SKINFEEL M180 P480 NEWAW</v>
          </cell>
          <cell r="D303">
            <v>0</v>
          </cell>
          <cell r="E303">
            <v>167</v>
          </cell>
          <cell r="F303">
            <v>167</v>
          </cell>
        </row>
        <row r="304">
          <cell r="B304">
            <v>40065040</v>
          </cell>
          <cell r="C304" t="str">
            <v>CIN ORIGINAL 100G NP SINGLE M45 P160</v>
          </cell>
          <cell r="D304">
            <v>4</v>
          </cell>
          <cell r="E304">
            <v>160</v>
          </cell>
          <cell r="F304">
            <v>164</v>
          </cell>
        </row>
        <row r="305">
          <cell r="B305">
            <v>40063198</v>
          </cell>
          <cell r="C305" t="str">
            <v>NO1 RSEWTR ALMND 43G PO4M40P54 RSTRD NF2</v>
          </cell>
          <cell r="D305">
            <v>0</v>
          </cell>
          <cell r="E305">
            <v>162</v>
          </cell>
          <cell r="F305">
            <v>162</v>
          </cell>
        </row>
        <row r="306">
          <cell r="B306">
            <v>40064241</v>
          </cell>
          <cell r="C306" t="str">
            <v>GP DIMENSION SHADE 1 M440 70G P24</v>
          </cell>
          <cell r="D306">
            <v>159</v>
          </cell>
          <cell r="E306">
            <v>0</v>
          </cell>
          <cell r="F306">
            <v>159</v>
          </cell>
        </row>
        <row r="307">
          <cell r="B307">
            <v>40064518</v>
          </cell>
          <cell r="C307" t="str">
            <v>GODREJ XPRESS NBLK18MLPO8 M30 P144 MT ND</v>
          </cell>
          <cell r="D307">
            <v>158</v>
          </cell>
          <cell r="E307">
            <v>0</v>
          </cell>
          <cell r="F307">
            <v>158</v>
          </cell>
        </row>
        <row r="308">
          <cell r="B308">
            <v>40058609</v>
          </cell>
          <cell r="C308" t="str">
            <v>AER MATIC SPRYREF CSB 210ML P18 GGMEW/OM</v>
          </cell>
          <cell r="D308">
            <v>155.833333333333</v>
          </cell>
          <cell r="E308">
            <v>0</v>
          </cell>
          <cell r="F308">
            <v>155.833333333333</v>
          </cell>
        </row>
        <row r="309">
          <cell r="B309">
            <v>40050277</v>
          </cell>
          <cell r="C309" t="str">
            <v>AER O Coolaqua7.5gPO60-W/O MRP-EXP</v>
          </cell>
          <cell r="D309">
            <v>155.65</v>
          </cell>
          <cell r="E309">
            <v>0</v>
          </cell>
          <cell r="F309">
            <v>155.65</v>
          </cell>
        </row>
        <row r="310">
          <cell r="B310">
            <v>40058604</v>
          </cell>
          <cell r="C310" t="str">
            <v>AER MATIC SPRYREF FLG 210ML P18 GGMEWO/M</v>
          </cell>
          <cell r="D310">
            <v>155</v>
          </cell>
          <cell r="E310">
            <v>0</v>
          </cell>
          <cell r="F310">
            <v>155</v>
          </cell>
        </row>
        <row r="311">
          <cell r="B311">
            <v>40041862</v>
          </cell>
          <cell r="C311" t="str">
            <v>PA Perf Elevate 100g M235 RL P72 GCPL</v>
          </cell>
          <cell r="D311">
            <v>155</v>
          </cell>
          <cell r="E311">
            <v>0</v>
          </cell>
          <cell r="F311">
            <v>155</v>
          </cell>
        </row>
        <row r="312">
          <cell r="B312">
            <v>40050288</v>
          </cell>
          <cell r="C312" t="str">
            <v>PREMIUM EDC GB 200ML M250P24</v>
          </cell>
          <cell r="D312">
            <v>155</v>
          </cell>
          <cell r="E312">
            <v>0</v>
          </cell>
          <cell r="F312">
            <v>155</v>
          </cell>
        </row>
        <row r="313">
          <cell r="B313">
            <v>40063587</v>
          </cell>
          <cell r="C313" t="str">
            <v>CIN HEALTH+ 100G PO3M140 P50 GT RSTRD</v>
          </cell>
          <cell r="D313">
            <v>153</v>
          </cell>
          <cell r="E313">
            <v>0</v>
          </cell>
          <cell r="F313">
            <v>153</v>
          </cell>
        </row>
        <row r="314">
          <cell r="B314">
            <v>40057966</v>
          </cell>
          <cell r="C314" t="str">
            <v>KS URGE 120ML M99.00 P48 GCPL</v>
          </cell>
          <cell r="D314">
            <v>153</v>
          </cell>
          <cell r="E314">
            <v>0</v>
          </cell>
          <cell r="F314">
            <v>153</v>
          </cell>
        </row>
        <row r="315">
          <cell r="B315">
            <v>40057177</v>
          </cell>
          <cell r="C315" t="str">
            <v>PA EDP CONQUER100ML GTTSTR W/O M P6 GGME</v>
          </cell>
          <cell r="D315">
            <v>153</v>
          </cell>
          <cell r="E315">
            <v>0</v>
          </cell>
          <cell r="F315">
            <v>153</v>
          </cell>
        </row>
        <row r="316">
          <cell r="B316">
            <v>40028215</v>
          </cell>
          <cell r="C316" t="str">
            <v>NUPUR NATURAL MEHENDI 200G 60PK GCC-EXP</v>
          </cell>
          <cell r="D316">
            <v>152</v>
          </cell>
          <cell r="E316">
            <v>0</v>
          </cell>
          <cell r="F316">
            <v>152</v>
          </cell>
        </row>
        <row r="317">
          <cell r="B317">
            <v>40001399</v>
          </cell>
          <cell r="C317" t="str">
            <v xml:space="preserve"> NO.1 LAVENDER 115G 72 PK EXPORT</v>
          </cell>
          <cell r="D317">
            <v>150.777777777778</v>
          </cell>
          <cell r="E317">
            <v>0</v>
          </cell>
          <cell r="F317">
            <v>150.777777777778</v>
          </cell>
        </row>
        <row r="318">
          <cell r="B318">
            <v>40066260</v>
          </cell>
          <cell r="C318" t="str">
            <v>GODREJ FAB 800GM POUCH P14-EXP-CC</v>
          </cell>
          <cell r="D318">
            <v>150</v>
          </cell>
          <cell r="E318">
            <v>0</v>
          </cell>
          <cell r="F318">
            <v>150</v>
          </cell>
        </row>
        <row r="319">
          <cell r="B319">
            <v>40058605</v>
          </cell>
          <cell r="C319" t="str">
            <v>AER MATIC COMBI PCP 210ML P6 GGME W/OM</v>
          </cell>
          <cell r="D319">
            <v>150</v>
          </cell>
          <cell r="E319">
            <v>0</v>
          </cell>
          <cell r="F319">
            <v>150</v>
          </cell>
        </row>
        <row r="320">
          <cell r="B320">
            <v>40028293</v>
          </cell>
          <cell r="C320" t="str">
            <v>AER TWIST MUSK AFTERSMK GCC - EXP</v>
          </cell>
          <cell r="D320">
            <v>150</v>
          </cell>
          <cell r="E320">
            <v>0</v>
          </cell>
          <cell r="F320">
            <v>150</v>
          </cell>
        </row>
        <row r="321">
          <cell r="B321">
            <v>40065702</v>
          </cell>
          <cell r="C321" t="str">
            <v>SPIC TC 1L P12 NIGERIA</v>
          </cell>
          <cell r="D321">
            <v>150</v>
          </cell>
          <cell r="E321">
            <v>0</v>
          </cell>
          <cell r="F321">
            <v>150</v>
          </cell>
        </row>
        <row r="322">
          <cell r="B322">
            <v>40062179</v>
          </cell>
          <cell r="C322" t="str">
            <v>CROWNING GLORY 75G PO4 M140 P50 NEW</v>
          </cell>
          <cell r="D322">
            <v>0</v>
          </cell>
          <cell r="E322">
            <v>150</v>
          </cell>
          <cell r="F322">
            <v>150</v>
          </cell>
        </row>
        <row r="323">
          <cell r="B323">
            <v>40057172</v>
          </cell>
          <cell r="C323" t="str">
            <v>PA EDP HARMONY 100ML G W/O MRP P6 GGME</v>
          </cell>
          <cell r="D323">
            <v>148</v>
          </cell>
          <cell r="E323">
            <v>0</v>
          </cell>
          <cell r="F323">
            <v>148</v>
          </cell>
        </row>
        <row r="324">
          <cell r="B324">
            <v>40034052</v>
          </cell>
          <cell r="C324" t="str">
            <v>CIN DEO SPORT SOAP125G PK72 W/O MRP-THAI</v>
          </cell>
          <cell r="D324">
            <v>148</v>
          </cell>
          <cell r="E324">
            <v>0</v>
          </cell>
          <cell r="F324">
            <v>148</v>
          </cell>
        </row>
        <row r="325">
          <cell r="B325">
            <v>40062225</v>
          </cell>
          <cell r="C325" t="str">
            <v>PA VOYAGE AER 150 ML P48 GCPL GGME W/O M</v>
          </cell>
          <cell r="D325">
            <v>146</v>
          </cell>
          <cell r="E325">
            <v>0</v>
          </cell>
          <cell r="F325">
            <v>146</v>
          </cell>
        </row>
        <row r="326">
          <cell r="B326">
            <v>40063895</v>
          </cell>
          <cell r="C326" t="str">
            <v>AER SPRAY COOLAQUA 180ML P24 EXP CC</v>
          </cell>
          <cell r="D326">
            <v>145</v>
          </cell>
          <cell r="E326">
            <v>0</v>
          </cell>
          <cell r="F326">
            <v>145</v>
          </cell>
        </row>
        <row r="327">
          <cell r="B327">
            <v>40063871</v>
          </cell>
          <cell r="C327" t="str">
            <v>AER SPRAY LAVENDERBLOOM 180ML P24 EXP CC</v>
          </cell>
          <cell r="D327">
            <v>145</v>
          </cell>
          <cell r="E327">
            <v>0</v>
          </cell>
          <cell r="F327">
            <v>145</v>
          </cell>
        </row>
        <row r="328">
          <cell r="B328">
            <v>40064999</v>
          </cell>
          <cell r="C328" t="str">
            <v>CIN LIME 100G SINGLES M45 P150 NEW RSTRD</v>
          </cell>
          <cell r="D328">
            <v>0</v>
          </cell>
          <cell r="E328">
            <v>144</v>
          </cell>
          <cell r="F328">
            <v>144</v>
          </cell>
        </row>
        <row r="329">
          <cell r="B329">
            <v>40062345</v>
          </cell>
          <cell r="C329" t="str">
            <v>AER O CARAMEL LATTE 7.5G M99P60</v>
          </cell>
          <cell r="D329">
            <v>143</v>
          </cell>
          <cell r="E329">
            <v>0</v>
          </cell>
          <cell r="F329">
            <v>143</v>
          </cell>
        </row>
        <row r="330">
          <cell r="B330">
            <v>40062326</v>
          </cell>
          <cell r="C330" t="str">
            <v>KS3'S MANGO FLV M30 P1440 INCR NEWAW</v>
          </cell>
          <cell r="D330">
            <v>142</v>
          </cell>
          <cell r="E330">
            <v>0</v>
          </cell>
          <cell r="F330">
            <v>142</v>
          </cell>
        </row>
        <row r="331">
          <cell r="B331">
            <v>40062014</v>
          </cell>
          <cell r="C331" t="str">
            <v>AER PLUG REFILL V BLOOM 25ML 2R M199P36</v>
          </cell>
          <cell r="D331">
            <v>140.833333333333</v>
          </cell>
          <cell r="E331">
            <v>0</v>
          </cell>
          <cell r="F331">
            <v>140.833333333333</v>
          </cell>
        </row>
        <row r="332">
          <cell r="B332">
            <v>40028225</v>
          </cell>
          <cell r="C332" t="str">
            <v>AER TWIST FRESH LUSH GRN GCC - EXP</v>
          </cell>
          <cell r="D332">
            <v>140.80000000000001</v>
          </cell>
          <cell r="E332">
            <v>0</v>
          </cell>
          <cell r="F332">
            <v>140.80000000000001</v>
          </cell>
        </row>
        <row r="333">
          <cell r="B333">
            <v>40031643</v>
          </cell>
          <cell r="C333" t="str">
            <v>ExpCreme 20g P010 NBlk P240 - EXP-GT</v>
          </cell>
          <cell r="D333">
            <v>140</v>
          </cell>
          <cell r="E333">
            <v>0</v>
          </cell>
          <cell r="F333">
            <v>140</v>
          </cell>
        </row>
        <row r="334">
          <cell r="B334">
            <v>40063845</v>
          </cell>
          <cell r="C334" t="str">
            <v>AER SPRY JASMINEDELIGHT 180ML P24 EXP CC</v>
          </cell>
          <cell r="D334">
            <v>140</v>
          </cell>
          <cell r="E334">
            <v>0</v>
          </cell>
          <cell r="F334">
            <v>140</v>
          </cell>
        </row>
        <row r="335">
          <cell r="B335">
            <v>40062464</v>
          </cell>
          <cell r="C335" t="str">
            <v>AER O ORANGE PUNCH 7.5G M99P60</v>
          </cell>
          <cell r="D335">
            <v>139</v>
          </cell>
          <cell r="E335">
            <v>0</v>
          </cell>
          <cell r="F335">
            <v>139</v>
          </cell>
        </row>
        <row r="336">
          <cell r="B336">
            <v>40065273</v>
          </cell>
          <cell r="C336" t="str">
            <v>AERPWRPCKT JASMINE BLM B4G1 M280P24 NF</v>
          </cell>
          <cell r="D336">
            <v>138</v>
          </cell>
          <cell r="E336">
            <v>0</v>
          </cell>
          <cell r="F336">
            <v>138</v>
          </cell>
        </row>
        <row r="337">
          <cell r="B337">
            <v>40042795</v>
          </cell>
          <cell r="C337" t="str">
            <v>TECHNICAL PERBORATE (A) ABHA SL</v>
          </cell>
          <cell r="D337">
            <v>135</v>
          </cell>
          <cell r="E337">
            <v>0</v>
          </cell>
          <cell r="F337">
            <v>135</v>
          </cell>
        </row>
        <row r="338">
          <cell r="B338">
            <v>40063885</v>
          </cell>
          <cell r="C338" t="str">
            <v>AER SPRAY FOREST FRESH 180ML P24 EXP CC</v>
          </cell>
          <cell r="D338">
            <v>135</v>
          </cell>
          <cell r="E338">
            <v>0</v>
          </cell>
          <cell r="F338">
            <v>135</v>
          </cell>
        </row>
        <row r="339">
          <cell r="B339">
            <v>40063870</v>
          </cell>
          <cell r="C339" t="str">
            <v>AER SPRY ROSEBLOSSOM 180ML P24 EXP CC</v>
          </cell>
          <cell r="D339">
            <v>135</v>
          </cell>
          <cell r="E339">
            <v>0</v>
          </cell>
          <cell r="F339">
            <v>135</v>
          </cell>
        </row>
        <row r="340">
          <cell r="B340">
            <v>40063869</v>
          </cell>
          <cell r="C340" t="str">
            <v>AER SPRY MYSTIC MUSK 180ML P24EXP CC</v>
          </cell>
          <cell r="D340">
            <v>135</v>
          </cell>
          <cell r="E340">
            <v>0</v>
          </cell>
          <cell r="F340">
            <v>135</v>
          </cell>
        </row>
        <row r="341">
          <cell r="B341">
            <v>40060546</v>
          </cell>
          <cell r="C341" t="str">
            <v>AERPWRPOCTK SEA BREEZ10GP144(6X4)WALMART</v>
          </cell>
          <cell r="D341">
            <v>131.791666666667</v>
          </cell>
          <cell r="E341">
            <v>0</v>
          </cell>
          <cell r="F341">
            <v>131.791666666667</v>
          </cell>
        </row>
        <row r="342">
          <cell r="B342">
            <v>40031191</v>
          </cell>
          <cell r="C342" t="str">
            <v>FRESH GLOW CARTON 125G P72-EXP</v>
          </cell>
          <cell r="D342">
            <v>131.791666666667</v>
          </cell>
          <cell r="E342">
            <v>0</v>
          </cell>
          <cell r="F342">
            <v>131.791666666667</v>
          </cell>
        </row>
        <row r="343">
          <cell r="B343">
            <v>40056965</v>
          </cell>
          <cell r="C343" t="str">
            <v>PA NATURELCOLLECSPICETRAIL150ML M260P72</v>
          </cell>
          <cell r="D343">
            <v>130.000666666667</v>
          </cell>
          <cell r="E343">
            <v>0</v>
          </cell>
          <cell r="F343">
            <v>130.000666666667</v>
          </cell>
        </row>
        <row r="344">
          <cell r="B344">
            <v>40062450</v>
          </cell>
          <cell r="C344" t="str">
            <v>NO1LIM&amp;AL150GPO9 M449P10ECOMFKND RSTR NF</v>
          </cell>
          <cell r="D344">
            <v>130</v>
          </cell>
          <cell r="E344">
            <v>0</v>
          </cell>
          <cell r="F344">
            <v>130</v>
          </cell>
        </row>
        <row r="345">
          <cell r="B345">
            <v>40064472</v>
          </cell>
          <cell r="C345" t="str">
            <v>PA EDP TWINPCK EUPHO+ HARMONY M1599P10</v>
          </cell>
          <cell r="D345">
            <v>0</v>
          </cell>
          <cell r="E345">
            <v>130</v>
          </cell>
          <cell r="F345">
            <v>130</v>
          </cell>
        </row>
        <row r="346">
          <cell r="B346">
            <v>40050629</v>
          </cell>
          <cell r="C346" t="str">
            <v>*PASOAPGOODMORNING125GM80.00P108GCPL</v>
          </cell>
          <cell r="D346">
            <v>128.60185185185199</v>
          </cell>
          <cell r="E346">
            <v>0</v>
          </cell>
          <cell r="F346">
            <v>128.60185185185199</v>
          </cell>
        </row>
        <row r="347">
          <cell r="B347">
            <v>40064154</v>
          </cell>
          <cell r="C347" t="str">
            <v>NO1SANDAL&amp;TUR 125G PO4 M115 P30 ND RSTRD</v>
          </cell>
          <cell r="D347">
            <v>126</v>
          </cell>
          <cell r="E347">
            <v>0</v>
          </cell>
          <cell r="F347">
            <v>126</v>
          </cell>
        </row>
        <row r="348">
          <cell r="B348">
            <v>40064677</v>
          </cell>
          <cell r="C348" t="str">
            <v>GODREJ FAB 825GM POUCH P14 NIGERIA</v>
          </cell>
          <cell r="D348">
            <v>126</v>
          </cell>
          <cell r="E348">
            <v>0</v>
          </cell>
          <cell r="F348">
            <v>126</v>
          </cell>
        </row>
        <row r="349">
          <cell r="B349">
            <v>40064242</v>
          </cell>
          <cell r="C349" t="str">
            <v>GP DIMENSION SHADE 4 M440 70G P24</v>
          </cell>
          <cell r="D349">
            <v>125</v>
          </cell>
          <cell r="E349">
            <v>0</v>
          </cell>
          <cell r="F349">
            <v>125</v>
          </cell>
        </row>
        <row r="350">
          <cell r="B350">
            <v>40057159</v>
          </cell>
          <cell r="C350" t="str">
            <v>KS SPARK AER 150ML P24 GCPL W/OMRP GGME</v>
          </cell>
          <cell r="D350">
            <v>125</v>
          </cell>
          <cell r="E350">
            <v>0</v>
          </cell>
          <cell r="F350">
            <v>125</v>
          </cell>
        </row>
        <row r="351">
          <cell r="B351">
            <v>40062537</v>
          </cell>
          <cell r="C351" t="str">
            <v>KS10'S EXTRA DOTTED M150 P480 NEW AW</v>
          </cell>
          <cell r="D351">
            <v>88</v>
          </cell>
          <cell r="E351">
            <v>37</v>
          </cell>
          <cell r="F351">
            <v>125</v>
          </cell>
        </row>
        <row r="352">
          <cell r="B352">
            <v>40060984</v>
          </cell>
          <cell r="C352" t="str">
            <v>AER PWRPOCKTROSEFRBLOSSM10GP120EXP CC NF</v>
          </cell>
          <cell r="D352">
            <v>122.675</v>
          </cell>
          <cell r="E352">
            <v>0</v>
          </cell>
          <cell r="F352">
            <v>122.675</v>
          </cell>
        </row>
        <row r="353">
          <cell r="B353">
            <v>40057546</v>
          </cell>
          <cell r="C353" t="str">
            <v>GERC NAT BLK 50G+50ML BOX  P36 W/O M EXP</v>
          </cell>
          <cell r="D353">
            <v>121.694444444444</v>
          </cell>
          <cell r="E353">
            <v>0</v>
          </cell>
          <cell r="F353">
            <v>121.694444444444</v>
          </cell>
        </row>
        <row r="354">
          <cell r="B354">
            <v>40058606</v>
          </cell>
          <cell r="C354" t="str">
            <v>AER MATIC SPRYREF PCP 210ML P18 GGMEW/OM</v>
          </cell>
          <cell r="D354">
            <v>121.666666666667</v>
          </cell>
          <cell r="E354">
            <v>0</v>
          </cell>
          <cell r="F354">
            <v>121.666666666667</v>
          </cell>
        </row>
        <row r="355">
          <cell r="B355">
            <v>40033542</v>
          </cell>
          <cell r="C355" t="str">
            <v>CINTHOL LIME FRESH 125G PK72 - YEMEN</v>
          </cell>
          <cell r="D355">
            <v>121</v>
          </cell>
          <cell r="E355">
            <v>0</v>
          </cell>
          <cell r="F355">
            <v>121</v>
          </cell>
        </row>
        <row r="356">
          <cell r="B356">
            <v>40064873</v>
          </cell>
          <cell r="C356" t="str">
            <v>EPHC ORG P010 3GX90  P90 NFR ND EXP CC</v>
          </cell>
          <cell r="D356">
            <v>121</v>
          </cell>
          <cell r="E356">
            <v>0</v>
          </cell>
          <cell r="F356">
            <v>121</v>
          </cell>
        </row>
        <row r="357">
          <cell r="B357">
            <v>40064727</v>
          </cell>
          <cell r="C357" t="str">
            <v>NO1 KESARMC 150G PO4 M200P24MT RSTRD NF2</v>
          </cell>
          <cell r="D357">
            <v>120</v>
          </cell>
          <cell r="E357">
            <v>0</v>
          </cell>
          <cell r="F357">
            <v>120</v>
          </cell>
        </row>
        <row r="358">
          <cell r="B358">
            <v>40065717</v>
          </cell>
          <cell r="C358" t="str">
            <v>EXPERT CRÈME NT BLK B2G1F P240 -EGYPT</v>
          </cell>
          <cell r="D358">
            <v>120</v>
          </cell>
          <cell r="E358">
            <v>0</v>
          </cell>
          <cell r="F358">
            <v>120</v>
          </cell>
        </row>
        <row r="359">
          <cell r="B359">
            <v>40064430</v>
          </cell>
          <cell r="C359" t="str">
            <v>PA SOAP PURE LXRY 4X125GPO4 M320 P27GCPL</v>
          </cell>
          <cell r="D359">
            <v>0</v>
          </cell>
          <cell r="E359">
            <v>120</v>
          </cell>
          <cell r="F359">
            <v>120</v>
          </cell>
        </row>
        <row r="360">
          <cell r="B360">
            <v>40065249</v>
          </cell>
          <cell r="C360" t="str">
            <v>PA EDP HARMONY 100ML P12 NEWAW W/O M EXP</v>
          </cell>
          <cell r="D360">
            <v>119</v>
          </cell>
          <cell r="E360">
            <v>0</v>
          </cell>
          <cell r="F360">
            <v>119</v>
          </cell>
        </row>
        <row r="361">
          <cell r="B361">
            <v>40062197</v>
          </cell>
          <cell r="C361" t="str">
            <v>KS SPARK POCKET 18ML M60 P160 GCPL NPL</v>
          </cell>
          <cell r="D361">
            <v>119</v>
          </cell>
          <cell r="E361">
            <v>0</v>
          </cell>
          <cell r="F361">
            <v>119</v>
          </cell>
        </row>
        <row r="362">
          <cell r="B362">
            <v>40062519</v>
          </cell>
          <cell r="C362" t="str">
            <v>KS10'S RIBBED M100 P480 NEWAW</v>
          </cell>
          <cell r="D362">
            <v>119</v>
          </cell>
          <cell r="E362">
            <v>0</v>
          </cell>
          <cell r="F362">
            <v>119</v>
          </cell>
        </row>
        <row r="363">
          <cell r="B363">
            <v>40066088</v>
          </cell>
          <cell r="C363" t="str">
            <v>PA GD MRNG GROOMING KIT M899P6 POLY</v>
          </cell>
          <cell r="D363">
            <v>118</v>
          </cell>
          <cell r="E363">
            <v>0</v>
          </cell>
          <cell r="F363">
            <v>118</v>
          </cell>
        </row>
        <row r="364">
          <cell r="B364">
            <v>40065373</v>
          </cell>
          <cell r="C364" t="str">
            <v>GODREJ FAB 800GM POUCH M99P14</v>
          </cell>
          <cell r="D364">
            <v>115.928571428571</v>
          </cell>
          <cell r="E364">
            <v>0</v>
          </cell>
          <cell r="F364">
            <v>115.928571428571</v>
          </cell>
        </row>
        <row r="365">
          <cell r="B365">
            <v>40063752</v>
          </cell>
          <cell r="C365" t="str">
            <v>AER SPRAY CITRUS BLAST 180ML M99P24</v>
          </cell>
          <cell r="D365">
            <v>115</v>
          </cell>
          <cell r="E365">
            <v>0</v>
          </cell>
          <cell r="F365">
            <v>115</v>
          </cell>
        </row>
        <row r="366">
          <cell r="B366">
            <v>40063500</v>
          </cell>
          <cell r="C366" t="str">
            <v>HIT FIK 125ML M90 P90 NEW L MFT</v>
          </cell>
          <cell r="D366">
            <v>114</v>
          </cell>
          <cell r="E366">
            <v>0</v>
          </cell>
          <cell r="F366">
            <v>114</v>
          </cell>
        </row>
        <row r="367">
          <cell r="B367">
            <v>40043704</v>
          </cell>
          <cell r="C367" t="str">
            <v>GENTEEL 2Kg Pouch PK6 MRP290 EXP CC</v>
          </cell>
          <cell r="D367">
            <v>113.666666666667</v>
          </cell>
          <cell r="E367">
            <v>0</v>
          </cell>
          <cell r="F367">
            <v>113.666666666667</v>
          </cell>
        </row>
        <row r="368">
          <cell r="B368">
            <v>40036555</v>
          </cell>
          <cell r="C368" t="str">
            <v>*No1 Lime&amp;AleoVera 100gB3G1M114 PK36 CSD</v>
          </cell>
          <cell r="D368">
            <v>0.36111111111110999</v>
          </cell>
          <cell r="E368">
            <v>113</v>
          </cell>
          <cell r="F368">
            <v>113.36111111111111</v>
          </cell>
        </row>
        <row r="369">
          <cell r="B369">
            <v>40041315</v>
          </cell>
          <cell r="C369" t="str">
            <v>AER O coolaqua 7.5g M99 PO60</v>
          </cell>
          <cell r="D369">
            <v>112</v>
          </cell>
          <cell r="E369">
            <v>0</v>
          </cell>
          <cell r="F369">
            <v>112</v>
          </cell>
        </row>
        <row r="370">
          <cell r="B370">
            <v>40063254</v>
          </cell>
          <cell r="C370" t="str">
            <v>NO1 KESR MC 100G PO5 M130 P36 RSTRD NF2</v>
          </cell>
          <cell r="D370">
            <v>0</v>
          </cell>
          <cell r="E370">
            <v>112</v>
          </cell>
          <cell r="F370">
            <v>112</v>
          </cell>
        </row>
        <row r="371">
          <cell r="B371">
            <v>40063527</v>
          </cell>
          <cell r="C371" t="str">
            <v>SPIC TC COMBI (2.5L) M378 P6</v>
          </cell>
          <cell r="D371">
            <v>111</v>
          </cell>
          <cell r="E371">
            <v>0</v>
          </cell>
          <cell r="F371">
            <v>111</v>
          </cell>
        </row>
        <row r="372">
          <cell r="B372">
            <v>40057025</v>
          </cell>
          <cell r="C372" t="str">
            <v>KS RUSH AER 150ML P24 GCPL NIGERIA</v>
          </cell>
          <cell r="D372">
            <v>110</v>
          </cell>
          <cell r="E372">
            <v>0</v>
          </cell>
          <cell r="F372">
            <v>110</v>
          </cell>
        </row>
        <row r="373">
          <cell r="B373">
            <v>40057101</v>
          </cell>
          <cell r="C373" t="str">
            <v>HIT CHALK M20 P360 BD</v>
          </cell>
          <cell r="D373">
            <v>109</v>
          </cell>
          <cell r="E373">
            <v>0</v>
          </cell>
          <cell r="F373">
            <v>109</v>
          </cell>
        </row>
        <row r="374">
          <cell r="B374">
            <v>40063966</v>
          </cell>
          <cell r="C374" t="str">
            <v>PA VOYAGE PO3 AER 190ML M897 P24 ECOM</v>
          </cell>
          <cell r="D374">
            <v>109</v>
          </cell>
          <cell r="E374">
            <v>0</v>
          </cell>
          <cell r="F374">
            <v>109</v>
          </cell>
        </row>
        <row r="375">
          <cell r="B375">
            <v>40064907</v>
          </cell>
          <cell r="C375" t="str">
            <v>HIT RAT GLUE 50G M130 P50 BLUE ART</v>
          </cell>
          <cell r="D375">
            <v>108</v>
          </cell>
          <cell r="E375">
            <v>0</v>
          </cell>
          <cell r="F375">
            <v>108</v>
          </cell>
        </row>
        <row r="376">
          <cell r="B376">
            <v>40020866</v>
          </cell>
          <cell r="C376" t="str">
            <v>PHD 9G NAT.BLACK 4 LANG.EXPORT PK72 -POS</v>
          </cell>
          <cell r="D376">
            <v>108</v>
          </cell>
          <cell r="E376">
            <v>0</v>
          </cell>
          <cell r="F376">
            <v>108</v>
          </cell>
        </row>
        <row r="377">
          <cell r="B377">
            <v>40064383</v>
          </cell>
          <cell r="C377" t="str">
            <v>HIT CIK 425ML P36 N A/W M-LKR 1250 SL</v>
          </cell>
          <cell r="D377">
            <v>106</v>
          </cell>
          <cell r="E377">
            <v>0</v>
          </cell>
          <cell r="F377">
            <v>106</v>
          </cell>
        </row>
        <row r="378">
          <cell r="B378">
            <v>40034054</v>
          </cell>
          <cell r="C378" t="str">
            <v>CINTHOL COL DEO SOAP 125G 72 PK - GCC</v>
          </cell>
          <cell r="D378">
            <v>105</v>
          </cell>
          <cell r="E378">
            <v>0</v>
          </cell>
          <cell r="F378">
            <v>105</v>
          </cell>
        </row>
        <row r="379">
          <cell r="B379">
            <v>40062531</v>
          </cell>
          <cell r="C379" t="str">
            <v>KS BLAZE AER 150ML M230 P24 HIGH RM</v>
          </cell>
          <cell r="D379">
            <v>103</v>
          </cell>
          <cell r="E379">
            <v>0</v>
          </cell>
          <cell r="F379">
            <v>103</v>
          </cell>
        </row>
        <row r="380">
          <cell r="B380">
            <v>40062328</v>
          </cell>
          <cell r="C380" t="str">
            <v>KS3'S RIBBED M30 P1440 INCR NEWAW</v>
          </cell>
          <cell r="D380">
            <v>100</v>
          </cell>
          <cell r="E380">
            <v>3</v>
          </cell>
          <cell r="F380">
            <v>103</v>
          </cell>
        </row>
        <row r="381">
          <cell r="B381">
            <v>40059476</v>
          </cell>
          <cell r="C381" t="str">
            <v>KS3'S EXTRA DOTTED CHOCO M50 P1440 INCR</v>
          </cell>
          <cell r="D381">
            <v>102.999972222222</v>
          </cell>
          <cell r="E381">
            <v>0</v>
          </cell>
          <cell r="F381">
            <v>102.999972222222</v>
          </cell>
        </row>
        <row r="382">
          <cell r="B382">
            <v>40064240</v>
          </cell>
          <cell r="C382" t="str">
            <v>GP DIMENSION SHADE 5 M440 70G P24</v>
          </cell>
          <cell r="D382">
            <v>101</v>
          </cell>
          <cell r="E382">
            <v>0</v>
          </cell>
          <cell r="F382">
            <v>101</v>
          </cell>
        </row>
        <row r="383">
          <cell r="B383">
            <v>40065173</v>
          </cell>
          <cell r="C383" t="str">
            <v>PA EDP CONQ 100ML P12 NEWAW W/O MRP EXP</v>
          </cell>
          <cell r="D383">
            <v>101</v>
          </cell>
          <cell r="E383">
            <v>0</v>
          </cell>
          <cell r="F383">
            <v>101</v>
          </cell>
        </row>
        <row r="384">
          <cell r="B384">
            <v>40031919</v>
          </cell>
          <cell r="C384" t="str">
            <v>NUPUR MEHENDI 1KG P12 FRENCH A/W-EXP</v>
          </cell>
          <cell r="D384">
            <v>100.416666666667</v>
          </cell>
          <cell r="E384">
            <v>0</v>
          </cell>
          <cell r="F384">
            <v>100.416666666667</v>
          </cell>
        </row>
        <row r="385">
          <cell r="B385">
            <v>40042484</v>
          </cell>
          <cell r="C385" t="str">
            <v>AER O coolaqua 7.5g PO60 - EXP CC</v>
          </cell>
          <cell r="D385">
            <v>100.416666666667</v>
          </cell>
          <cell r="E385">
            <v>0</v>
          </cell>
          <cell r="F385">
            <v>100.416666666667</v>
          </cell>
        </row>
        <row r="386">
          <cell r="B386">
            <v>40059406</v>
          </cell>
          <cell r="C386" t="str">
            <v>PA EDP KNIGHT 100ML G M399 P12</v>
          </cell>
          <cell r="D386">
            <v>100.083333333333</v>
          </cell>
          <cell r="E386">
            <v>0</v>
          </cell>
          <cell r="F386">
            <v>100.083333333333</v>
          </cell>
        </row>
        <row r="387">
          <cell r="B387">
            <v>40064497</v>
          </cell>
          <cell r="C387" t="str">
            <v>NO1 SAN&amp; T 100G PO5 M125 P36 RSTRD NF2</v>
          </cell>
          <cell r="D387">
            <v>100</v>
          </cell>
          <cell r="E387">
            <v>0</v>
          </cell>
          <cell r="F387">
            <v>100</v>
          </cell>
        </row>
        <row r="388">
          <cell r="B388">
            <v>40064547</v>
          </cell>
          <cell r="C388" t="str">
            <v>GODREJ FAB 1LTR POUCH P12  Nigeria</v>
          </cell>
          <cell r="D388">
            <v>100</v>
          </cell>
          <cell r="E388">
            <v>0</v>
          </cell>
          <cell r="F388">
            <v>100</v>
          </cell>
        </row>
        <row r="389">
          <cell r="B389">
            <v>40042424</v>
          </cell>
          <cell r="C389" t="str">
            <v>GodSelfieSHC9ml+9mlP144NBrwn W/oMrp GGME</v>
          </cell>
          <cell r="D389">
            <v>100</v>
          </cell>
          <cell r="E389">
            <v>0</v>
          </cell>
          <cell r="F389">
            <v>100</v>
          </cell>
        </row>
        <row r="390">
          <cell r="B390">
            <v>40031679</v>
          </cell>
          <cell r="C390" t="str">
            <v>HIT Rat Glue Pad 25g P100 - EXPORT</v>
          </cell>
          <cell r="D390">
            <v>100</v>
          </cell>
          <cell r="E390">
            <v>0</v>
          </cell>
          <cell r="F390">
            <v>100</v>
          </cell>
        </row>
        <row r="391">
          <cell r="B391">
            <v>40016364</v>
          </cell>
          <cell r="C391" t="str">
            <v>HIT CIK 200ML PK60 - EXP CC</v>
          </cell>
          <cell r="D391">
            <v>100</v>
          </cell>
          <cell r="E391">
            <v>0</v>
          </cell>
          <cell r="F391">
            <v>100</v>
          </cell>
        </row>
        <row r="392">
          <cell r="B392">
            <v>40016366</v>
          </cell>
          <cell r="C392" t="str">
            <v>HIT CIK 400ML PK36 - EXP CC</v>
          </cell>
          <cell r="D392">
            <v>100</v>
          </cell>
          <cell r="E392">
            <v>0</v>
          </cell>
          <cell r="F392">
            <v>100</v>
          </cell>
        </row>
        <row r="393">
          <cell r="B393">
            <v>40011504</v>
          </cell>
          <cell r="C393" t="str">
            <v>HIT FIK 200ML PK60 - EXP CC</v>
          </cell>
          <cell r="D393">
            <v>100</v>
          </cell>
          <cell r="E393">
            <v>0</v>
          </cell>
          <cell r="F393">
            <v>100</v>
          </cell>
        </row>
        <row r="394">
          <cell r="B394">
            <v>40009627</v>
          </cell>
          <cell r="C394" t="str">
            <v>HIT FIK 320ML PK50 - EXP CC</v>
          </cell>
          <cell r="D394">
            <v>100</v>
          </cell>
          <cell r="E394">
            <v>0</v>
          </cell>
          <cell r="F394">
            <v>100</v>
          </cell>
        </row>
        <row r="395">
          <cell r="B395">
            <v>40011505</v>
          </cell>
          <cell r="C395" t="str">
            <v>HIT FIK 400ML PK36 - EXP CC</v>
          </cell>
          <cell r="D395">
            <v>100</v>
          </cell>
          <cell r="E395">
            <v>0</v>
          </cell>
          <cell r="F395">
            <v>100</v>
          </cell>
        </row>
        <row r="396">
          <cell r="B396">
            <v>40010704</v>
          </cell>
          <cell r="C396" t="str">
            <v>HIT FIK 625ML  PS 25 – EXP</v>
          </cell>
          <cell r="D396">
            <v>100</v>
          </cell>
          <cell r="E396">
            <v>0</v>
          </cell>
          <cell r="F396">
            <v>100</v>
          </cell>
        </row>
        <row r="397">
          <cell r="B397">
            <v>40042494</v>
          </cell>
          <cell r="C397" t="str">
            <v>AER O Roseblossom 7.5g PO60 - EXP CC</v>
          </cell>
          <cell r="D397">
            <v>100</v>
          </cell>
          <cell r="E397">
            <v>0</v>
          </cell>
          <cell r="F397">
            <v>100</v>
          </cell>
        </row>
        <row r="398">
          <cell r="B398">
            <v>40042507</v>
          </cell>
          <cell r="C398" t="str">
            <v>AER O muskaftsmoke 7.5g PO60 - EXP CC</v>
          </cell>
          <cell r="D398">
            <v>100</v>
          </cell>
          <cell r="E398">
            <v>0</v>
          </cell>
          <cell r="F398">
            <v>100</v>
          </cell>
        </row>
        <row r="399">
          <cell r="B399">
            <v>40060898</v>
          </cell>
          <cell r="C399" t="str">
            <v>AER MATCSPRYRFL VVB 210ML M249P18 NF NPL</v>
          </cell>
          <cell r="D399">
            <v>100</v>
          </cell>
          <cell r="E399">
            <v>0</v>
          </cell>
          <cell r="F399">
            <v>100</v>
          </cell>
        </row>
        <row r="400">
          <cell r="B400">
            <v>40063899</v>
          </cell>
          <cell r="C400" t="str">
            <v>AER SPRAY SANDAL BLISS 180ML P24 EXP CC</v>
          </cell>
          <cell r="D400">
            <v>100</v>
          </cell>
          <cell r="E400">
            <v>0</v>
          </cell>
          <cell r="F400">
            <v>100</v>
          </cell>
        </row>
        <row r="401">
          <cell r="B401">
            <v>40028205</v>
          </cell>
          <cell r="C401" t="str">
            <v>CIN Deo&amp;Cmplxn Soap100gmPO6 P24 GCC-EXP</v>
          </cell>
          <cell r="D401">
            <v>100</v>
          </cell>
          <cell r="E401">
            <v>0</v>
          </cell>
          <cell r="F401">
            <v>100</v>
          </cell>
        </row>
        <row r="402">
          <cell r="B402">
            <v>40015912</v>
          </cell>
          <cell r="C402" t="str">
            <v>NO.1 COCO NEEM 115G PK72 -GUYANA</v>
          </cell>
          <cell r="D402">
            <v>100</v>
          </cell>
          <cell r="E402">
            <v>0</v>
          </cell>
          <cell r="F402">
            <v>100</v>
          </cell>
        </row>
        <row r="403">
          <cell r="B403">
            <v>40064951</v>
          </cell>
          <cell r="C403" t="str">
            <v>KS3S CHOCLTFLV RS49P1440INCRSD NEWAW NPL</v>
          </cell>
          <cell r="D403">
            <v>100</v>
          </cell>
          <cell r="E403">
            <v>0</v>
          </cell>
          <cell r="F403">
            <v>100</v>
          </cell>
        </row>
        <row r="404">
          <cell r="B404">
            <v>40059678</v>
          </cell>
          <cell r="C404" t="str">
            <v>PA TRANCE MIST 135ML M199 P24 GCPL</v>
          </cell>
          <cell r="D404">
            <v>0</v>
          </cell>
          <cell r="E404">
            <v>100</v>
          </cell>
          <cell r="F404">
            <v>100</v>
          </cell>
        </row>
        <row r="405">
          <cell r="B405">
            <v>40064695</v>
          </cell>
          <cell r="C405" t="str">
            <v>PA DISCOVER REFRESH  B1G1 150ML M250 P24</v>
          </cell>
          <cell r="D405">
            <v>98.4166666666667</v>
          </cell>
          <cell r="E405">
            <v>0</v>
          </cell>
          <cell r="F405">
            <v>98.4166666666667</v>
          </cell>
        </row>
        <row r="406">
          <cell r="B406">
            <v>40065350</v>
          </cell>
          <cell r="C406" t="str">
            <v>GK FLASH 3LV+LMD M299 P36 ECOM RNF PCB</v>
          </cell>
          <cell r="D406">
            <v>98</v>
          </cell>
          <cell r="E406">
            <v>0</v>
          </cell>
          <cell r="F406">
            <v>98</v>
          </cell>
        </row>
        <row r="407">
          <cell r="B407">
            <v>40060384</v>
          </cell>
          <cell r="C407" t="str">
            <v>PA ASL GM SPLASH 50ML M135P18</v>
          </cell>
          <cell r="D407">
            <v>96</v>
          </cell>
          <cell r="E407">
            <v>0</v>
          </cell>
          <cell r="F407">
            <v>96</v>
          </cell>
        </row>
        <row r="408">
          <cell r="B408">
            <v>40064881</v>
          </cell>
          <cell r="C408" t="str">
            <v>EZEE 900GM BT M240P12 50%PCR NFOANP TMT</v>
          </cell>
          <cell r="D408">
            <v>95</v>
          </cell>
          <cell r="E408">
            <v>0</v>
          </cell>
          <cell r="F408">
            <v>95</v>
          </cell>
        </row>
        <row r="409">
          <cell r="B409">
            <v>40065172</v>
          </cell>
          <cell r="C409" t="str">
            <v>GENTEEL TL 3.2KG POUCH M480 P4 NEWF LIQ</v>
          </cell>
          <cell r="D409">
            <v>95</v>
          </cell>
          <cell r="E409">
            <v>0</v>
          </cell>
          <cell r="F409">
            <v>95</v>
          </cell>
        </row>
        <row r="410">
          <cell r="B410">
            <v>40034690</v>
          </cell>
          <cell r="C410" t="str">
            <v>ABHA HAIR COL BURG 10GX6X24 - EXPORT</v>
          </cell>
          <cell r="D410">
            <v>95</v>
          </cell>
          <cell r="E410">
            <v>0</v>
          </cell>
          <cell r="F410">
            <v>95</v>
          </cell>
        </row>
        <row r="411">
          <cell r="B411">
            <v>40064728</v>
          </cell>
          <cell r="C411" t="str">
            <v>NO1 LIMALO 150G PO4 M190P24MT RSTRD NF2</v>
          </cell>
          <cell r="D411">
            <v>94</v>
          </cell>
          <cell r="E411">
            <v>0</v>
          </cell>
          <cell r="F411">
            <v>94</v>
          </cell>
        </row>
        <row r="412">
          <cell r="B412">
            <v>40063148</v>
          </cell>
          <cell r="C412" t="str">
            <v>GK ACT+ COMBI P12 TFT 1.6% ARGENTINA</v>
          </cell>
          <cell r="D412">
            <v>93</v>
          </cell>
          <cell r="E412">
            <v>0</v>
          </cell>
          <cell r="F412">
            <v>93</v>
          </cell>
        </row>
        <row r="413">
          <cell r="B413">
            <v>40061352</v>
          </cell>
          <cell r="C413" t="str">
            <v>PA GM PO2 AER 150ML M450 P12 GCPL-LIQ</v>
          </cell>
          <cell r="D413">
            <v>93</v>
          </cell>
          <cell r="E413">
            <v>0</v>
          </cell>
          <cell r="F413">
            <v>93</v>
          </cell>
        </row>
        <row r="414">
          <cell r="B414">
            <v>40058572</v>
          </cell>
          <cell r="C414" t="str">
            <v>AER MATIC COMBI CSB 210ML P6  EXP W/O M</v>
          </cell>
          <cell r="D414">
            <v>92</v>
          </cell>
          <cell r="E414">
            <v>0</v>
          </cell>
          <cell r="F414">
            <v>92</v>
          </cell>
        </row>
        <row r="415">
          <cell r="B415">
            <v>40061847</v>
          </cell>
          <cell r="C415" t="str">
            <v>KS SPRK 220MLÂ M1110P24 RPK EMIZAPO3-LIQ</v>
          </cell>
          <cell r="D415">
            <v>92</v>
          </cell>
          <cell r="E415">
            <v>0</v>
          </cell>
          <cell r="F415">
            <v>92</v>
          </cell>
        </row>
        <row r="416">
          <cell r="B416">
            <v>40050278</v>
          </cell>
          <cell r="C416" t="str">
            <v>AER O Mskaftsmk7.5gPO60-W/O MRP-EXP</v>
          </cell>
          <cell r="D416">
            <v>91.6</v>
          </cell>
          <cell r="E416">
            <v>0</v>
          </cell>
          <cell r="F416">
            <v>91.6</v>
          </cell>
        </row>
        <row r="417">
          <cell r="B417">
            <v>40065475</v>
          </cell>
          <cell r="C417" t="str">
            <v>CIN COOL100GPO5M185BANDEDP36MTRSTRDNEWAW</v>
          </cell>
          <cell r="D417">
            <v>90</v>
          </cell>
          <cell r="E417">
            <v>0</v>
          </cell>
          <cell r="F417">
            <v>90</v>
          </cell>
        </row>
        <row r="418">
          <cell r="B418">
            <v>40063808</v>
          </cell>
          <cell r="C418" t="str">
            <v>CIN LIME 100G B4G1 M180P36 GT(ROI)RSTRD</v>
          </cell>
          <cell r="D418">
            <v>90</v>
          </cell>
          <cell r="E418">
            <v>0</v>
          </cell>
          <cell r="F418">
            <v>90</v>
          </cell>
        </row>
        <row r="419">
          <cell r="B419">
            <v>40056222</v>
          </cell>
          <cell r="C419" t="str">
            <v>GP STRAIGHT INTENSE 500ML M1050 P18</v>
          </cell>
          <cell r="D419">
            <v>90</v>
          </cell>
          <cell r="E419">
            <v>0</v>
          </cell>
          <cell r="F419">
            <v>90</v>
          </cell>
        </row>
        <row r="420">
          <cell r="B420">
            <v>40064814</v>
          </cell>
          <cell r="C420" t="str">
            <v>AERPOWERPCKT ASRTEDPO3P36 W/O MRP EXP NF</v>
          </cell>
          <cell r="D420">
            <v>90</v>
          </cell>
          <cell r="E420">
            <v>0</v>
          </cell>
          <cell r="F420">
            <v>90</v>
          </cell>
        </row>
        <row r="421">
          <cell r="B421">
            <v>40042482</v>
          </cell>
          <cell r="C421" t="str">
            <v>PA VOYAGEAMAZN WODS 120ML P24-W/O M-GGME</v>
          </cell>
          <cell r="D421">
            <v>90</v>
          </cell>
          <cell r="E421">
            <v>0</v>
          </cell>
          <cell r="F421">
            <v>90</v>
          </cell>
        </row>
        <row r="422">
          <cell r="B422">
            <v>40034067</v>
          </cell>
          <cell r="C422" t="str">
            <v>CIN COL DEO SOAP 125G PK72 W/O MRP -THAI</v>
          </cell>
          <cell r="D422">
            <v>90</v>
          </cell>
          <cell r="E422">
            <v>0</v>
          </cell>
          <cell r="F422">
            <v>90</v>
          </cell>
        </row>
        <row r="423">
          <cell r="B423">
            <v>40064856</v>
          </cell>
          <cell r="C423" t="str">
            <v>NO1JASMINE100G PO5M115 P36 S40NDRSTRDNF2</v>
          </cell>
          <cell r="D423">
            <v>89</v>
          </cell>
          <cell r="E423">
            <v>0</v>
          </cell>
          <cell r="F423">
            <v>89</v>
          </cell>
        </row>
        <row r="424">
          <cell r="B424">
            <v>40063169</v>
          </cell>
          <cell r="C424" t="str">
            <v>AER PO4 POCKET ASRTED 40G M260 P36MT NWA</v>
          </cell>
          <cell r="D424">
            <v>87.8888888888889</v>
          </cell>
          <cell r="E424">
            <v>0</v>
          </cell>
          <cell r="F424">
            <v>87.8888888888889</v>
          </cell>
        </row>
        <row r="425">
          <cell r="B425">
            <v>40056223</v>
          </cell>
          <cell r="C425" t="str">
            <v>GPSTRAIGHT MILD 500ML M1050 P18</v>
          </cell>
          <cell r="D425">
            <v>86</v>
          </cell>
          <cell r="E425">
            <v>0</v>
          </cell>
          <cell r="F425">
            <v>86</v>
          </cell>
        </row>
        <row r="426">
          <cell r="B426">
            <v>40041325</v>
          </cell>
          <cell r="C426" t="str">
            <v>AER O Roseblossom 7.5g M99 PO60</v>
          </cell>
          <cell r="D426">
            <v>85.000066666666697</v>
          </cell>
          <cell r="E426">
            <v>0</v>
          </cell>
          <cell r="F426">
            <v>85.000066666666697</v>
          </cell>
        </row>
        <row r="427">
          <cell r="B427">
            <v>40062264</v>
          </cell>
          <cell r="C427" t="str">
            <v>PA ALTR EGOAER 150ML P48 GCPL GGME W/O M</v>
          </cell>
          <cell r="D427">
            <v>85</v>
          </cell>
          <cell r="E427">
            <v>0</v>
          </cell>
          <cell r="F427">
            <v>85</v>
          </cell>
        </row>
        <row r="428">
          <cell r="B428">
            <v>40050306</v>
          </cell>
          <cell r="C428" t="str">
            <v>PREMIUM EDC GB 100ML M175P48</v>
          </cell>
          <cell r="D428">
            <v>85</v>
          </cell>
          <cell r="E428">
            <v>0</v>
          </cell>
          <cell r="F428">
            <v>85</v>
          </cell>
        </row>
        <row r="429">
          <cell r="B429">
            <v>40063426</v>
          </cell>
          <cell r="C429" t="str">
            <v>EXPERT CRÈME BLKBWN PO8 M40 P240-MT ND</v>
          </cell>
          <cell r="D429">
            <v>84</v>
          </cell>
          <cell r="E429">
            <v>0</v>
          </cell>
          <cell r="F429">
            <v>84</v>
          </cell>
        </row>
        <row r="430">
          <cell r="B430">
            <v>40060674</v>
          </cell>
          <cell r="C430" t="str">
            <v>AER O MUSKAFTSMOKE 7.5G P60 EXP SPANISH</v>
          </cell>
          <cell r="D430">
            <v>84</v>
          </cell>
          <cell r="E430">
            <v>0</v>
          </cell>
          <cell r="F430">
            <v>84</v>
          </cell>
        </row>
        <row r="431">
          <cell r="B431">
            <v>40039426</v>
          </cell>
          <cell r="C431" t="str">
            <v>GodMagic RTM FlrClnr LavdrCmb55ml M55P30</v>
          </cell>
          <cell r="D431">
            <v>83</v>
          </cell>
          <cell r="E431">
            <v>0</v>
          </cell>
          <cell r="F431">
            <v>83</v>
          </cell>
        </row>
        <row r="432">
          <cell r="B432">
            <v>40064245</v>
          </cell>
          <cell r="C432" t="str">
            <v>GP DIMENSION SHADE 5.35 M440 70G P24</v>
          </cell>
          <cell r="D432">
            <v>83</v>
          </cell>
          <cell r="E432">
            <v>0</v>
          </cell>
          <cell r="F432">
            <v>83</v>
          </cell>
        </row>
        <row r="433">
          <cell r="B433">
            <v>40034184</v>
          </cell>
          <cell r="C433" t="str">
            <v>Cinthol LimeFreshSoap 175gm x 48 NEW EXP</v>
          </cell>
          <cell r="D433">
            <v>82.9166666666667</v>
          </cell>
          <cell r="E433">
            <v>0</v>
          </cell>
          <cell r="F433">
            <v>82.9166666666667</v>
          </cell>
        </row>
        <row r="434">
          <cell r="B434">
            <v>40000474</v>
          </cell>
          <cell r="C434" t="str">
            <v>CINTHOL LIME SOAP 125G EXPORT PACK72</v>
          </cell>
          <cell r="D434">
            <v>82</v>
          </cell>
          <cell r="E434">
            <v>0</v>
          </cell>
          <cell r="F434">
            <v>82</v>
          </cell>
        </row>
        <row r="435">
          <cell r="B435">
            <v>40060542</v>
          </cell>
          <cell r="C435" t="str">
            <v>AERPWRPOCTK BERRYRUSH10GP144(6X4)WALMART</v>
          </cell>
          <cell r="D435">
            <v>81.8333333333333</v>
          </cell>
          <cell r="E435">
            <v>0</v>
          </cell>
          <cell r="F435">
            <v>81.8333333333333</v>
          </cell>
        </row>
        <row r="436">
          <cell r="B436">
            <v>40041509</v>
          </cell>
          <cell r="C436" t="str">
            <v>Cin Lime 125g PO3 MRP150 PS40-CSD</v>
          </cell>
          <cell r="D436">
            <v>81</v>
          </cell>
          <cell r="E436">
            <v>0</v>
          </cell>
          <cell r="F436">
            <v>81</v>
          </cell>
        </row>
        <row r="437">
          <cell r="B437">
            <v>40063756</v>
          </cell>
          <cell r="C437" t="str">
            <v>CIN LIME 38G SING M10 P216 RSTRD</v>
          </cell>
          <cell r="D437">
            <v>81</v>
          </cell>
          <cell r="E437">
            <v>0</v>
          </cell>
          <cell r="F437">
            <v>81</v>
          </cell>
        </row>
        <row r="438">
          <cell r="B438">
            <v>40034692</v>
          </cell>
          <cell r="C438" t="str">
            <v>ABHA HAIR COL BROWN 10GX6X24 - EXPORT</v>
          </cell>
          <cell r="D438">
            <v>81</v>
          </cell>
          <cell r="E438">
            <v>0</v>
          </cell>
          <cell r="F438">
            <v>81</v>
          </cell>
        </row>
        <row r="439">
          <cell r="B439">
            <v>40042288</v>
          </cell>
          <cell r="C439" t="str">
            <v>Cin Lime 100g Singles P150 N-EXP CC</v>
          </cell>
          <cell r="D439">
            <v>80</v>
          </cell>
          <cell r="E439">
            <v>0</v>
          </cell>
          <cell r="F439">
            <v>80</v>
          </cell>
        </row>
        <row r="440">
          <cell r="B440">
            <v>40059401</v>
          </cell>
          <cell r="C440" t="str">
            <v>NUPUR PURE HENNA 140G M80 P72 NEW</v>
          </cell>
          <cell r="D440">
            <v>79</v>
          </cell>
          <cell r="E440">
            <v>0</v>
          </cell>
          <cell r="F440">
            <v>79</v>
          </cell>
        </row>
        <row r="441">
          <cell r="B441">
            <v>40037319</v>
          </cell>
          <cell r="C441" t="str">
            <v>GP Probio HoneyMoistreMask 200g M600 P12</v>
          </cell>
          <cell r="D441">
            <v>78</v>
          </cell>
          <cell r="E441">
            <v>0</v>
          </cell>
          <cell r="F441">
            <v>78</v>
          </cell>
        </row>
        <row r="442">
          <cell r="B442">
            <v>40063881</v>
          </cell>
          <cell r="C442" t="str">
            <v>GK ACTIV+ LV REFIL TFT 1.6% P240 EXP</v>
          </cell>
          <cell r="D442">
            <v>78</v>
          </cell>
          <cell r="E442">
            <v>0</v>
          </cell>
          <cell r="F442">
            <v>78</v>
          </cell>
        </row>
        <row r="443">
          <cell r="B443">
            <v>40061094</v>
          </cell>
          <cell r="C443" t="str">
            <v>PA CB AER 150ML M225 P24 GCPL-LIQ</v>
          </cell>
          <cell r="D443">
            <v>77</v>
          </cell>
          <cell r="E443">
            <v>0</v>
          </cell>
          <cell r="F443">
            <v>77</v>
          </cell>
        </row>
        <row r="444">
          <cell r="B444">
            <v>40060543</v>
          </cell>
          <cell r="C444" t="str">
            <v>AERPWRPOCTK FRBLOSSM10GP144(6X4)WALMART</v>
          </cell>
          <cell r="D444">
            <v>75.7083333333333</v>
          </cell>
          <cell r="E444">
            <v>0</v>
          </cell>
          <cell r="F444">
            <v>75.7083333333333</v>
          </cell>
        </row>
        <row r="445">
          <cell r="B445">
            <v>40064248</v>
          </cell>
          <cell r="C445" t="str">
            <v>GP DIMENSION SHADE 4G M440 70G P24</v>
          </cell>
          <cell r="D445">
            <v>75</v>
          </cell>
          <cell r="E445">
            <v>0</v>
          </cell>
          <cell r="F445">
            <v>75</v>
          </cell>
        </row>
        <row r="446">
          <cell r="B446">
            <v>40059648</v>
          </cell>
          <cell r="C446" t="str">
            <v>PA VOYAGE POCKET 18ML M70 P160 GCPL</v>
          </cell>
          <cell r="D446">
            <v>72</v>
          </cell>
          <cell r="E446">
            <v>0</v>
          </cell>
          <cell r="F446">
            <v>72</v>
          </cell>
        </row>
        <row r="447">
          <cell r="B447">
            <v>40031611</v>
          </cell>
          <cell r="C447" t="str">
            <v>Cin Health+ 100g Singles P150 W/O MRP</v>
          </cell>
          <cell r="D447">
            <v>71</v>
          </cell>
          <cell r="E447">
            <v>0</v>
          </cell>
          <cell r="F447">
            <v>71</v>
          </cell>
        </row>
        <row r="448">
          <cell r="B448">
            <v>40057759</v>
          </cell>
          <cell r="C448" t="str">
            <v>GK INCENSE STICK P288-EXP</v>
          </cell>
          <cell r="D448">
            <v>70.9965277777778</v>
          </cell>
          <cell r="E448">
            <v>0</v>
          </cell>
          <cell r="F448">
            <v>70.9965277777778</v>
          </cell>
        </row>
        <row r="449">
          <cell r="B449">
            <v>40050020</v>
          </cell>
          <cell r="C449" t="str">
            <v>GP ColorPlay Devl 30 Vol 1000ml M500 P9</v>
          </cell>
          <cell r="D449">
            <v>70</v>
          </cell>
          <cell r="E449">
            <v>0</v>
          </cell>
          <cell r="F449">
            <v>70</v>
          </cell>
        </row>
        <row r="450">
          <cell r="B450">
            <v>40065294</v>
          </cell>
          <cell r="C450" t="str">
            <v>PA VOYAGE FS 180ML M299 P72</v>
          </cell>
          <cell r="D450">
            <v>70</v>
          </cell>
          <cell r="E450">
            <v>0</v>
          </cell>
          <cell r="F450">
            <v>70</v>
          </cell>
        </row>
        <row r="451">
          <cell r="B451">
            <v>40064428</v>
          </cell>
          <cell r="C451" t="str">
            <v>PA SOAP PURE LXRY125GB3G1 M240 P27 N</v>
          </cell>
          <cell r="D451">
            <v>0</v>
          </cell>
          <cell r="E451">
            <v>70</v>
          </cell>
          <cell r="F451">
            <v>70</v>
          </cell>
        </row>
        <row r="452">
          <cell r="B452">
            <v>40063425</v>
          </cell>
          <cell r="C452" t="str">
            <v>EXPERT CRÈME DRK BWN PO8 M40 P240-MT ND</v>
          </cell>
          <cell r="D452">
            <v>68</v>
          </cell>
          <cell r="E452">
            <v>0</v>
          </cell>
          <cell r="F452">
            <v>68</v>
          </cell>
        </row>
        <row r="453">
          <cell r="B453">
            <v>40059665</v>
          </cell>
          <cell r="C453" t="str">
            <v>EXPCREME 20G P010 NBLK P240 - EGY-EXP</v>
          </cell>
          <cell r="D453">
            <v>67</v>
          </cell>
          <cell r="E453">
            <v>0</v>
          </cell>
          <cell r="F453">
            <v>67</v>
          </cell>
        </row>
        <row r="454">
          <cell r="B454">
            <v>40050858</v>
          </cell>
          <cell r="C454" t="str">
            <v>AER PO3 POWERPOCKET ASSORTED M195P36ECOM</v>
          </cell>
          <cell r="D454">
            <v>67</v>
          </cell>
          <cell r="E454">
            <v>0</v>
          </cell>
          <cell r="F454">
            <v>67</v>
          </cell>
        </row>
        <row r="455">
          <cell r="B455">
            <v>40043501</v>
          </cell>
          <cell r="C455" t="str">
            <v>KS3's Superthin B/P RegP2160-GGME</v>
          </cell>
          <cell r="D455">
            <v>65.331944444444403</v>
          </cell>
          <cell r="E455">
            <v>0</v>
          </cell>
          <cell r="F455">
            <v>65.331944444444403</v>
          </cell>
        </row>
        <row r="456">
          <cell r="B456">
            <v>40044138</v>
          </cell>
          <cell r="C456" t="str">
            <v>GK Fabric RollOn 8ml M85P48 mildbloom MT</v>
          </cell>
          <cell r="D456">
            <v>65</v>
          </cell>
          <cell r="E456">
            <v>0</v>
          </cell>
          <cell r="F456">
            <v>65</v>
          </cell>
        </row>
        <row r="457">
          <cell r="B457">
            <v>40058574</v>
          </cell>
          <cell r="C457" t="str">
            <v>AER MATIC SPRY REF CSB 210ML P18 EXPW/OM</v>
          </cell>
          <cell r="D457">
            <v>65</v>
          </cell>
          <cell r="E457">
            <v>0</v>
          </cell>
          <cell r="F457">
            <v>65</v>
          </cell>
        </row>
        <row r="458">
          <cell r="B458">
            <v>40043503</v>
          </cell>
          <cell r="C458" t="str">
            <v>KS3's Intensity B/P RegP2160-GGME</v>
          </cell>
          <cell r="D458">
            <v>65</v>
          </cell>
          <cell r="E458">
            <v>0</v>
          </cell>
          <cell r="F458">
            <v>65</v>
          </cell>
        </row>
        <row r="459">
          <cell r="B459">
            <v>40043535</v>
          </cell>
          <cell r="C459" t="str">
            <v>KS3's Strawberry B/P RegP2160-GGME</v>
          </cell>
          <cell r="D459">
            <v>65</v>
          </cell>
          <cell r="E459">
            <v>0</v>
          </cell>
          <cell r="F459">
            <v>65</v>
          </cell>
        </row>
        <row r="460">
          <cell r="B460">
            <v>40035640</v>
          </cell>
          <cell r="C460" t="str">
            <v>*Cin Health+125gmSingl P120 M50 CSD</v>
          </cell>
          <cell r="D460">
            <v>63</v>
          </cell>
          <cell r="E460">
            <v>0</v>
          </cell>
          <cell r="F460">
            <v>63</v>
          </cell>
        </row>
        <row r="461">
          <cell r="B461">
            <v>40058573</v>
          </cell>
          <cell r="C461" t="str">
            <v>AER MATIC SPRY REF PCP 210ML P18 EXPW/OM</v>
          </cell>
          <cell r="D461">
            <v>62</v>
          </cell>
          <cell r="E461">
            <v>0</v>
          </cell>
          <cell r="F461">
            <v>62</v>
          </cell>
        </row>
        <row r="462">
          <cell r="B462">
            <v>40061030</v>
          </cell>
          <cell r="C462" t="str">
            <v>PA BS SB 650 ML M750 P18</v>
          </cell>
          <cell r="D462">
            <v>62</v>
          </cell>
          <cell r="E462">
            <v>0</v>
          </cell>
          <cell r="F462">
            <v>62</v>
          </cell>
        </row>
        <row r="463">
          <cell r="B463">
            <v>40065346</v>
          </cell>
          <cell r="C463" t="str">
            <v>GK ACTIV+ PO6 M549P40 ECOM RNF PCR</v>
          </cell>
          <cell r="D463">
            <v>61</v>
          </cell>
          <cell r="E463">
            <v>0</v>
          </cell>
          <cell r="F463">
            <v>61</v>
          </cell>
        </row>
        <row r="464">
          <cell r="B464">
            <v>40064955</v>
          </cell>
          <cell r="C464" t="str">
            <v>CIN LIME 150GPO4 M220P24 BANDED MT RSTRD</v>
          </cell>
          <cell r="D464">
            <v>60</v>
          </cell>
          <cell r="E464">
            <v>0</v>
          </cell>
          <cell r="F464">
            <v>60</v>
          </cell>
        </row>
        <row r="465">
          <cell r="B465">
            <v>40034080</v>
          </cell>
          <cell r="C465" t="str">
            <v>PHD10G EXPERTx10G 72 BOTTLES-GCC</v>
          </cell>
          <cell r="D465">
            <v>60</v>
          </cell>
          <cell r="E465">
            <v>0</v>
          </cell>
          <cell r="F465">
            <v>60</v>
          </cell>
        </row>
        <row r="466">
          <cell r="B466">
            <v>40009661</v>
          </cell>
          <cell r="C466" t="str">
            <v>HIT RATS 25GRM P360 (12's x 30) - EXP CC</v>
          </cell>
          <cell r="D466">
            <v>60</v>
          </cell>
          <cell r="E466">
            <v>0</v>
          </cell>
          <cell r="F466">
            <v>60</v>
          </cell>
        </row>
        <row r="467">
          <cell r="B467">
            <v>40058551</v>
          </cell>
          <cell r="C467" t="str">
            <v>AER MATIC SPRY REF VVB 210ML P18 EXPW/OM</v>
          </cell>
          <cell r="D467">
            <v>60</v>
          </cell>
          <cell r="E467">
            <v>0</v>
          </cell>
          <cell r="F467">
            <v>60</v>
          </cell>
        </row>
        <row r="468">
          <cell r="B468">
            <v>40065728</v>
          </cell>
          <cell r="C468" t="str">
            <v>AER SPRAY FOREST FRESH 180ML P24 SL</v>
          </cell>
          <cell r="D468">
            <v>60</v>
          </cell>
          <cell r="E468">
            <v>0</v>
          </cell>
          <cell r="F468">
            <v>60</v>
          </cell>
        </row>
        <row r="469">
          <cell r="B469">
            <v>40065719</v>
          </cell>
          <cell r="C469" t="str">
            <v>AER SPRAY ROSEBLOSSOM 180ML P24 SL</v>
          </cell>
          <cell r="D469">
            <v>60</v>
          </cell>
          <cell r="E469">
            <v>0</v>
          </cell>
          <cell r="F469">
            <v>60</v>
          </cell>
        </row>
        <row r="470">
          <cell r="B470">
            <v>40059859</v>
          </cell>
          <cell r="C470" t="str">
            <v>AER SPRAY MYSTIC MUSK 200ML P24 EXP CC</v>
          </cell>
          <cell r="D470">
            <v>60</v>
          </cell>
          <cell r="E470">
            <v>0</v>
          </cell>
          <cell r="F470">
            <v>60</v>
          </cell>
        </row>
        <row r="471">
          <cell r="B471">
            <v>40065724</v>
          </cell>
          <cell r="C471" t="str">
            <v>AER SPRAY MYSTIC MUSK 180ML P24 SL</v>
          </cell>
          <cell r="D471">
            <v>60</v>
          </cell>
          <cell r="E471">
            <v>0</v>
          </cell>
          <cell r="F471">
            <v>60</v>
          </cell>
        </row>
        <row r="472">
          <cell r="B472">
            <v>40042753</v>
          </cell>
          <cell r="C472" t="str">
            <v>TECHNICAL PPDS (B) New SL</v>
          </cell>
          <cell r="D472">
            <v>59</v>
          </cell>
          <cell r="E472">
            <v>0</v>
          </cell>
          <cell r="F472">
            <v>59</v>
          </cell>
        </row>
        <row r="473">
          <cell r="B473">
            <v>40059679</v>
          </cell>
          <cell r="C473" t="str">
            <v>KS URGE POWSERIES 135ML M199 P24 GCPL</v>
          </cell>
          <cell r="D473">
            <v>58</v>
          </cell>
          <cell r="E473">
            <v>0</v>
          </cell>
          <cell r="F473">
            <v>58</v>
          </cell>
        </row>
        <row r="474">
          <cell r="B474">
            <v>40043497</v>
          </cell>
          <cell r="C474" t="str">
            <v>KS3's Dotted B/P RegP2160-GGME</v>
          </cell>
          <cell r="D474">
            <v>55.995962962962999</v>
          </cell>
          <cell r="E474">
            <v>0</v>
          </cell>
          <cell r="F474">
            <v>55.995962962962999</v>
          </cell>
        </row>
        <row r="475">
          <cell r="B475">
            <v>40062262</v>
          </cell>
          <cell r="C475" t="str">
            <v>PA GM AER 150ML P48GCPL GGME W/O M</v>
          </cell>
          <cell r="D475">
            <v>55</v>
          </cell>
          <cell r="E475">
            <v>0</v>
          </cell>
          <cell r="F475">
            <v>55</v>
          </cell>
        </row>
        <row r="476">
          <cell r="B476">
            <v>40061355</v>
          </cell>
          <cell r="C476" t="str">
            <v>PA COOLBLUEMEGA220MLM360P/SP72LIQ-LIQ</v>
          </cell>
          <cell r="D476">
            <v>54.999861111111102</v>
          </cell>
          <cell r="E476">
            <v>0</v>
          </cell>
          <cell r="F476">
            <v>54.999861111111102</v>
          </cell>
        </row>
        <row r="477">
          <cell r="B477">
            <v>40062549</v>
          </cell>
          <cell r="C477" t="str">
            <v>KS SPARK B1G1 PSERIES 135ML M199 P12GCPL</v>
          </cell>
          <cell r="D477">
            <v>54</v>
          </cell>
          <cell r="E477">
            <v>0</v>
          </cell>
          <cell r="F477">
            <v>54</v>
          </cell>
        </row>
        <row r="478">
          <cell r="B478">
            <v>40061000</v>
          </cell>
          <cell r="C478" t="str">
            <v>CINORIGINALTALC300G M190 P24</v>
          </cell>
          <cell r="D478">
            <v>34</v>
          </cell>
          <cell r="E478">
            <v>20</v>
          </cell>
          <cell r="F478">
            <v>54</v>
          </cell>
        </row>
        <row r="479">
          <cell r="B479">
            <v>40057761</v>
          </cell>
          <cell r="C479" t="str">
            <v>CIN LIME 100G PO4 W/O MRP P36 EXP</v>
          </cell>
          <cell r="D479">
            <v>53</v>
          </cell>
          <cell r="E479">
            <v>0</v>
          </cell>
          <cell r="F479">
            <v>53</v>
          </cell>
        </row>
        <row r="480">
          <cell r="B480">
            <v>40062325</v>
          </cell>
          <cell r="C480" t="str">
            <v>KS3'S BANANA FLV M30P1440 NEWAW</v>
          </cell>
          <cell r="D480">
            <v>52</v>
          </cell>
          <cell r="E480">
            <v>1</v>
          </cell>
          <cell r="F480">
            <v>53</v>
          </cell>
        </row>
        <row r="481">
          <cell r="B481">
            <v>40062017</v>
          </cell>
          <cell r="C481" t="str">
            <v>GK SUPER MAT 100 POUCH M225 P40</v>
          </cell>
          <cell r="D481">
            <v>52.5</v>
          </cell>
          <cell r="E481">
            <v>0</v>
          </cell>
          <cell r="F481">
            <v>52.5</v>
          </cell>
        </row>
        <row r="482">
          <cell r="B482">
            <v>40060426</v>
          </cell>
          <cell r="C482" t="str">
            <v>PA ATCW (5+1) 40+8TSTR M225 P40 (8*6)INR</v>
          </cell>
          <cell r="D482">
            <v>52</v>
          </cell>
          <cell r="E482">
            <v>0</v>
          </cell>
          <cell r="F482">
            <v>52</v>
          </cell>
        </row>
        <row r="483">
          <cell r="B483">
            <v>40064427</v>
          </cell>
          <cell r="C483" t="str">
            <v>PA SOAP GD MRNG 125G B3G1 M240 P27</v>
          </cell>
          <cell r="D483">
            <v>27</v>
          </cell>
          <cell r="E483">
            <v>25</v>
          </cell>
          <cell r="F483">
            <v>52</v>
          </cell>
        </row>
        <row r="484">
          <cell r="B484">
            <v>40064141</v>
          </cell>
          <cell r="C484" t="str">
            <v>GRCRM20G+20ML+2MLBURPO10P240NDMTW/OMEXCC</v>
          </cell>
          <cell r="D484">
            <v>51</v>
          </cell>
          <cell r="E484">
            <v>0</v>
          </cell>
          <cell r="F484">
            <v>51</v>
          </cell>
        </row>
        <row r="485">
          <cell r="B485">
            <v>40063894</v>
          </cell>
          <cell r="C485" t="str">
            <v>AER SPRAY CITRUS BLAST 180ML P24  EXP CC</v>
          </cell>
          <cell r="D485">
            <v>51</v>
          </cell>
          <cell r="E485">
            <v>0</v>
          </cell>
          <cell r="F485">
            <v>51</v>
          </cell>
        </row>
        <row r="486">
          <cell r="B486">
            <v>40001907</v>
          </cell>
          <cell r="C486" t="str">
            <v>TECHNICAL PERBORATE ( A )for BLACK HEENA</v>
          </cell>
          <cell r="D486">
            <v>50</v>
          </cell>
          <cell r="E486">
            <v>0</v>
          </cell>
          <cell r="F486">
            <v>50</v>
          </cell>
        </row>
        <row r="487">
          <cell r="B487">
            <v>40064109</v>
          </cell>
          <cell r="C487" t="str">
            <v>GODREJ XPRSS SHC NTBLCK18MLPO4P36M120 ND</v>
          </cell>
          <cell r="D487">
            <v>50</v>
          </cell>
          <cell r="E487">
            <v>0</v>
          </cell>
          <cell r="F487">
            <v>50</v>
          </cell>
        </row>
        <row r="488">
          <cell r="B488">
            <v>40034998</v>
          </cell>
          <cell r="C488" t="str">
            <v>Nupur Pure Henna 500g P24 W/O MRP - THAI</v>
          </cell>
          <cell r="D488">
            <v>50</v>
          </cell>
          <cell r="E488">
            <v>0</v>
          </cell>
          <cell r="F488">
            <v>50</v>
          </cell>
        </row>
        <row r="489">
          <cell r="B489">
            <v>40058563</v>
          </cell>
          <cell r="C489" t="str">
            <v>AER MATIC SPRY REFIL CSB 210ML P18 EXPCC</v>
          </cell>
          <cell r="D489">
            <v>50</v>
          </cell>
          <cell r="E489">
            <v>0</v>
          </cell>
          <cell r="F489">
            <v>50</v>
          </cell>
        </row>
        <row r="490">
          <cell r="B490">
            <v>40058566</v>
          </cell>
          <cell r="C490" t="str">
            <v>AER MATIC SPRY REFIL FLG 210ML P18 EXPCC</v>
          </cell>
          <cell r="D490">
            <v>50</v>
          </cell>
          <cell r="E490">
            <v>0</v>
          </cell>
          <cell r="F490">
            <v>50</v>
          </cell>
        </row>
        <row r="491">
          <cell r="B491">
            <v>40065781</v>
          </cell>
          <cell r="C491" t="str">
            <v>AER MATIC SPRY RFILL PCP210ML P18  SL</v>
          </cell>
          <cell r="D491">
            <v>50</v>
          </cell>
          <cell r="E491">
            <v>0</v>
          </cell>
          <cell r="F491">
            <v>50</v>
          </cell>
        </row>
        <row r="492">
          <cell r="B492">
            <v>40060545</v>
          </cell>
          <cell r="C492" t="str">
            <v>AERPWRPOCTK LAVBLOOM 10GP144(6X4)WALMART</v>
          </cell>
          <cell r="D492">
            <v>50</v>
          </cell>
          <cell r="E492">
            <v>0</v>
          </cell>
          <cell r="F492">
            <v>50</v>
          </cell>
        </row>
        <row r="493">
          <cell r="B493">
            <v>40059229</v>
          </cell>
          <cell r="C493" t="str">
            <v>CIN COOL 125G PO3 P40 EXP CC</v>
          </cell>
          <cell r="D493">
            <v>50</v>
          </cell>
          <cell r="E493">
            <v>0</v>
          </cell>
          <cell r="F493">
            <v>50</v>
          </cell>
        </row>
        <row r="494">
          <cell r="B494">
            <v>40043500</v>
          </cell>
          <cell r="C494" t="str">
            <v>KS3's Longlast B/P RegP2160-GGME</v>
          </cell>
          <cell r="D494">
            <v>50</v>
          </cell>
          <cell r="E494">
            <v>0</v>
          </cell>
          <cell r="F494">
            <v>50</v>
          </cell>
        </row>
        <row r="495">
          <cell r="B495">
            <v>40063149</v>
          </cell>
          <cell r="C495" t="str">
            <v>KS10'S SKINFEELP480 W/O MRP GGME</v>
          </cell>
          <cell r="D495">
            <v>50</v>
          </cell>
          <cell r="E495">
            <v>0</v>
          </cell>
          <cell r="F495">
            <v>50</v>
          </cell>
        </row>
        <row r="496">
          <cell r="B496">
            <v>40064558</v>
          </cell>
          <cell r="C496" t="str">
            <v>PA SOAPGOOD MRNG4X125GPO4M320 P27GCPL</v>
          </cell>
          <cell r="D496">
            <v>0</v>
          </cell>
          <cell r="E496">
            <v>50</v>
          </cell>
          <cell r="F496">
            <v>50</v>
          </cell>
        </row>
        <row r="497">
          <cell r="B497">
            <v>40028203</v>
          </cell>
          <cell r="C497" t="str">
            <v>AER SPRAY MUSK 300ML PK 24 NEW A/W-GGME</v>
          </cell>
          <cell r="D497">
            <v>49.8333333333333</v>
          </cell>
          <cell r="E497">
            <v>0</v>
          </cell>
          <cell r="F497">
            <v>49.8333333333333</v>
          </cell>
        </row>
        <row r="498">
          <cell r="B498">
            <v>40065256</v>
          </cell>
          <cell r="C498" t="str">
            <v>GK COIL GREENSHAKTI LSC12HR M49 P60 HP</v>
          </cell>
          <cell r="D498">
            <v>49</v>
          </cell>
          <cell r="E498">
            <v>0</v>
          </cell>
          <cell r="F498">
            <v>49</v>
          </cell>
        </row>
        <row r="499">
          <cell r="B499">
            <v>40028887</v>
          </cell>
          <cell r="C499" t="str">
            <v xml:space="preserve"> GK MIK 300 ML (NIGERIA) PS:48 NEW ZEST</v>
          </cell>
          <cell r="D499">
            <v>49</v>
          </cell>
          <cell r="E499">
            <v>0</v>
          </cell>
          <cell r="F499">
            <v>49</v>
          </cell>
        </row>
        <row r="500">
          <cell r="B500">
            <v>40061181</v>
          </cell>
          <cell r="C500" t="str">
            <v>PA EDP KNIGHT 100ML G M499 P12-LIQ</v>
          </cell>
          <cell r="D500">
            <v>49</v>
          </cell>
          <cell r="E500">
            <v>0</v>
          </cell>
          <cell r="F500">
            <v>49</v>
          </cell>
        </row>
        <row r="501">
          <cell r="B501">
            <v>40057435</v>
          </cell>
          <cell r="C501" t="str">
            <v>GK FLASH COMBI 60ML M120 P48 RNF - CSD</v>
          </cell>
          <cell r="D501">
            <v>48</v>
          </cell>
          <cell r="E501">
            <v>0</v>
          </cell>
          <cell r="F501">
            <v>48</v>
          </cell>
        </row>
        <row r="502">
          <cell r="B502">
            <v>40031838</v>
          </cell>
          <cell r="C502" t="str">
            <v>Nupur Heena 400g (9 herbs) P24 - CANADA</v>
          </cell>
          <cell r="D502">
            <v>48</v>
          </cell>
          <cell r="E502">
            <v>0</v>
          </cell>
          <cell r="F502">
            <v>48</v>
          </cell>
        </row>
        <row r="503">
          <cell r="B503">
            <v>40041326</v>
          </cell>
          <cell r="C503" t="str">
            <v>GK XPRESS CART M93 P120 45ml (F) NEW CSD</v>
          </cell>
          <cell r="D503">
            <v>47.000333333333302</v>
          </cell>
          <cell r="E503">
            <v>0</v>
          </cell>
          <cell r="F503">
            <v>47.000333333333302</v>
          </cell>
        </row>
        <row r="504">
          <cell r="B504">
            <v>40063562</v>
          </cell>
          <cell r="C504" t="str">
            <v>GODREJ FAB 75GMS SACHET M10 P96</v>
          </cell>
          <cell r="D504">
            <v>47</v>
          </cell>
          <cell r="E504">
            <v>0</v>
          </cell>
          <cell r="F504">
            <v>47</v>
          </cell>
        </row>
        <row r="505">
          <cell r="B505">
            <v>40059699</v>
          </cell>
          <cell r="C505" t="str">
            <v>GOD SELFIESHC9ML+9MLP144NBLCK EGY-EXP</v>
          </cell>
          <cell r="D505">
            <v>47</v>
          </cell>
          <cell r="E505">
            <v>0</v>
          </cell>
          <cell r="F505">
            <v>47</v>
          </cell>
        </row>
        <row r="506">
          <cell r="B506">
            <v>40059534</v>
          </cell>
          <cell r="C506" t="str">
            <v>HIT RAT KILL M30 P360</v>
          </cell>
          <cell r="D506">
            <v>46</v>
          </cell>
          <cell r="E506">
            <v>0</v>
          </cell>
          <cell r="F506">
            <v>46</v>
          </cell>
        </row>
        <row r="507">
          <cell r="B507">
            <v>40058608</v>
          </cell>
          <cell r="C507" t="str">
            <v>AER MATIC SPRYREF VVB 210ML P18 GGMEW/OM</v>
          </cell>
          <cell r="D507">
            <v>46</v>
          </cell>
          <cell r="E507">
            <v>0</v>
          </cell>
          <cell r="F507">
            <v>46</v>
          </cell>
        </row>
        <row r="508">
          <cell r="B508">
            <v>40056572</v>
          </cell>
          <cell r="C508" t="str">
            <v>KSSTRAWBERRY LUBE50 ML P24 W/O MRP GGME</v>
          </cell>
          <cell r="D508">
            <v>46</v>
          </cell>
          <cell r="E508">
            <v>0</v>
          </cell>
          <cell r="F508">
            <v>46</v>
          </cell>
        </row>
        <row r="509">
          <cell r="B509">
            <v>40060404</v>
          </cell>
          <cell r="C509" t="str">
            <v>AER O ROSEBLOSOM 7.5G P60 ARABICAW GGME</v>
          </cell>
          <cell r="D509">
            <v>45</v>
          </cell>
          <cell r="E509">
            <v>0</v>
          </cell>
          <cell r="F509">
            <v>45</v>
          </cell>
        </row>
        <row r="510">
          <cell r="B510">
            <v>40043179</v>
          </cell>
          <cell r="C510" t="str">
            <v>PA VOYAGE AER 150 ML M250 P24 GCPL</v>
          </cell>
          <cell r="D510">
            <v>45</v>
          </cell>
          <cell r="E510">
            <v>0</v>
          </cell>
          <cell r="F510">
            <v>45</v>
          </cell>
        </row>
        <row r="511">
          <cell r="B511">
            <v>40064221</v>
          </cell>
          <cell r="C511" t="str">
            <v>PA AMAZNWDS120ML M225 P48 (8*6)INNER_LIQ</v>
          </cell>
          <cell r="D511">
            <v>45</v>
          </cell>
          <cell r="E511">
            <v>0</v>
          </cell>
          <cell r="F511">
            <v>45</v>
          </cell>
        </row>
        <row r="512">
          <cell r="B512">
            <v>40058725</v>
          </cell>
          <cell r="C512" t="str">
            <v>NO1LIME&amp;ALV43GMP216 POLY-NPR20 RSTRD NPL</v>
          </cell>
          <cell r="D512">
            <v>45</v>
          </cell>
          <cell r="E512">
            <v>0</v>
          </cell>
          <cell r="F512">
            <v>45</v>
          </cell>
        </row>
        <row r="513">
          <cell r="B513">
            <v>40050424</v>
          </cell>
          <cell r="C513" t="str">
            <v>HIT FIK 320ML M210.00 P50 0.18</v>
          </cell>
          <cell r="D513">
            <v>44</v>
          </cell>
          <cell r="E513">
            <v>0</v>
          </cell>
          <cell r="F513">
            <v>44</v>
          </cell>
        </row>
        <row r="514">
          <cell r="B514">
            <v>40063385</v>
          </cell>
          <cell r="C514" t="str">
            <v>CIN DEO COMPLEX100G P160W/O MRP-THAI NEW</v>
          </cell>
          <cell r="D514">
            <v>44</v>
          </cell>
          <cell r="E514">
            <v>0</v>
          </cell>
          <cell r="F514">
            <v>44</v>
          </cell>
        </row>
        <row r="515">
          <cell r="B515">
            <v>40064694</v>
          </cell>
          <cell r="C515" t="str">
            <v>GK FLASH COMBI 60ML M110 P48 RNF P+H</v>
          </cell>
          <cell r="D515">
            <v>43</v>
          </cell>
          <cell r="E515">
            <v>0</v>
          </cell>
          <cell r="F515">
            <v>43</v>
          </cell>
        </row>
        <row r="516">
          <cell r="B516">
            <v>40041802</v>
          </cell>
          <cell r="C516" t="str">
            <v>KS3's Chocolate MozambiqueP2160</v>
          </cell>
          <cell r="D516">
            <v>43</v>
          </cell>
          <cell r="E516">
            <v>0</v>
          </cell>
          <cell r="F516">
            <v>43</v>
          </cell>
        </row>
        <row r="517">
          <cell r="B517">
            <v>40062904</v>
          </cell>
          <cell r="C517" t="str">
            <v>GODREJ FAB 1LTR POUCH P12 W/O M EXP</v>
          </cell>
          <cell r="D517">
            <v>42</v>
          </cell>
          <cell r="E517">
            <v>0</v>
          </cell>
          <cell r="F517">
            <v>42</v>
          </cell>
        </row>
        <row r="518">
          <cell r="B518">
            <v>40044047</v>
          </cell>
          <cell r="C518" t="str">
            <v>GP KeratinRepairMask 200gm PS12W/OMRP BD</v>
          </cell>
          <cell r="D518">
            <v>42</v>
          </cell>
          <cell r="E518">
            <v>0</v>
          </cell>
          <cell r="F518">
            <v>42</v>
          </cell>
        </row>
        <row r="519">
          <cell r="B519">
            <v>40039900</v>
          </cell>
          <cell r="C519" t="str">
            <v>KS3's Banana F/P  MozambiqueP2160</v>
          </cell>
          <cell r="D519">
            <v>42</v>
          </cell>
          <cell r="E519">
            <v>0</v>
          </cell>
          <cell r="F519">
            <v>42</v>
          </cell>
        </row>
        <row r="520">
          <cell r="B520">
            <v>40063282</v>
          </cell>
          <cell r="C520" t="str">
            <v>NO1 RSE ALMD 100G PO5 M130 P36 RSTRD NF2</v>
          </cell>
          <cell r="D520">
            <v>0</v>
          </cell>
          <cell r="E520">
            <v>42</v>
          </cell>
          <cell r="F520">
            <v>42</v>
          </cell>
        </row>
        <row r="521">
          <cell r="B521">
            <v>40059094</v>
          </cell>
          <cell r="C521" t="str">
            <v>*CIN ORIG 100G NP SINGLE M50 P160 CSD</v>
          </cell>
          <cell r="D521">
            <v>9</v>
          </cell>
          <cell r="E521">
            <v>32</v>
          </cell>
          <cell r="F521">
            <v>41</v>
          </cell>
        </row>
        <row r="522">
          <cell r="B522">
            <v>40063573</v>
          </cell>
          <cell r="C522" t="str">
            <v>GK FLSHLAVREF PO2M175P120MTRNF NWART PCR</v>
          </cell>
          <cell r="D522">
            <v>41</v>
          </cell>
          <cell r="E522">
            <v>0</v>
          </cell>
          <cell r="F522">
            <v>41</v>
          </cell>
        </row>
        <row r="523">
          <cell r="B523">
            <v>40063052</v>
          </cell>
          <cell r="C523" t="str">
            <v>HIT FIK 625ML M335P25 .18MM 28% MFT NEW</v>
          </cell>
          <cell r="D523">
            <v>41</v>
          </cell>
          <cell r="E523">
            <v>0</v>
          </cell>
          <cell r="F523">
            <v>41</v>
          </cell>
        </row>
        <row r="524">
          <cell r="B524">
            <v>40056584</v>
          </cell>
          <cell r="C524" t="str">
            <v>KSALOE &amp;VIT.E LUBE50 ML P24 W/O MRP GGME</v>
          </cell>
          <cell r="D524">
            <v>41</v>
          </cell>
          <cell r="E524">
            <v>0</v>
          </cell>
          <cell r="F524">
            <v>41</v>
          </cell>
        </row>
        <row r="525">
          <cell r="B525">
            <v>40060548</v>
          </cell>
          <cell r="C525" t="str">
            <v>AER O COOLAQUA 7.5G P72(9X2)WALMART</v>
          </cell>
          <cell r="D525">
            <v>40</v>
          </cell>
          <cell r="E525">
            <v>0</v>
          </cell>
          <cell r="F525">
            <v>40</v>
          </cell>
        </row>
        <row r="526">
          <cell r="B526">
            <v>40060550</v>
          </cell>
          <cell r="C526" t="str">
            <v>AER O ROSEBLOSSOM 7.5G P72(9X2) WALMART</v>
          </cell>
          <cell r="D526">
            <v>40</v>
          </cell>
          <cell r="E526">
            <v>0</v>
          </cell>
          <cell r="F526">
            <v>40</v>
          </cell>
        </row>
        <row r="527">
          <cell r="B527">
            <v>40060540</v>
          </cell>
          <cell r="C527" t="str">
            <v>AER O MUSKAFTSMOKE7.5G P72(9X2) WALMART</v>
          </cell>
          <cell r="D527">
            <v>40</v>
          </cell>
          <cell r="E527">
            <v>0</v>
          </cell>
          <cell r="F527">
            <v>40</v>
          </cell>
        </row>
        <row r="528">
          <cell r="B528">
            <v>40061057</v>
          </cell>
          <cell r="C528" t="str">
            <v>AERPWRPOCKTASORTED PO5 P24 W/O MRP EXPNF</v>
          </cell>
          <cell r="D528">
            <v>40</v>
          </cell>
          <cell r="E528">
            <v>0</v>
          </cell>
          <cell r="F528">
            <v>40</v>
          </cell>
        </row>
        <row r="529">
          <cell r="B529">
            <v>40058326</v>
          </cell>
          <cell r="C529" t="str">
            <v>PA AMAZONWOODS 120ML M225 P48 (8*6)INNER</v>
          </cell>
          <cell r="D529">
            <v>40</v>
          </cell>
          <cell r="E529">
            <v>0</v>
          </cell>
          <cell r="F529">
            <v>40</v>
          </cell>
        </row>
        <row r="530">
          <cell r="B530">
            <v>40042504</v>
          </cell>
          <cell r="C530" t="str">
            <v>PA SoapG1 Good Mrng 125gPO4P27-GGME-W/OM</v>
          </cell>
          <cell r="D530">
            <v>40</v>
          </cell>
          <cell r="E530">
            <v>0</v>
          </cell>
          <cell r="F530">
            <v>40</v>
          </cell>
        </row>
        <row r="531">
          <cell r="B531">
            <v>40042547</v>
          </cell>
          <cell r="C531" t="str">
            <v>PA SoapG2 PurLuxury 125gPO4P27-GGME-W/OM</v>
          </cell>
          <cell r="D531">
            <v>40</v>
          </cell>
          <cell r="E531">
            <v>0</v>
          </cell>
          <cell r="F531">
            <v>40</v>
          </cell>
        </row>
        <row r="532">
          <cell r="B532">
            <v>40039899</v>
          </cell>
          <cell r="C532" t="str">
            <v>KS3's Strawberry B/P  MozambiqueP2160</v>
          </cell>
          <cell r="D532">
            <v>40</v>
          </cell>
          <cell r="E532">
            <v>0</v>
          </cell>
          <cell r="F532">
            <v>40</v>
          </cell>
        </row>
        <row r="533">
          <cell r="B533">
            <v>40061031</v>
          </cell>
          <cell r="C533" t="str">
            <v>PA BS NEW DF HAIR180M M190 P36</v>
          </cell>
          <cell r="D533">
            <v>40</v>
          </cell>
          <cell r="E533">
            <v>0</v>
          </cell>
          <cell r="F533">
            <v>40</v>
          </cell>
        </row>
        <row r="534">
          <cell r="B534">
            <v>40031810</v>
          </cell>
          <cell r="C534" t="str">
            <v>GK GreenShakti LSC 12hr CS60 W/O MRP</v>
          </cell>
          <cell r="D534">
            <v>39</v>
          </cell>
          <cell r="E534">
            <v>0</v>
          </cell>
          <cell r="F534">
            <v>39</v>
          </cell>
        </row>
        <row r="535">
          <cell r="B535">
            <v>40060423</v>
          </cell>
          <cell r="C535" t="str">
            <v>PA TBLM (5+1) 40+8TSTR M225 P40 (8*6)INR</v>
          </cell>
          <cell r="D535">
            <v>39</v>
          </cell>
          <cell r="E535">
            <v>0</v>
          </cell>
          <cell r="F535">
            <v>39</v>
          </cell>
        </row>
        <row r="536">
          <cell r="B536">
            <v>40041854</v>
          </cell>
          <cell r="C536" t="str">
            <v>KS RUSH MEGA 220ML M370P72 GCPL</v>
          </cell>
          <cell r="D536">
            <v>39</v>
          </cell>
          <cell r="E536">
            <v>0</v>
          </cell>
          <cell r="F536">
            <v>39</v>
          </cell>
        </row>
        <row r="537">
          <cell r="B537">
            <v>40064998</v>
          </cell>
          <cell r="C537" t="str">
            <v>CIN COOL 100G SINGLES M45 P150 NEW RSTRD</v>
          </cell>
          <cell r="D537">
            <v>0</v>
          </cell>
          <cell r="E537">
            <v>38</v>
          </cell>
          <cell r="F537">
            <v>38</v>
          </cell>
        </row>
        <row r="538">
          <cell r="B538">
            <v>40042526</v>
          </cell>
          <cell r="C538" t="str">
            <v>PA EDP Euphoria 100mlP18-EXP-W/O MRP</v>
          </cell>
          <cell r="D538">
            <v>38</v>
          </cell>
          <cell r="E538">
            <v>0</v>
          </cell>
          <cell r="F538">
            <v>38</v>
          </cell>
        </row>
        <row r="539">
          <cell r="B539">
            <v>40063793</v>
          </cell>
          <cell r="C539" t="str">
            <v>NUPUR PURE HENNA 200G M80 P72 NEW</v>
          </cell>
          <cell r="D539">
            <v>37</v>
          </cell>
          <cell r="E539">
            <v>0</v>
          </cell>
          <cell r="F539">
            <v>37</v>
          </cell>
        </row>
        <row r="540">
          <cell r="B540">
            <v>40056889</v>
          </cell>
          <cell r="C540" t="str">
            <v>PA EDP CONQUER 100ML GT TSTR M599 P6</v>
          </cell>
          <cell r="D540">
            <v>37</v>
          </cell>
          <cell r="E540">
            <v>0</v>
          </cell>
          <cell r="F540">
            <v>37</v>
          </cell>
        </row>
        <row r="541">
          <cell r="B541">
            <v>40039898</v>
          </cell>
          <cell r="C541" t="str">
            <v>KS3's Plain B/P MozambiqueP2160</v>
          </cell>
          <cell r="D541">
            <v>36</v>
          </cell>
          <cell r="E541">
            <v>0</v>
          </cell>
          <cell r="F541">
            <v>36</v>
          </cell>
        </row>
        <row r="542">
          <cell r="B542">
            <v>40033906</v>
          </cell>
          <cell r="C542" t="str">
            <v>CINTHOL LIME FRESH 125G PK72 W/O MRP-EXP</v>
          </cell>
          <cell r="D542">
            <v>35.4861111111111</v>
          </cell>
          <cell r="E542">
            <v>0</v>
          </cell>
          <cell r="F542">
            <v>35.4861111111111</v>
          </cell>
        </row>
        <row r="543">
          <cell r="B543">
            <v>40061510</v>
          </cell>
          <cell r="C543" t="str">
            <v>KS SPARK AER (PO3)150ML M230 P48 NFR</v>
          </cell>
          <cell r="D543">
            <v>35.2708333333333</v>
          </cell>
          <cell r="E543">
            <v>0</v>
          </cell>
          <cell r="F543">
            <v>35.2708333333333</v>
          </cell>
        </row>
        <row r="544">
          <cell r="B544">
            <v>40064377</v>
          </cell>
          <cell r="C544" t="str">
            <v>PA 2VOY 1 NEO REFRESH 150ML M500 P16</v>
          </cell>
          <cell r="D544">
            <v>35</v>
          </cell>
          <cell r="E544">
            <v>0</v>
          </cell>
          <cell r="F544">
            <v>35</v>
          </cell>
        </row>
        <row r="545">
          <cell r="B545">
            <v>40028468</v>
          </cell>
          <cell r="C545" t="str">
            <v>CIN DEO COMPLEX100G P144W/O MRP-THAI NEW</v>
          </cell>
          <cell r="D545">
            <v>35</v>
          </cell>
          <cell r="E545">
            <v>0</v>
          </cell>
          <cell r="F545">
            <v>35</v>
          </cell>
        </row>
        <row r="546">
          <cell r="B546">
            <v>40050877</v>
          </cell>
          <cell r="C546" t="str">
            <v>HIT CHALK M20 P360</v>
          </cell>
          <cell r="D546">
            <v>34</v>
          </cell>
          <cell r="E546">
            <v>0</v>
          </cell>
          <cell r="F546">
            <v>34</v>
          </cell>
        </row>
        <row r="547">
          <cell r="B547">
            <v>40065335</v>
          </cell>
          <cell r="C547" t="str">
            <v>GK ACTIV+PO2 REFILL M185P120 RNF PCR ROI</v>
          </cell>
          <cell r="D547">
            <v>34</v>
          </cell>
          <cell r="E547">
            <v>0</v>
          </cell>
          <cell r="F547">
            <v>34</v>
          </cell>
        </row>
        <row r="548">
          <cell r="B548">
            <v>40057630</v>
          </cell>
          <cell r="C548" t="str">
            <v>GK FLASH RFLL 45ML P240 RNF W/O MRP- EXP</v>
          </cell>
          <cell r="D548">
            <v>34</v>
          </cell>
          <cell r="E548">
            <v>0</v>
          </cell>
          <cell r="F548">
            <v>34</v>
          </cell>
        </row>
        <row r="549">
          <cell r="B549">
            <v>40063556</v>
          </cell>
          <cell r="C549" t="str">
            <v>Muuchstac Ocean Facewash M125 PO1 P-100</v>
          </cell>
          <cell r="D549">
            <v>34</v>
          </cell>
          <cell r="E549">
            <v>0</v>
          </cell>
          <cell r="F549">
            <v>34</v>
          </cell>
        </row>
        <row r="550">
          <cell r="B550">
            <v>40058576</v>
          </cell>
          <cell r="C550" t="str">
            <v>AER MATIC SPRY REF FLG 210ML P18 EXPW/OM</v>
          </cell>
          <cell r="D550">
            <v>33.6666666666667</v>
          </cell>
          <cell r="E550">
            <v>0</v>
          </cell>
          <cell r="F550">
            <v>33.6666666666667</v>
          </cell>
        </row>
        <row r="551">
          <cell r="B551">
            <v>40064956</v>
          </cell>
          <cell r="C551" t="str">
            <v>CIN H+ 100G PO5 BANDED M225 P36 MT RSTRD</v>
          </cell>
          <cell r="D551">
            <v>33</v>
          </cell>
          <cell r="E551">
            <v>0</v>
          </cell>
          <cell r="F551">
            <v>33</v>
          </cell>
        </row>
        <row r="552">
          <cell r="B552">
            <v>40041337</v>
          </cell>
          <cell r="C552" t="str">
            <v>GP Dimension Shade 9.1 M410 70g P24</v>
          </cell>
          <cell r="D552">
            <v>33</v>
          </cell>
          <cell r="E552">
            <v>0</v>
          </cell>
          <cell r="F552">
            <v>33</v>
          </cell>
        </row>
        <row r="553">
          <cell r="B553">
            <v>40061162</v>
          </cell>
          <cell r="C553" t="str">
            <v>KS URGE AEROSOL 150 ML (MRP 230)P48-LIQ</v>
          </cell>
          <cell r="D553">
            <v>33</v>
          </cell>
          <cell r="E553">
            <v>0</v>
          </cell>
          <cell r="F553">
            <v>33</v>
          </cell>
        </row>
        <row r="554">
          <cell r="B554">
            <v>40063193</v>
          </cell>
          <cell r="C554" t="str">
            <v>NO1COCONM 43GPO4M40P54 TFM 70% RSTRD NF2</v>
          </cell>
          <cell r="D554">
            <v>0</v>
          </cell>
          <cell r="E554">
            <v>32</v>
          </cell>
          <cell r="F554">
            <v>32</v>
          </cell>
        </row>
        <row r="555">
          <cell r="B555">
            <v>40057737</v>
          </cell>
          <cell r="C555" t="str">
            <v>PA EDP EUPHORIA 100ML P6-EXP-CC</v>
          </cell>
          <cell r="D555">
            <v>31.6666666666667</v>
          </cell>
          <cell r="E555">
            <v>0</v>
          </cell>
          <cell r="F555">
            <v>31.6666666666667</v>
          </cell>
        </row>
        <row r="556">
          <cell r="B556">
            <v>40064994</v>
          </cell>
          <cell r="C556" t="str">
            <v>CIN HEALTH+ 100G SINGLES M45 P150 RSTRD</v>
          </cell>
          <cell r="D556">
            <v>31</v>
          </cell>
          <cell r="E556">
            <v>0</v>
          </cell>
          <cell r="F556">
            <v>31</v>
          </cell>
        </row>
        <row r="557">
          <cell r="B557">
            <v>40063427</v>
          </cell>
          <cell r="C557" t="str">
            <v>EXPERT CRÈME NAT BWN PO8 M40 P240-MT ND</v>
          </cell>
          <cell r="D557">
            <v>30</v>
          </cell>
          <cell r="E557">
            <v>0</v>
          </cell>
          <cell r="F557">
            <v>30</v>
          </cell>
        </row>
        <row r="558">
          <cell r="B558">
            <v>40064957</v>
          </cell>
          <cell r="C558" t="str">
            <v>CIN COOL 150G PO4 M225 P24 BANDED RSTRD</v>
          </cell>
          <cell r="D558">
            <v>30</v>
          </cell>
          <cell r="E558">
            <v>0</v>
          </cell>
          <cell r="F558">
            <v>30</v>
          </cell>
        </row>
        <row r="559">
          <cell r="B559">
            <v>40041327</v>
          </cell>
          <cell r="C559" t="str">
            <v>GP Dimension Shade8 M410 70g P24</v>
          </cell>
          <cell r="D559">
            <v>30</v>
          </cell>
          <cell r="E559">
            <v>0</v>
          </cell>
          <cell r="F559">
            <v>30</v>
          </cell>
        </row>
        <row r="560">
          <cell r="B560">
            <v>40041318</v>
          </cell>
          <cell r="C560" t="str">
            <v>GP Dimension Shade 7G M410 70g P24</v>
          </cell>
          <cell r="D560">
            <v>30</v>
          </cell>
          <cell r="E560">
            <v>0</v>
          </cell>
          <cell r="F560">
            <v>30</v>
          </cell>
        </row>
        <row r="561">
          <cell r="B561">
            <v>40036176</v>
          </cell>
          <cell r="C561" t="str">
            <v>*GP KeratRepairShmpo 250mlMRP1100 PS24</v>
          </cell>
          <cell r="D561">
            <v>30</v>
          </cell>
          <cell r="E561">
            <v>0</v>
          </cell>
          <cell r="F561">
            <v>30</v>
          </cell>
        </row>
        <row r="562">
          <cell r="B562">
            <v>40063476</v>
          </cell>
          <cell r="C562" t="str">
            <v>GK FLASHLAVREFILL PO4 M360 P60ECOMRNFPCR</v>
          </cell>
          <cell r="D562">
            <v>30</v>
          </cell>
          <cell r="E562">
            <v>0</v>
          </cell>
          <cell r="F562">
            <v>30</v>
          </cell>
        </row>
        <row r="563">
          <cell r="B563">
            <v>40063490</v>
          </cell>
          <cell r="C563" t="str">
            <v>GK FLASH COMBI M105 P60 RNF PCB NEW</v>
          </cell>
          <cell r="D563">
            <v>30</v>
          </cell>
          <cell r="E563">
            <v>0</v>
          </cell>
          <cell r="F563">
            <v>30</v>
          </cell>
        </row>
        <row r="564">
          <cell r="B564">
            <v>40058558</v>
          </cell>
          <cell r="C564" t="str">
            <v>AER MATIC COMBI VVB 210ML P6 EXP CC</v>
          </cell>
          <cell r="D564">
            <v>30</v>
          </cell>
          <cell r="E564">
            <v>0</v>
          </cell>
          <cell r="F564">
            <v>30</v>
          </cell>
        </row>
        <row r="565">
          <cell r="B565">
            <v>40065723</v>
          </cell>
          <cell r="C565" t="str">
            <v>AER SPRAY COOLAQUA 180ML P24 SL</v>
          </cell>
          <cell r="D565">
            <v>30</v>
          </cell>
          <cell r="E565">
            <v>0</v>
          </cell>
          <cell r="F565">
            <v>30</v>
          </cell>
        </row>
        <row r="566">
          <cell r="B566">
            <v>40064331</v>
          </cell>
          <cell r="C566" t="str">
            <v>PA NEO PO3 AER 190ML M897 P24 ECOM</v>
          </cell>
          <cell r="D566">
            <v>30</v>
          </cell>
          <cell r="E566">
            <v>0</v>
          </cell>
          <cell r="F566">
            <v>30</v>
          </cell>
        </row>
        <row r="567">
          <cell r="B567">
            <v>40061363</v>
          </cell>
          <cell r="C567" t="str">
            <v>*PA SC CLASSIC 84G M75 P48 FTOP - TT-LIQ</v>
          </cell>
          <cell r="D567">
            <v>30</v>
          </cell>
          <cell r="E567">
            <v>0</v>
          </cell>
          <cell r="F567">
            <v>30</v>
          </cell>
        </row>
        <row r="568">
          <cell r="B568">
            <v>40033378</v>
          </cell>
          <cell r="C568" t="str">
            <v>Nupur Pure Henna 500g P24 W/O MRP</v>
          </cell>
          <cell r="D568">
            <v>29.8333333333333</v>
          </cell>
          <cell r="E568">
            <v>0</v>
          </cell>
          <cell r="F568">
            <v>29.8333333333333</v>
          </cell>
        </row>
        <row r="569">
          <cell r="B569">
            <v>40063612</v>
          </cell>
          <cell r="C569" t="str">
            <v>KALI MEHENDI 3G X8 SACHETS P45 M120 NFR</v>
          </cell>
          <cell r="D569">
            <v>29</v>
          </cell>
          <cell r="E569">
            <v>0</v>
          </cell>
          <cell r="F569">
            <v>29</v>
          </cell>
        </row>
        <row r="570">
          <cell r="B570">
            <v>40064164</v>
          </cell>
          <cell r="C570" t="str">
            <v>AER PLUG ROSE BLOSSOM COMBI1M+2R M275P24</v>
          </cell>
          <cell r="D570">
            <v>29</v>
          </cell>
          <cell r="E570">
            <v>0</v>
          </cell>
          <cell r="F570">
            <v>29</v>
          </cell>
        </row>
        <row r="571">
          <cell r="B571">
            <v>40062525</v>
          </cell>
          <cell r="C571" t="str">
            <v>KS3'S EXTRA DOTTED M50 P1440 INCR NEWAW</v>
          </cell>
          <cell r="D571">
            <v>29</v>
          </cell>
          <cell r="E571">
            <v>0</v>
          </cell>
          <cell r="F571">
            <v>29</v>
          </cell>
        </row>
        <row r="572">
          <cell r="B572">
            <v>40064375</v>
          </cell>
          <cell r="C572" t="str">
            <v>PA ALTER EGO NEW AER 150ML M250 P48</v>
          </cell>
          <cell r="D572">
            <v>27</v>
          </cell>
          <cell r="E572">
            <v>0</v>
          </cell>
          <cell r="F572">
            <v>27</v>
          </cell>
        </row>
        <row r="573">
          <cell r="B573">
            <v>40063805</v>
          </cell>
          <cell r="C573" t="str">
            <v>NUPUR HEENA 35G M15 P324  -CO</v>
          </cell>
          <cell r="D573">
            <v>26</v>
          </cell>
          <cell r="E573">
            <v>0</v>
          </cell>
          <cell r="F573">
            <v>26</v>
          </cell>
        </row>
        <row r="574">
          <cell r="B574">
            <v>40058307</v>
          </cell>
          <cell r="C574" t="str">
            <v>GK AGARBATTI M180 P24</v>
          </cell>
          <cell r="D574">
            <v>26</v>
          </cell>
          <cell r="E574">
            <v>0</v>
          </cell>
          <cell r="F574">
            <v>26</v>
          </cell>
        </row>
        <row r="575">
          <cell r="B575">
            <v>40059464</v>
          </cell>
          <cell r="C575" t="str">
            <v>PA LUXURY GROOMING KIT M1099P6</v>
          </cell>
          <cell r="D575">
            <v>25.999666666666698</v>
          </cell>
          <cell r="E575">
            <v>0</v>
          </cell>
          <cell r="F575">
            <v>25.999666666666698</v>
          </cell>
        </row>
        <row r="576">
          <cell r="B576">
            <v>40065104</v>
          </cell>
          <cell r="C576" t="str">
            <v>EXPERT CRM DRK BWN PO8 P240-MT ND EXP CC</v>
          </cell>
          <cell r="D576">
            <v>25</v>
          </cell>
          <cell r="E576">
            <v>0</v>
          </cell>
          <cell r="F576">
            <v>25</v>
          </cell>
        </row>
        <row r="577">
          <cell r="B577">
            <v>40060880</v>
          </cell>
          <cell r="C577" t="str">
            <v>GK XPRESS CART M93 P120 45ML (F) CSD PCR</v>
          </cell>
          <cell r="D577">
            <v>25</v>
          </cell>
          <cell r="E577">
            <v>0</v>
          </cell>
          <cell r="F577">
            <v>25</v>
          </cell>
        </row>
        <row r="578">
          <cell r="B578">
            <v>40034813</v>
          </cell>
          <cell r="C578" t="str">
            <v>GK CARE MINI JUMBO PS:60 - GGME CC</v>
          </cell>
          <cell r="D578">
            <v>25</v>
          </cell>
          <cell r="E578">
            <v>0</v>
          </cell>
          <cell r="F578">
            <v>25</v>
          </cell>
        </row>
        <row r="579">
          <cell r="B579">
            <v>40056967</v>
          </cell>
          <cell r="C579" t="str">
            <v>PA NATURELCOLLECMISTYTRAIL150ML M260P72</v>
          </cell>
          <cell r="D579">
            <v>25</v>
          </cell>
          <cell r="E579">
            <v>0</v>
          </cell>
          <cell r="F579">
            <v>25</v>
          </cell>
        </row>
        <row r="580">
          <cell r="B580">
            <v>40063787</v>
          </cell>
          <cell r="C580" t="str">
            <v>PA EDP EUPHORIA 20 ML M175 P48</v>
          </cell>
          <cell r="D580">
            <v>25</v>
          </cell>
          <cell r="E580">
            <v>0</v>
          </cell>
          <cell r="F580">
            <v>25</v>
          </cell>
        </row>
        <row r="581">
          <cell r="B581">
            <v>40039896</v>
          </cell>
          <cell r="C581" t="str">
            <v>KS3's Dotted B/P MozambiqueP2160</v>
          </cell>
          <cell r="D581">
            <v>25</v>
          </cell>
          <cell r="E581">
            <v>0</v>
          </cell>
          <cell r="F581">
            <v>25</v>
          </cell>
        </row>
        <row r="582">
          <cell r="B582">
            <v>40039901</v>
          </cell>
          <cell r="C582" t="str">
            <v>KS3's Superthin  MozambiqueP2160</v>
          </cell>
          <cell r="D582">
            <v>25</v>
          </cell>
          <cell r="E582">
            <v>0</v>
          </cell>
          <cell r="F582">
            <v>25</v>
          </cell>
        </row>
        <row r="583">
          <cell r="B583">
            <v>40050204</v>
          </cell>
          <cell r="C583" t="str">
            <v>*FreshGlow 100g PO4 M175 P36 New</v>
          </cell>
          <cell r="D583">
            <v>6</v>
          </cell>
          <cell r="E583">
            <v>18</v>
          </cell>
          <cell r="F583">
            <v>24</v>
          </cell>
        </row>
        <row r="584">
          <cell r="B584">
            <v>40057084</v>
          </cell>
          <cell r="C584" t="str">
            <v>GPCP9.26VRYLGHTBLNRDIRD M370 70G P24</v>
          </cell>
          <cell r="D584">
            <v>24</v>
          </cell>
          <cell r="E584">
            <v>0</v>
          </cell>
          <cell r="F584">
            <v>24</v>
          </cell>
        </row>
        <row r="585">
          <cell r="B585">
            <v>40063491</v>
          </cell>
          <cell r="C585" t="str">
            <v>HIT FIK 400ML M240 P36 0.18 20%MFT</v>
          </cell>
          <cell r="D585">
            <v>23.000222222222199</v>
          </cell>
          <cell r="E585">
            <v>0</v>
          </cell>
          <cell r="F585">
            <v>23.000222222222199</v>
          </cell>
        </row>
        <row r="586">
          <cell r="B586">
            <v>40060032</v>
          </cell>
          <cell r="C586" t="str">
            <v>AER MATIC SPRY RFILL PCP210ML M249P18 NF</v>
          </cell>
          <cell r="D586">
            <v>23</v>
          </cell>
          <cell r="E586">
            <v>0</v>
          </cell>
          <cell r="F586">
            <v>23</v>
          </cell>
        </row>
        <row r="587">
          <cell r="B587">
            <v>40061335</v>
          </cell>
          <cell r="C587" t="str">
            <v>PA AMAZONWOODS 120ML M349 P18 GCPL-LIQ</v>
          </cell>
          <cell r="D587">
            <v>23</v>
          </cell>
          <cell r="E587">
            <v>0</v>
          </cell>
          <cell r="F587">
            <v>23</v>
          </cell>
        </row>
        <row r="588">
          <cell r="B588">
            <v>40060976</v>
          </cell>
          <cell r="C588" t="str">
            <v>AER PWRPOCKT LEMTNGYDEL10G P120EXP CC NF</v>
          </cell>
          <cell r="D588">
            <v>22.675333333333299</v>
          </cell>
          <cell r="E588">
            <v>0</v>
          </cell>
          <cell r="F588">
            <v>22.675333333333299</v>
          </cell>
        </row>
        <row r="589">
          <cell r="B589">
            <v>40061152</v>
          </cell>
          <cell r="C589" t="str">
            <v>PA STORM AER 150ML M225 P24 GCPL-LIQ</v>
          </cell>
          <cell r="D589">
            <v>22.041250000000002</v>
          </cell>
          <cell r="E589">
            <v>0</v>
          </cell>
          <cell r="F589">
            <v>22.041250000000002</v>
          </cell>
        </row>
        <row r="590">
          <cell r="B590">
            <v>40026841</v>
          </cell>
          <cell r="C590" t="str">
            <v>Aer Twist Bright Tangy WITH EXPIRY P15</v>
          </cell>
          <cell r="D590">
            <v>22</v>
          </cell>
          <cell r="E590">
            <v>0</v>
          </cell>
          <cell r="F590">
            <v>22</v>
          </cell>
        </row>
        <row r="591">
          <cell r="B591">
            <v>40000604</v>
          </cell>
          <cell r="C591" t="str">
            <v>EXPERT PHC NAT BROWN (72x10G) EXPORT</v>
          </cell>
          <cell r="D591">
            <v>22</v>
          </cell>
          <cell r="E591">
            <v>0</v>
          </cell>
          <cell r="F591">
            <v>22</v>
          </cell>
        </row>
        <row r="592">
          <cell r="B592">
            <v>40017629</v>
          </cell>
          <cell r="C592" t="str">
            <v>KALI MEHENDI 3Gx8 SACHETS PK45-EXP CC</v>
          </cell>
          <cell r="D592">
            <v>22</v>
          </cell>
          <cell r="E592">
            <v>0</v>
          </cell>
          <cell r="F592">
            <v>22</v>
          </cell>
        </row>
        <row r="593">
          <cell r="B593">
            <v>40062984</v>
          </cell>
          <cell r="C593" t="str">
            <v>CIN LIME BDYWASH BOTTLE 750ML P12 EXP CC</v>
          </cell>
          <cell r="D593">
            <v>22</v>
          </cell>
          <cell r="E593">
            <v>0</v>
          </cell>
          <cell r="F593">
            <v>22</v>
          </cell>
        </row>
        <row r="594">
          <cell r="B594">
            <v>40044078</v>
          </cell>
          <cell r="C594" t="str">
            <v>GP Developer 30Vol 1Ltr P9W/O MRP BD</v>
          </cell>
          <cell r="D594">
            <v>21</v>
          </cell>
          <cell r="E594">
            <v>0</v>
          </cell>
          <cell r="F594">
            <v>21</v>
          </cell>
        </row>
        <row r="595">
          <cell r="B595">
            <v>40044045</v>
          </cell>
          <cell r="C595" t="str">
            <v>GP KeratiRepairShampo1000mlPS9W/O MRP BD</v>
          </cell>
          <cell r="D595">
            <v>21</v>
          </cell>
          <cell r="E595">
            <v>0</v>
          </cell>
          <cell r="F595">
            <v>21</v>
          </cell>
        </row>
        <row r="596">
          <cell r="B596">
            <v>40043502</v>
          </cell>
          <cell r="C596" t="str">
            <v>KS3's Xtra LargeB/P reg P2160-GGME</v>
          </cell>
          <cell r="D596">
            <v>20.994444444444401</v>
          </cell>
          <cell r="E596">
            <v>0</v>
          </cell>
          <cell r="F596">
            <v>20.994444444444401</v>
          </cell>
        </row>
        <row r="597">
          <cell r="B597">
            <v>40041801</v>
          </cell>
          <cell r="C597" t="str">
            <v>KS3's Contoured B/P Mozambique P2160</v>
          </cell>
          <cell r="D597">
            <v>20.9833888888889</v>
          </cell>
          <cell r="E597">
            <v>0</v>
          </cell>
          <cell r="F597">
            <v>20.9833888888889</v>
          </cell>
        </row>
        <row r="598">
          <cell r="B598">
            <v>40063606</v>
          </cell>
          <cell r="C598" t="str">
            <v>GENTEEL 4KG POUCH M660 P3 TL PRF</v>
          </cell>
          <cell r="D598">
            <v>20</v>
          </cell>
          <cell r="E598">
            <v>0</v>
          </cell>
          <cell r="F598">
            <v>20</v>
          </cell>
        </row>
        <row r="599">
          <cell r="B599">
            <v>40041349</v>
          </cell>
          <cell r="C599" t="str">
            <v>GP ColourPlay Shade 11.6 70g M370P24</v>
          </cell>
          <cell r="D599">
            <v>20</v>
          </cell>
          <cell r="E599">
            <v>0</v>
          </cell>
          <cell r="F599">
            <v>20</v>
          </cell>
        </row>
        <row r="600">
          <cell r="B600">
            <v>40039418</v>
          </cell>
          <cell r="C600" t="str">
            <v>GP Dimension Dev 10Vol 1000ml M800 P9</v>
          </cell>
          <cell r="D600">
            <v>20</v>
          </cell>
          <cell r="E600">
            <v>0</v>
          </cell>
          <cell r="F600">
            <v>20</v>
          </cell>
        </row>
        <row r="601">
          <cell r="B601">
            <v>40041805</v>
          </cell>
          <cell r="C601" t="str">
            <v>KS3's Xtra Large B/P Mozambique P2160</v>
          </cell>
          <cell r="D601">
            <v>20</v>
          </cell>
          <cell r="E601">
            <v>0</v>
          </cell>
          <cell r="F601">
            <v>20</v>
          </cell>
        </row>
        <row r="602">
          <cell r="B602">
            <v>40038730</v>
          </cell>
          <cell r="C602" t="str">
            <v>GK Flash Combi PackP60GGME W/oMrp Expiry</v>
          </cell>
          <cell r="D602">
            <v>20</v>
          </cell>
          <cell r="E602">
            <v>0</v>
          </cell>
          <cell r="F602">
            <v>20</v>
          </cell>
        </row>
        <row r="603">
          <cell r="B603">
            <v>40057308</v>
          </cell>
          <cell r="C603" t="str">
            <v>GK FLASH CMBPACKP60 RNF GGME W/OM EXPRY</v>
          </cell>
          <cell r="D603">
            <v>20</v>
          </cell>
          <cell r="E603">
            <v>0</v>
          </cell>
          <cell r="F603">
            <v>20</v>
          </cell>
        </row>
        <row r="604">
          <cell r="B604">
            <v>40041580</v>
          </cell>
          <cell r="C604" t="str">
            <v>Aer clickgelMuskAftSmkBlisterP18 W/O MRP</v>
          </cell>
          <cell r="D604">
            <v>20</v>
          </cell>
          <cell r="E604">
            <v>0</v>
          </cell>
          <cell r="F604">
            <v>20</v>
          </cell>
        </row>
        <row r="605">
          <cell r="B605">
            <v>40043941</v>
          </cell>
          <cell r="C605" t="str">
            <v>PA CB AER 150ML M225 P72 CSD GCPL</v>
          </cell>
          <cell r="D605">
            <v>20</v>
          </cell>
          <cell r="E605">
            <v>0</v>
          </cell>
          <cell r="F605">
            <v>20</v>
          </cell>
        </row>
        <row r="606">
          <cell r="B606">
            <v>40050227</v>
          </cell>
          <cell r="C606" t="str">
            <v>PA GM AER 150ML M225 P72CSD GCPL</v>
          </cell>
          <cell r="D606">
            <v>20</v>
          </cell>
          <cell r="E606">
            <v>0</v>
          </cell>
          <cell r="F606">
            <v>20</v>
          </cell>
        </row>
        <row r="607">
          <cell r="B607">
            <v>40060288</v>
          </cell>
          <cell r="C607" t="str">
            <v>PA SOAP COOLBLUE 125GM M70 P108 GCPL</v>
          </cell>
          <cell r="D607">
            <v>20</v>
          </cell>
          <cell r="E607">
            <v>0</v>
          </cell>
          <cell r="F607">
            <v>20</v>
          </cell>
        </row>
        <row r="608">
          <cell r="B608">
            <v>40041787</v>
          </cell>
          <cell r="C608" t="str">
            <v>KS3's Black Currant B/P Mozambique P2160</v>
          </cell>
          <cell r="D608">
            <v>20</v>
          </cell>
          <cell r="E608">
            <v>0</v>
          </cell>
          <cell r="F608">
            <v>20</v>
          </cell>
        </row>
        <row r="609">
          <cell r="B609">
            <v>40041558</v>
          </cell>
          <cell r="C609" t="str">
            <v>KS3's Chill thill B/PÂ Mozambique P2160</v>
          </cell>
          <cell r="D609">
            <v>20</v>
          </cell>
          <cell r="E609">
            <v>0</v>
          </cell>
          <cell r="F609">
            <v>20</v>
          </cell>
        </row>
        <row r="610">
          <cell r="B610">
            <v>40039886</v>
          </cell>
          <cell r="C610" t="str">
            <v>KS3's Dotted  DubaiP2160</v>
          </cell>
          <cell r="D610">
            <v>20</v>
          </cell>
          <cell r="E610">
            <v>0</v>
          </cell>
          <cell r="F610">
            <v>20</v>
          </cell>
        </row>
        <row r="611">
          <cell r="B611">
            <v>40042957</v>
          </cell>
          <cell r="C611" t="str">
            <v>KS3's Intensity  MozambiqueP2160</v>
          </cell>
          <cell r="D611">
            <v>20</v>
          </cell>
          <cell r="E611">
            <v>0</v>
          </cell>
          <cell r="F611">
            <v>20</v>
          </cell>
        </row>
        <row r="612">
          <cell r="B612">
            <v>40056899</v>
          </cell>
          <cell r="C612" t="str">
            <v>*NO1SAN&amp;TUR150GSINGLESM40P72NDSGN</v>
          </cell>
          <cell r="D612">
            <v>19</v>
          </cell>
          <cell r="E612">
            <v>0</v>
          </cell>
          <cell r="F612">
            <v>19</v>
          </cell>
        </row>
        <row r="613">
          <cell r="B613">
            <v>40043679</v>
          </cell>
          <cell r="C613" t="str">
            <v>GP Color Play Shade 6 M370 70g P24</v>
          </cell>
          <cell r="D613">
            <v>19</v>
          </cell>
          <cell r="E613">
            <v>0</v>
          </cell>
          <cell r="F613">
            <v>19</v>
          </cell>
        </row>
        <row r="614">
          <cell r="B614">
            <v>40064321</v>
          </cell>
          <cell r="C614" t="str">
            <v>GP DIMENSION SHADE 9.33 M440 70G P24</v>
          </cell>
          <cell r="D614">
            <v>19</v>
          </cell>
          <cell r="E614">
            <v>0</v>
          </cell>
          <cell r="F614">
            <v>19</v>
          </cell>
        </row>
        <row r="615">
          <cell r="B615">
            <v>40064093</v>
          </cell>
          <cell r="C615" t="str">
            <v>GK COMBI PACK (G-TYPE) P60 TFT 1.6% GGME</v>
          </cell>
          <cell r="D615">
            <v>19</v>
          </cell>
          <cell r="E615">
            <v>0</v>
          </cell>
          <cell r="F615">
            <v>19</v>
          </cell>
        </row>
        <row r="616">
          <cell r="B616">
            <v>40041316</v>
          </cell>
          <cell r="C616" t="str">
            <v>AER O muskaftsmoke 7.5g M99 PO60</v>
          </cell>
          <cell r="D616">
            <v>19</v>
          </cell>
          <cell r="E616">
            <v>0</v>
          </cell>
          <cell r="F616">
            <v>19</v>
          </cell>
        </row>
        <row r="617">
          <cell r="B617">
            <v>40061075</v>
          </cell>
          <cell r="C617" t="str">
            <v>KS URGE POCKET 18ML M70.00 P80 GCPL-LIQ</v>
          </cell>
          <cell r="D617">
            <v>19</v>
          </cell>
          <cell r="E617">
            <v>0</v>
          </cell>
          <cell r="F617">
            <v>19</v>
          </cell>
        </row>
        <row r="618">
          <cell r="B618">
            <v>40061397</v>
          </cell>
          <cell r="C618" t="str">
            <v>PA REGAL 4X 130ML (RS.299)P36 GCPL-LIQ</v>
          </cell>
          <cell r="D618">
            <v>19</v>
          </cell>
          <cell r="E618">
            <v>0</v>
          </cell>
          <cell r="F618">
            <v>19</v>
          </cell>
        </row>
        <row r="619">
          <cell r="B619">
            <v>40062086</v>
          </cell>
          <cell r="C619" t="str">
            <v>PA COOLBLUE MEGA 220ML M360P/SP72-LIQ</v>
          </cell>
          <cell r="D619">
            <v>19</v>
          </cell>
          <cell r="E619">
            <v>0</v>
          </cell>
          <cell r="F619">
            <v>19</v>
          </cell>
        </row>
        <row r="620">
          <cell r="B620">
            <v>40044046</v>
          </cell>
          <cell r="C620" t="str">
            <v>GP KeratinRepairMask 500 g PS 6W/OMRP BD</v>
          </cell>
          <cell r="D620">
            <v>19</v>
          </cell>
          <cell r="E620">
            <v>0</v>
          </cell>
          <cell r="F620">
            <v>19</v>
          </cell>
        </row>
        <row r="621">
          <cell r="B621">
            <v>40042280</v>
          </cell>
          <cell r="C621" t="str">
            <v>Cin Health+ 100g Singles P150 NEW-EXP CC</v>
          </cell>
          <cell r="D621">
            <v>18.353840000000002</v>
          </cell>
          <cell r="E621">
            <v>0</v>
          </cell>
          <cell r="F621">
            <v>18.353840000000002</v>
          </cell>
        </row>
        <row r="622">
          <cell r="B622">
            <v>40060649</v>
          </cell>
          <cell r="C622" t="str">
            <v>GENTEEL 500GM+500GM M175P12 CSD PRF</v>
          </cell>
          <cell r="D622">
            <v>18.0833333333333</v>
          </cell>
          <cell r="E622">
            <v>0</v>
          </cell>
          <cell r="F622">
            <v>18.0833333333333</v>
          </cell>
        </row>
        <row r="623">
          <cell r="B623">
            <v>40064105</v>
          </cell>
          <cell r="C623" t="str">
            <v>GKFLSHLAVREF PO2M180P120 RNF PCR OT</v>
          </cell>
          <cell r="D623">
            <v>18</v>
          </cell>
          <cell r="E623">
            <v>0</v>
          </cell>
          <cell r="F623">
            <v>18</v>
          </cell>
        </row>
        <row r="624">
          <cell r="B624">
            <v>40063698</v>
          </cell>
          <cell r="C624" t="str">
            <v>CIN ORIGINAL 33G M10 P240</v>
          </cell>
          <cell r="D624">
            <v>17</v>
          </cell>
          <cell r="E624">
            <v>0</v>
          </cell>
          <cell r="F624">
            <v>17</v>
          </cell>
        </row>
        <row r="625">
          <cell r="B625">
            <v>40043011</v>
          </cell>
          <cell r="C625" t="str">
            <v>PA SHAVING FOAM GD MRNG 200G GCPLM185P48</v>
          </cell>
          <cell r="D625">
            <v>17</v>
          </cell>
          <cell r="E625">
            <v>0</v>
          </cell>
          <cell r="F625">
            <v>17</v>
          </cell>
        </row>
        <row r="626">
          <cell r="B626">
            <v>40058699</v>
          </cell>
          <cell r="C626" t="str">
            <v>*PA BS SB 650 ML M799 P18</v>
          </cell>
          <cell r="D626">
            <v>17</v>
          </cell>
          <cell r="E626">
            <v>0</v>
          </cell>
          <cell r="F626">
            <v>17</v>
          </cell>
        </row>
        <row r="627">
          <cell r="B627">
            <v>40064228</v>
          </cell>
          <cell r="C627" t="str">
            <v>PA EDP 4X20ML WIN GFT SET M849P12LIQ</v>
          </cell>
          <cell r="D627">
            <v>16.75</v>
          </cell>
          <cell r="E627">
            <v>0</v>
          </cell>
          <cell r="F627">
            <v>16.75</v>
          </cell>
        </row>
        <row r="628">
          <cell r="B628">
            <v>40057095</v>
          </cell>
          <cell r="C628" t="str">
            <v>GPCP4.26BRWNIRDSCNT RED M370 70G P24</v>
          </cell>
          <cell r="D628">
            <v>16</v>
          </cell>
          <cell r="E628">
            <v>0</v>
          </cell>
          <cell r="F628">
            <v>16</v>
          </cell>
        </row>
        <row r="629">
          <cell r="B629">
            <v>40059499</v>
          </cell>
          <cell r="C629" t="str">
            <v>HIT ANTI ROACH 15G M99 P96 HANGER</v>
          </cell>
          <cell r="D629">
            <v>16</v>
          </cell>
          <cell r="E629">
            <v>0</v>
          </cell>
          <cell r="F629">
            <v>16</v>
          </cell>
        </row>
        <row r="630">
          <cell r="B630">
            <v>40039280</v>
          </cell>
          <cell r="C630" t="str">
            <v>GK MIK 700ML P24 Shrink NEW ZEST - EXP</v>
          </cell>
          <cell r="D630">
            <v>16</v>
          </cell>
          <cell r="E630">
            <v>0</v>
          </cell>
          <cell r="F630">
            <v>16</v>
          </cell>
        </row>
        <row r="631">
          <cell r="B631">
            <v>40058612</v>
          </cell>
          <cell r="C631" t="str">
            <v>KS20'S LONGLAST SYNC M360 P480</v>
          </cell>
          <cell r="D631">
            <v>16</v>
          </cell>
          <cell r="E631">
            <v>0</v>
          </cell>
          <cell r="F631">
            <v>16</v>
          </cell>
        </row>
        <row r="632">
          <cell r="B632">
            <v>40061857</v>
          </cell>
          <cell r="C632" t="str">
            <v>PA EDP CONQ 100ML W10MLTSTR M749 P18-LIQ</v>
          </cell>
          <cell r="D632">
            <v>15.0555555555556</v>
          </cell>
          <cell r="E632">
            <v>0</v>
          </cell>
          <cell r="F632">
            <v>15.0555555555556</v>
          </cell>
        </row>
        <row r="633">
          <cell r="B633">
            <v>40061048</v>
          </cell>
          <cell r="C633" t="str">
            <v>NO1SAN&amp;TUR150GPO9 M449P10 ECOMFKND RSTRD</v>
          </cell>
          <cell r="D633">
            <v>15</v>
          </cell>
          <cell r="E633">
            <v>0</v>
          </cell>
          <cell r="F633">
            <v>15</v>
          </cell>
        </row>
        <row r="634">
          <cell r="B634">
            <v>40057097</v>
          </cell>
          <cell r="C634" t="str">
            <v>GPCP12.7VRYLGHTBLDE MAT M370 70G P24</v>
          </cell>
          <cell r="D634">
            <v>15</v>
          </cell>
          <cell r="E634">
            <v>0</v>
          </cell>
          <cell r="F634">
            <v>15</v>
          </cell>
        </row>
        <row r="635">
          <cell r="B635">
            <v>40009756</v>
          </cell>
          <cell r="C635" t="str">
            <v>EZEE  LIQUID DETERGENT 500 GM PK 24 -EXP</v>
          </cell>
          <cell r="D635">
            <v>15</v>
          </cell>
          <cell r="E635">
            <v>0</v>
          </cell>
          <cell r="F635">
            <v>15</v>
          </cell>
        </row>
        <row r="636">
          <cell r="B636">
            <v>40063172</v>
          </cell>
          <cell r="C636" t="str">
            <v>GRCRM 20G+20ML+2ML P010 NTBRN P240M30 ND</v>
          </cell>
          <cell r="D636">
            <v>15</v>
          </cell>
          <cell r="E636">
            <v>0</v>
          </cell>
          <cell r="F636">
            <v>15</v>
          </cell>
        </row>
        <row r="637">
          <cell r="B637">
            <v>40059862</v>
          </cell>
          <cell r="C637" t="str">
            <v>AER SPRAY ROSEBLOSSOM 200ML P24 EXP CC</v>
          </cell>
          <cell r="D637">
            <v>15</v>
          </cell>
          <cell r="E637">
            <v>0</v>
          </cell>
          <cell r="F637">
            <v>15</v>
          </cell>
        </row>
        <row r="638">
          <cell r="B638">
            <v>40063391</v>
          </cell>
          <cell r="C638" t="str">
            <v>PA FEDP POISE 100ML(5+1)+3*10MLM599P5GT</v>
          </cell>
          <cell r="D638">
            <v>15</v>
          </cell>
          <cell r="E638">
            <v>0</v>
          </cell>
          <cell r="F638">
            <v>15</v>
          </cell>
        </row>
        <row r="639">
          <cell r="B639">
            <v>40061090</v>
          </cell>
          <cell r="C639" t="str">
            <v>PA EDP CONQUER 100MLG M799 P18 -LIQ</v>
          </cell>
          <cell r="D639">
            <v>15</v>
          </cell>
          <cell r="E639">
            <v>0</v>
          </cell>
          <cell r="F639">
            <v>15</v>
          </cell>
        </row>
        <row r="640">
          <cell r="B640">
            <v>40061725</v>
          </cell>
          <cell r="C640" t="str">
            <v>PA 2X GM INTENSE 120ML M225 P24 GCPL-LIQ</v>
          </cell>
          <cell r="D640">
            <v>15</v>
          </cell>
          <cell r="E640">
            <v>0</v>
          </cell>
          <cell r="F640">
            <v>15</v>
          </cell>
        </row>
        <row r="641">
          <cell r="B641">
            <v>40042746</v>
          </cell>
          <cell r="C641" t="str">
            <v>KS LUBE STRAWBERRY 50ML M299 P24</v>
          </cell>
          <cell r="D641">
            <v>15</v>
          </cell>
          <cell r="E641">
            <v>0</v>
          </cell>
          <cell r="F641">
            <v>15</v>
          </cell>
        </row>
        <row r="642">
          <cell r="B642">
            <v>40001789</v>
          </cell>
          <cell r="C642" t="str">
            <v>SH CR LF 70G 72 TUBES 45.00 - EXP</v>
          </cell>
          <cell r="D642">
            <v>15</v>
          </cell>
          <cell r="E642">
            <v>0</v>
          </cell>
          <cell r="F642">
            <v>15</v>
          </cell>
        </row>
        <row r="643">
          <cell r="B643">
            <v>40065334</v>
          </cell>
          <cell r="C643" t="str">
            <v>GK FLASH LAV REFILL 45ML M95P240 RNF ROI</v>
          </cell>
          <cell r="D643">
            <v>14.5</v>
          </cell>
          <cell r="E643">
            <v>0</v>
          </cell>
          <cell r="F643">
            <v>14.5</v>
          </cell>
        </row>
        <row r="644">
          <cell r="B644">
            <v>40043940</v>
          </cell>
          <cell r="C644" t="str">
            <v>PA VOYAGE AER 150 ML M250 P72 CSD GCPL</v>
          </cell>
          <cell r="D644">
            <v>14.000222222222201</v>
          </cell>
          <cell r="E644">
            <v>0</v>
          </cell>
          <cell r="F644">
            <v>14.000222222222201</v>
          </cell>
        </row>
        <row r="645">
          <cell r="B645">
            <v>40057096</v>
          </cell>
          <cell r="C645" t="str">
            <v>GPCP12.13VRYLGTBLNDBEIG M370 70G P24</v>
          </cell>
          <cell r="D645">
            <v>14</v>
          </cell>
          <cell r="E645">
            <v>0</v>
          </cell>
          <cell r="F645">
            <v>14</v>
          </cell>
        </row>
        <row r="646">
          <cell r="B646">
            <v>40057283</v>
          </cell>
          <cell r="C646" t="str">
            <v>GPCP6.62DRKBLNDRED IRDS M370 70G P24</v>
          </cell>
          <cell r="D646">
            <v>14</v>
          </cell>
          <cell r="E646">
            <v>0</v>
          </cell>
          <cell r="F646">
            <v>14</v>
          </cell>
        </row>
        <row r="647">
          <cell r="B647">
            <v>40061334</v>
          </cell>
          <cell r="C647" t="str">
            <v>PA GMDEOSHOT 40ML HANG M480 P12 GCPL-LIQ</v>
          </cell>
          <cell r="D647">
            <v>14</v>
          </cell>
          <cell r="E647">
            <v>0</v>
          </cell>
          <cell r="F647">
            <v>14</v>
          </cell>
        </row>
        <row r="648">
          <cell r="B648">
            <v>40039559</v>
          </cell>
          <cell r="C648" t="str">
            <v>AER TWIST MUSK AFTER SMK 45g M425P15</v>
          </cell>
          <cell r="D648">
            <v>14</v>
          </cell>
          <cell r="E648">
            <v>0</v>
          </cell>
          <cell r="F648">
            <v>14</v>
          </cell>
        </row>
        <row r="649">
          <cell r="B649">
            <v>40044025</v>
          </cell>
          <cell r="C649" t="str">
            <v>GPProbioKeratinRevivSham1000mlP9W/OMRPBD</v>
          </cell>
          <cell r="D649">
            <v>14</v>
          </cell>
          <cell r="E649">
            <v>0</v>
          </cell>
          <cell r="F649">
            <v>14</v>
          </cell>
        </row>
        <row r="650">
          <cell r="B650">
            <v>40061178</v>
          </cell>
          <cell r="C650" t="str">
            <v>PA EDP VANTAGE 100ML M999.00 P24-LIQ</v>
          </cell>
          <cell r="D650">
            <v>13</v>
          </cell>
          <cell r="E650">
            <v>0</v>
          </cell>
          <cell r="F650">
            <v>13</v>
          </cell>
        </row>
        <row r="651">
          <cell r="B651">
            <v>40043443</v>
          </cell>
          <cell r="C651" t="str">
            <v>PA VOYAGE AEROSOL 150ML P24-GGME</v>
          </cell>
          <cell r="D651">
            <v>13</v>
          </cell>
          <cell r="E651">
            <v>0</v>
          </cell>
          <cell r="F651">
            <v>13</v>
          </cell>
        </row>
        <row r="652">
          <cell r="B652">
            <v>40065246</v>
          </cell>
          <cell r="C652" t="str">
            <v>PA EDP HARMONY 100ML P12 NEWAW EXP CC</v>
          </cell>
          <cell r="D652">
            <v>13</v>
          </cell>
          <cell r="E652">
            <v>0</v>
          </cell>
          <cell r="F652">
            <v>13</v>
          </cell>
        </row>
        <row r="653">
          <cell r="B653">
            <v>40060982</v>
          </cell>
          <cell r="C653" t="str">
            <v>AERPOWERPOCKTSEA BREEZE10G P120EXP CC NF</v>
          </cell>
          <cell r="D653">
            <v>12.675000000000001</v>
          </cell>
          <cell r="E653">
            <v>0</v>
          </cell>
          <cell r="F653">
            <v>12.675000000000001</v>
          </cell>
        </row>
        <row r="654">
          <cell r="B654">
            <v>40050073</v>
          </cell>
          <cell r="C654" t="str">
            <v>PA EDP GOOD MORNING 50ML G M399 P12</v>
          </cell>
          <cell r="D654">
            <v>12.0833333333333</v>
          </cell>
          <cell r="E654">
            <v>0</v>
          </cell>
          <cell r="F654">
            <v>12.0833333333333</v>
          </cell>
        </row>
        <row r="655">
          <cell r="B655">
            <v>40063794</v>
          </cell>
          <cell r="C655" t="str">
            <v>AER SPRAY SANDAL BLISS 180ML M99P24</v>
          </cell>
          <cell r="D655">
            <v>12.0416666666667</v>
          </cell>
          <cell r="E655">
            <v>0</v>
          </cell>
          <cell r="F655">
            <v>12.0416666666667</v>
          </cell>
        </row>
        <row r="656">
          <cell r="B656">
            <v>40049902</v>
          </cell>
          <cell r="C656" t="str">
            <v>GP Dimension Shade 5G M410 70g P24</v>
          </cell>
          <cell r="D656">
            <v>12</v>
          </cell>
          <cell r="E656">
            <v>0</v>
          </cell>
          <cell r="F656">
            <v>12</v>
          </cell>
        </row>
        <row r="657">
          <cell r="B657">
            <v>40061177</v>
          </cell>
          <cell r="C657" t="str">
            <v>PA EDP EDGE 100ML M999.00 P24-LIQ</v>
          </cell>
          <cell r="D657">
            <v>12</v>
          </cell>
          <cell r="E657">
            <v>0</v>
          </cell>
          <cell r="F657">
            <v>12</v>
          </cell>
        </row>
        <row r="658">
          <cell r="B658">
            <v>40061266</v>
          </cell>
          <cell r="C658" t="str">
            <v>PA NEO MEGA 220 ML (M390)P72 GCPLLIQ-LIQ</v>
          </cell>
          <cell r="D658">
            <v>12</v>
          </cell>
          <cell r="E658">
            <v>0</v>
          </cell>
          <cell r="F658">
            <v>12</v>
          </cell>
        </row>
        <row r="659">
          <cell r="B659">
            <v>40044010</v>
          </cell>
          <cell r="C659" t="str">
            <v>GP Developer 40Vol 1Ltr P9W/O MRP BD</v>
          </cell>
          <cell r="D659">
            <v>12</v>
          </cell>
          <cell r="E659">
            <v>0</v>
          </cell>
          <cell r="F659">
            <v>12</v>
          </cell>
        </row>
        <row r="660">
          <cell r="B660">
            <v>40043994</v>
          </cell>
          <cell r="C660" t="str">
            <v>GPPROBIO KRSHINESERUM110MLP24W/OM0.00EXP</v>
          </cell>
          <cell r="D660">
            <v>12</v>
          </cell>
          <cell r="E660">
            <v>0</v>
          </cell>
          <cell r="F660">
            <v>12</v>
          </cell>
        </row>
        <row r="661">
          <cell r="B661">
            <v>40043499</v>
          </cell>
          <cell r="C661" t="str">
            <v>KS3's Chocolate B/P RegÂ Â P2160-GGME</v>
          </cell>
          <cell r="D661">
            <v>12</v>
          </cell>
          <cell r="E661">
            <v>0</v>
          </cell>
          <cell r="F661">
            <v>12</v>
          </cell>
        </row>
        <row r="662">
          <cell r="B662">
            <v>40061093</v>
          </cell>
          <cell r="C662" t="str">
            <v>*PA SC GOOD MORNING 84G M75 P144-LIQ</v>
          </cell>
          <cell r="D662">
            <v>12</v>
          </cell>
          <cell r="E662">
            <v>0</v>
          </cell>
          <cell r="F662">
            <v>12</v>
          </cell>
        </row>
        <row r="663">
          <cell r="B663">
            <v>40061174</v>
          </cell>
          <cell r="C663" t="str">
            <v>PA EDP HARMONY 100ML G M799 P18-LIQ</v>
          </cell>
          <cell r="D663">
            <v>11.0541111111111</v>
          </cell>
          <cell r="E663">
            <v>0</v>
          </cell>
          <cell r="F663">
            <v>11.0541111111111</v>
          </cell>
        </row>
        <row r="664">
          <cell r="B664">
            <v>40063577</v>
          </cell>
          <cell r="C664" t="str">
            <v>CIN COOL 100G SINGLES M42P150 NEW RSTRD</v>
          </cell>
          <cell r="D664">
            <v>11.0536666666667</v>
          </cell>
          <cell r="E664">
            <v>0</v>
          </cell>
          <cell r="F664">
            <v>11.0536666666667</v>
          </cell>
        </row>
        <row r="665">
          <cell r="B665">
            <v>40065410</v>
          </cell>
          <cell r="C665" t="str">
            <v>GK FLASH REFILL PO4 M325P60ECOMTFTHP LIQ</v>
          </cell>
          <cell r="D665">
            <v>11.016666666666699</v>
          </cell>
          <cell r="E665">
            <v>0</v>
          </cell>
          <cell r="F665">
            <v>11.016666666666699</v>
          </cell>
        </row>
        <row r="666">
          <cell r="B666">
            <v>40061226</v>
          </cell>
          <cell r="C666" t="str">
            <v>*PA SC COOL BLUE 84G M75 P144 GCPL-LIQ</v>
          </cell>
          <cell r="D666">
            <v>11.000013888888899</v>
          </cell>
          <cell r="E666">
            <v>0</v>
          </cell>
          <cell r="F666">
            <v>11.000013888888899</v>
          </cell>
        </row>
        <row r="667">
          <cell r="B667">
            <v>40063424</v>
          </cell>
          <cell r="C667" t="str">
            <v>EXPERT CRÈME NT BLK PO8 M40 P240 MT ND</v>
          </cell>
          <cell r="D667">
            <v>11</v>
          </cell>
          <cell r="E667">
            <v>0</v>
          </cell>
          <cell r="F667">
            <v>11</v>
          </cell>
        </row>
        <row r="668">
          <cell r="B668">
            <v>40036773</v>
          </cell>
          <cell r="C668" t="str">
            <v>*CinCool125gPO3P40M168MTBandedNEW</v>
          </cell>
          <cell r="D668">
            <v>11</v>
          </cell>
          <cell r="E668">
            <v>0</v>
          </cell>
          <cell r="F668">
            <v>11</v>
          </cell>
        </row>
        <row r="669">
          <cell r="B669">
            <v>40063585</v>
          </cell>
          <cell r="C669" t="str">
            <v>CIN ORIGINAL SINGLES 150G M65 P96 NEW</v>
          </cell>
          <cell r="D669">
            <v>11</v>
          </cell>
          <cell r="E669">
            <v>0</v>
          </cell>
          <cell r="F669">
            <v>11</v>
          </cell>
        </row>
        <row r="670">
          <cell r="B670">
            <v>40064132</v>
          </cell>
          <cell r="C670" t="str">
            <v>AER O ORANGE PUNCH 7.5G P60 EXP CC</v>
          </cell>
          <cell r="D670">
            <v>11</v>
          </cell>
          <cell r="E670">
            <v>0</v>
          </cell>
          <cell r="F670">
            <v>11</v>
          </cell>
        </row>
        <row r="671">
          <cell r="B671">
            <v>40062859</v>
          </cell>
          <cell r="C671" t="str">
            <v>PA VOYAGE AER 150ML B1G1 M250 P24 GCPL</v>
          </cell>
          <cell r="D671">
            <v>11</v>
          </cell>
          <cell r="E671">
            <v>0</v>
          </cell>
          <cell r="F671">
            <v>11</v>
          </cell>
        </row>
        <row r="672">
          <cell r="B672">
            <v>40062985</v>
          </cell>
          <cell r="C672" t="str">
            <v>CIN COOL BDYWASH BOTTLE 750ML P12 EXP CC</v>
          </cell>
          <cell r="D672">
            <v>11</v>
          </cell>
          <cell r="E672">
            <v>0</v>
          </cell>
          <cell r="F672">
            <v>11</v>
          </cell>
        </row>
        <row r="673">
          <cell r="B673">
            <v>40062983</v>
          </cell>
          <cell r="C673" t="str">
            <v>CIN ORG BDYWASH BOTTLE 750ML P12 EXP CC</v>
          </cell>
          <cell r="D673">
            <v>11</v>
          </cell>
          <cell r="E673">
            <v>0</v>
          </cell>
          <cell r="F673">
            <v>11</v>
          </cell>
        </row>
        <row r="674">
          <cell r="B674">
            <v>40041746</v>
          </cell>
          <cell r="C674" t="str">
            <v>PABSNEW DamageFreeHair180mlP36W/OMRP-Exp</v>
          </cell>
          <cell r="D674">
            <v>11</v>
          </cell>
          <cell r="E674">
            <v>0</v>
          </cell>
          <cell r="F674">
            <v>11</v>
          </cell>
        </row>
        <row r="675">
          <cell r="B675">
            <v>40041745</v>
          </cell>
          <cell r="C675" t="str">
            <v>PABSNEW Shiny&amp;Bouncy180ml P36W/O MRP-EXP</v>
          </cell>
          <cell r="D675">
            <v>11</v>
          </cell>
          <cell r="E675">
            <v>0</v>
          </cell>
          <cell r="F675">
            <v>11</v>
          </cell>
        </row>
        <row r="676">
          <cell r="B676">
            <v>40039871</v>
          </cell>
          <cell r="C676" t="str">
            <v>KS12's Contoured  Dubai P4320</v>
          </cell>
          <cell r="D676">
            <v>10.9280092592593</v>
          </cell>
          <cell r="E676">
            <v>0</v>
          </cell>
          <cell r="F676">
            <v>10.9280092592593</v>
          </cell>
        </row>
        <row r="677">
          <cell r="B677">
            <v>40039880</v>
          </cell>
          <cell r="C677" t="str">
            <v>KS12's Chill Thrill  DubaiP4320</v>
          </cell>
          <cell r="D677">
            <v>10.922222222222199</v>
          </cell>
          <cell r="E677">
            <v>0</v>
          </cell>
          <cell r="F677">
            <v>10.922222222222199</v>
          </cell>
        </row>
        <row r="678">
          <cell r="B678">
            <v>40038891</v>
          </cell>
          <cell r="C678" t="str">
            <v>Godrej Selfie SHC 5ml+5ml P360 M15 NBrwn</v>
          </cell>
          <cell r="D678">
            <v>10.0027777777778</v>
          </cell>
          <cell r="E678">
            <v>0</v>
          </cell>
          <cell r="F678">
            <v>10.0027777777778</v>
          </cell>
        </row>
        <row r="679">
          <cell r="B679">
            <v>40043457</v>
          </cell>
          <cell r="C679" t="str">
            <v>KS SPARK AER 150ML M230 P24 GCPL</v>
          </cell>
          <cell r="D679">
            <v>10.0003333333333</v>
          </cell>
          <cell r="E679">
            <v>0</v>
          </cell>
          <cell r="F679">
            <v>10.0003333333333</v>
          </cell>
        </row>
        <row r="680">
          <cell r="B680">
            <v>40057098</v>
          </cell>
          <cell r="C680" t="str">
            <v>GPCP7.11BLND INTENSE ASH M370 70G P24</v>
          </cell>
          <cell r="D680">
            <v>10</v>
          </cell>
          <cell r="E680">
            <v>0</v>
          </cell>
          <cell r="F680">
            <v>10</v>
          </cell>
        </row>
        <row r="681">
          <cell r="B681">
            <v>40043656</v>
          </cell>
          <cell r="C681" t="str">
            <v>GP Color Play Shade 4 M370 70g P24</v>
          </cell>
          <cell r="D681">
            <v>10</v>
          </cell>
          <cell r="E681">
            <v>0</v>
          </cell>
          <cell r="F681">
            <v>10</v>
          </cell>
        </row>
        <row r="682">
          <cell r="B682">
            <v>40043651</v>
          </cell>
          <cell r="C682" t="str">
            <v>GP Color Play Shade 5 M370 70g P24</v>
          </cell>
          <cell r="D682">
            <v>10</v>
          </cell>
          <cell r="E682">
            <v>0</v>
          </cell>
          <cell r="F682">
            <v>10</v>
          </cell>
        </row>
        <row r="683">
          <cell r="B683">
            <v>40062209</v>
          </cell>
          <cell r="C683" t="str">
            <v>GP NEW COLOR PLAY SHADE 5 M370 70G P24</v>
          </cell>
          <cell r="D683">
            <v>10</v>
          </cell>
          <cell r="E683">
            <v>0</v>
          </cell>
          <cell r="F683">
            <v>10</v>
          </cell>
        </row>
        <row r="684">
          <cell r="B684">
            <v>40039359</v>
          </cell>
          <cell r="C684" t="str">
            <v>GP Dimension Dev 20Vol 1000ml M800 P9</v>
          </cell>
          <cell r="D684">
            <v>10</v>
          </cell>
          <cell r="E684">
            <v>0</v>
          </cell>
          <cell r="F684">
            <v>10</v>
          </cell>
        </row>
        <row r="685">
          <cell r="B685">
            <v>40062157</v>
          </cell>
          <cell r="C685" t="str">
            <v>PA ALTER EGO AER 150ML M250 P72 CSD-LIQ</v>
          </cell>
          <cell r="D685">
            <v>10</v>
          </cell>
          <cell r="E685">
            <v>0</v>
          </cell>
          <cell r="F685">
            <v>10</v>
          </cell>
        </row>
        <row r="686">
          <cell r="B686">
            <v>40061833</v>
          </cell>
          <cell r="C686" t="str">
            <v>EZEE 900GMBT P12-EXP-CC</v>
          </cell>
          <cell r="D686">
            <v>10</v>
          </cell>
          <cell r="E686">
            <v>0</v>
          </cell>
          <cell r="F686">
            <v>10</v>
          </cell>
        </row>
        <row r="687">
          <cell r="B687">
            <v>40049970</v>
          </cell>
          <cell r="C687" t="str">
            <v>Expert crème Nt Blk PO8P240 W/O MRP GGME</v>
          </cell>
          <cell r="D687">
            <v>10</v>
          </cell>
          <cell r="E687">
            <v>0</v>
          </cell>
          <cell r="F687">
            <v>10</v>
          </cell>
        </row>
        <row r="688">
          <cell r="B688">
            <v>40064122</v>
          </cell>
          <cell r="C688" t="str">
            <v>GRCRM20G+20G+2ML P010 NBLK P240ND-EXPCC</v>
          </cell>
          <cell r="D688">
            <v>10</v>
          </cell>
          <cell r="E688">
            <v>0</v>
          </cell>
          <cell r="F688">
            <v>10</v>
          </cell>
        </row>
        <row r="689">
          <cell r="B689">
            <v>40049977</v>
          </cell>
          <cell r="C689" t="str">
            <v>Expert crème Nt Bwn PO8P240 W/O MRP-GGME</v>
          </cell>
          <cell r="D689">
            <v>10</v>
          </cell>
          <cell r="E689">
            <v>0</v>
          </cell>
          <cell r="F689">
            <v>10</v>
          </cell>
        </row>
        <row r="690">
          <cell r="B690">
            <v>40064144</v>
          </cell>
          <cell r="C690" t="str">
            <v>GRCRM20G+20ML+2ML P010NTBRN P240ND EXPCC</v>
          </cell>
          <cell r="D690">
            <v>10</v>
          </cell>
          <cell r="E690">
            <v>0</v>
          </cell>
          <cell r="F690">
            <v>10</v>
          </cell>
        </row>
        <row r="691">
          <cell r="B691">
            <v>40049969</v>
          </cell>
          <cell r="C691" t="str">
            <v>Expert crème Bur PO8 P240 W/O MRP-GGME</v>
          </cell>
          <cell r="D691">
            <v>10</v>
          </cell>
          <cell r="E691">
            <v>0</v>
          </cell>
          <cell r="F691">
            <v>10</v>
          </cell>
        </row>
        <row r="692">
          <cell r="B692">
            <v>40033370</v>
          </cell>
          <cell r="C692" t="str">
            <v>Nupur Pure Henna 500G PK24 - EXP CC</v>
          </cell>
          <cell r="D692">
            <v>10</v>
          </cell>
          <cell r="E692">
            <v>0</v>
          </cell>
          <cell r="F692">
            <v>10</v>
          </cell>
        </row>
        <row r="693">
          <cell r="B693">
            <v>40031055</v>
          </cell>
          <cell r="C693" t="str">
            <v>GK ADV LOW SMOKE COIL12 HR P60 W/O MRP</v>
          </cell>
          <cell r="D693">
            <v>10</v>
          </cell>
          <cell r="E693">
            <v>0</v>
          </cell>
          <cell r="F693">
            <v>10</v>
          </cell>
        </row>
        <row r="694">
          <cell r="B694">
            <v>40041853</v>
          </cell>
          <cell r="C694" t="str">
            <v>HIT ANTI ROACH PS30 Stackable - EXP CC</v>
          </cell>
          <cell r="D694">
            <v>10</v>
          </cell>
          <cell r="E694">
            <v>0</v>
          </cell>
          <cell r="F694">
            <v>10</v>
          </cell>
        </row>
        <row r="695">
          <cell r="B695">
            <v>40064095</v>
          </cell>
          <cell r="C695" t="str">
            <v>GK ACT PLUS REF45ML P240 TFT 1.6% GGME</v>
          </cell>
          <cell r="D695">
            <v>10</v>
          </cell>
          <cell r="E695">
            <v>0</v>
          </cell>
          <cell r="F695">
            <v>10</v>
          </cell>
        </row>
        <row r="696">
          <cell r="B696">
            <v>40059861</v>
          </cell>
          <cell r="C696" t="str">
            <v>AER SPRAY COOLAQUA 200ML P24 EXP CC</v>
          </cell>
          <cell r="D696">
            <v>10</v>
          </cell>
          <cell r="E696">
            <v>0</v>
          </cell>
          <cell r="F696">
            <v>10</v>
          </cell>
        </row>
        <row r="697">
          <cell r="B697">
            <v>40063897</v>
          </cell>
          <cell r="C697" t="str">
            <v>AER SPRAY CITRUS BLAST 200ML P24 EXP CC</v>
          </cell>
          <cell r="D697">
            <v>10</v>
          </cell>
          <cell r="E697">
            <v>0</v>
          </cell>
          <cell r="F697">
            <v>10</v>
          </cell>
        </row>
        <row r="698">
          <cell r="B698">
            <v>40059863</v>
          </cell>
          <cell r="C698" t="str">
            <v>AER SPRAY FOREST FRESH 200ML P24 EXP CC</v>
          </cell>
          <cell r="D698">
            <v>10</v>
          </cell>
          <cell r="E698">
            <v>0</v>
          </cell>
          <cell r="F698">
            <v>10</v>
          </cell>
        </row>
        <row r="699">
          <cell r="B699">
            <v>40059864</v>
          </cell>
          <cell r="C699" t="str">
            <v>AER SPRAY LAVENDERBLOOM 200ML P24 EXP CC</v>
          </cell>
          <cell r="D699">
            <v>10</v>
          </cell>
          <cell r="E699">
            <v>0</v>
          </cell>
          <cell r="F699">
            <v>10</v>
          </cell>
        </row>
        <row r="700">
          <cell r="B700">
            <v>40063909</v>
          </cell>
          <cell r="C700" t="str">
            <v>KS SPARK PO3 MEGA 190ML M897P24 ECOM</v>
          </cell>
          <cell r="D700">
            <v>10</v>
          </cell>
          <cell r="E700">
            <v>0</v>
          </cell>
          <cell r="F700">
            <v>10</v>
          </cell>
        </row>
        <row r="701">
          <cell r="B701">
            <v>40062828</v>
          </cell>
          <cell r="C701" t="str">
            <v>PA FEDPTWIN GRACE+POISE 100ML*2 M1599P10</v>
          </cell>
          <cell r="D701">
            <v>10</v>
          </cell>
          <cell r="E701">
            <v>0</v>
          </cell>
          <cell r="F701">
            <v>10</v>
          </cell>
        </row>
        <row r="702">
          <cell r="B702">
            <v>40063275</v>
          </cell>
          <cell r="C702" t="str">
            <v>PA EDP EUPHORIA 100ML G M799P12 MT NEWAW</v>
          </cell>
          <cell r="D702">
            <v>10</v>
          </cell>
          <cell r="E702">
            <v>0</v>
          </cell>
          <cell r="F702">
            <v>10</v>
          </cell>
        </row>
        <row r="703">
          <cell r="B703">
            <v>40063823</v>
          </cell>
          <cell r="C703" t="str">
            <v>PA EDP OUD LEGACY 100ML M799 P12</v>
          </cell>
          <cell r="D703">
            <v>10</v>
          </cell>
          <cell r="E703">
            <v>0</v>
          </cell>
          <cell r="F703">
            <v>10</v>
          </cell>
        </row>
        <row r="704">
          <cell r="B704">
            <v>40042599</v>
          </cell>
          <cell r="C704" t="str">
            <v>PA VOYAGE AMAZN WODS 120 ML P24 -EXP-CC</v>
          </cell>
          <cell r="D704">
            <v>10</v>
          </cell>
          <cell r="E704">
            <v>0</v>
          </cell>
          <cell r="F704">
            <v>10</v>
          </cell>
        </row>
        <row r="705">
          <cell r="B705">
            <v>40064072</v>
          </cell>
          <cell r="C705" t="str">
            <v>CIN LIME 150G PO4  P24 CARTN MT NEW EXP</v>
          </cell>
          <cell r="D705">
            <v>10</v>
          </cell>
          <cell r="E705">
            <v>0</v>
          </cell>
          <cell r="F705">
            <v>10</v>
          </cell>
        </row>
        <row r="706">
          <cell r="B706">
            <v>40063357</v>
          </cell>
          <cell r="C706" t="str">
            <v>GPCP12.1VRYLIGHTBLNDASH 70G P24 EXP CC</v>
          </cell>
          <cell r="D706">
            <v>10</v>
          </cell>
          <cell r="E706">
            <v>0</v>
          </cell>
          <cell r="F706">
            <v>10</v>
          </cell>
        </row>
        <row r="707">
          <cell r="B707">
            <v>40063332</v>
          </cell>
          <cell r="C707" t="str">
            <v>GP COLORPLAYIRDESCNT BLOND 70G P24EXPCC</v>
          </cell>
          <cell r="D707">
            <v>10</v>
          </cell>
          <cell r="E707">
            <v>0</v>
          </cell>
          <cell r="F707">
            <v>10</v>
          </cell>
        </row>
        <row r="708">
          <cell r="B708">
            <v>40044026</v>
          </cell>
          <cell r="C708" t="str">
            <v>GPProbioHoneyMoistureMask500gP6W/OMRP BD</v>
          </cell>
          <cell r="D708">
            <v>10</v>
          </cell>
          <cell r="E708">
            <v>0</v>
          </cell>
          <cell r="F708">
            <v>10</v>
          </cell>
        </row>
        <row r="709">
          <cell r="B709">
            <v>40044085</v>
          </cell>
          <cell r="C709" t="str">
            <v>GPProbioKeratinReviveMask500gP6W/OMRPBD</v>
          </cell>
          <cell r="D709">
            <v>10</v>
          </cell>
          <cell r="E709">
            <v>0</v>
          </cell>
          <cell r="F709">
            <v>10</v>
          </cell>
        </row>
        <row r="710">
          <cell r="B710">
            <v>40044024</v>
          </cell>
          <cell r="C710" t="str">
            <v>GP NoAmo Shade 3 70g  P24W/O MRP BD</v>
          </cell>
          <cell r="D710">
            <v>10</v>
          </cell>
          <cell r="E710">
            <v>0</v>
          </cell>
          <cell r="F710">
            <v>10</v>
          </cell>
        </row>
        <row r="711">
          <cell r="B711">
            <v>40061013</v>
          </cell>
          <cell r="C711" t="str">
            <v>PA BS 650 ML DAMAGE FREE M750 P18</v>
          </cell>
          <cell r="D711">
            <v>10</v>
          </cell>
          <cell r="E711">
            <v>0</v>
          </cell>
          <cell r="F711">
            <v>10</v>
          </cell>
        </row>
        <row r="712">
          <cell r="B712">
            <v>40042611</v>
          </cell>
          <cell r="C712" t="str">
            <v>PAASLGMSplash100MLNewBottleP36EXP-CC</v>
          </cell>
          <cell r="D712">
            <v>10</v>
          </cell>
          <cell r="E712">
            <v>0</v>
          </cell>
          <cell r="F712">
            <v>10</v>
          </cell>
        </row>
        <row r="713">
          <cell r="B713">
            <v>40066413</v>
          </cell>
          <cell r="C713" t="str">
            <v>PA EDP OUD LEGACY 100ML P12 BD</v>
          </cell>
          <cell r="D713">
            <v>10</v>
          </cell>
          <cell r="E713">
            <v>0</v>
          </cell>
          <cell r="F713">
            <v>10</v>
          </cell>
        </row>
        <row r="714">
          <cell r="B714">
            <v>40019468</v>
          </cell>
          <cell r="C714" t="str">
            <v>Cin deo&amp;complexion100g NPSinglesP160-EXP</v>
          </cell>
          <cell r="D714">
            <v>9.4749999999999996</v>
          </cell>
          <cell r="E714">
            <v>0</v>
          </cell>
          <cell r="F714">
            <v>9.4749999999999996</v>
          </cell>
        </row>
        <row r="715">
          <cell r="B715">
            <v>40065411</v>
          </cell>
          <cell r="C715" t="str">
            <v>EZEE 250G M70 P60 50% PCR LIQ</v>
          </cell>
          <cell r="D715">
            <v>9</v>
          </cell>
          <cell r="E715">
            <v>0</v>
          </cell>
          <cell r="F715">
            <v>9</v>
          </cell>
        </row>
        <row r="716">
          <cell r="B716">
            <v>40061240</v>
          </cell>
          <cell r="C716" t="str">
            <v>PA STORM AER 150ML M225 P72 CSD GCPL-LIQ</v>
          </cell>
          <cell r="D716">
            <v>9</v>
          </cell>
          <cell r="E716">
            <v>0</v>
          </cell>
          <cell r="F716">
            <v>9</v>
          </cell>
        </row>
        <row r="717">
          <cell r="B717">
            <v>40062301</v>
          </cell>
          <cell r="C717" t="str">
            <v>AER O AERO ASSORTED P03 NS22.5G M285 P20</v>
          </cell>
          <cell r="D717">
            <v>9</v>
          </cell>
          <cell r="E717">
            <v>0</v>
          </cell>
          <cell r="F717">
            <v>9</v>
          </cell>
        </row>
        <row r="718">
          <cell r="B718">
            <v>40061803</v>
          </cell>
          <cell r="C718" t="str">
            <v>AER SPRY JASMINEDELIGHT 200ML P24 CC-EXP</v>
          </cell>
          <cell r="D718">
            <v>9</v>
          </cell>
          <cell r="E718">
            <v>0</v>
          </cell>
          <cell r="F718">
            <v>9</v>
          </cell>
        </row>
        <row r="719">
          <cell r="B719">
            <v>40043478</v>
          </cell>
          <cell r="C719" t="str">
            <v>PA NEO B1G1 AER 150ML M250 P12 GCPL</v>
          </cell>
          <cell r="D719">
            <v>9</v>
          </cell>
          <cell r="E719">
            <v>0</v>
          </cell>
          <cell r="F719">
            <v>9</v>
          </cell>
        </row>
        <row r="720">
          <cell r="B720">
            <v>40061192</v>
          </cell>
          <cell r="C720" t="str">
            <v>KS BLAZE AER 150ML M230.00 P24 GCPL-LIQ</v>
          </cell>
          <cell r="D720">
            <v>9</v>
          </cell>
          <cell r="E720">
            <v>0</v>
          </cell>
          <cell r="F720">
            <v>9</v>
          </cell>
        </row>
        <row r="721">
          <cell r="B721">
            <v>40044027</v>
          </cell>
          <cell r="C721" t="str">
            <v>GPSpaSystemNorish&amp;ReprMask500gP6W/OMRPBD</v>
          </cell>
          <cell r="D721">
            <v>9</v>
          </cell>
          <cell r="E721">
            <v>0</v>
          </cell>
          <cell r="F721">
            <v>9</v>
          </cell>
        </row>
        <row r="722">
          <cell r="B722">
            <v>40059248</v>
          </cell>
          <cell r="C722" t="str">
            <v>KS3'S SUPERTHINPLEAS M60 P1440 INCR</v>
          </cell>
          <cell r="D722">
            <v>9</v>
          </cell>
          <cell r="E722">
            <v>0</v>
          </cell>
          <cell r="F722">
            <v>9</v>
          </cell>
        </row>
        <row r="723">
          <cell r="B723">
            <v>40056853</v>
          </cell>
          <cell r="C723" t="str">
            <v>PA LUXURY GROOMING KIT M899P6</v>
          </cell>
          <cell r="D723">
            <v>9</v>
          </cell>
          <cell r="E723">
            <v>0</v>
          </cell>
          <cell r="F723">
            <v>9</v>
          </cell>
        </row>
        <row r="724">
          <cell r="B724">
            <v>40050305</v>
          </cell>
          <cell r="C724" t="str">
            <v>PREMIUM EDC GB 50ML M135P96</v>
          </cell>
          <cell r="D724">
            <v>9</v>
          </cell>
          <cell r="E724">
            <v>0</v>
          </cell>
          <cell r="F724">
            <v>9</v>
          </cell>
        </row>
        <row r="725">
          <cell r="B725">
            <v>40064108</v>
          </cell>
          <cell r="C725" t="str">
            <v>GODREJ XPRESS NBRWN18ML PO4 P36 M120 ND</v>
          </cell>
          <cell r="D725">
            <v>8</v>
          </cell>
          <cell r="E725">
            <v>0</v>
          </cell>
          <cell r="F725">
            <v>8</v>
          </cell>
        </row>
        <row r="726">
          <cell r="B726">
            <v>40042647</v>
          </cell>
          <cell r="C726" t="str">
            <v>Expert Crème Nt Blk PO8 M37 P240 MT</v>
          </cell>
          <cell r="D726">
            <v>8</v>
          </cell>
          <cell r="E726">
            <v>0</v>
          </cell>
          <cell r="F726">
            <v>8</v>
          </cell>
        </row>
        <row r="727">
          <cell r="B727">
            <v>40032963</v>
          </cell>
          <cell r="C727" t="str">
            <v>Expert crème Nt Bwn PO8 P240 MT-EXP CC</v>
          </cell>
          <cell r="D727">
            <v>8</v>
          </cell>
          <cell r="E727">
            <v>0</v>
          </cell>
          <cell r="F727">
            <v>8</v>
          </cell>
        </row>
        <row r="728">
          <cell r="B728">
            <v>40032838</v>
          </cell>
          <cell r="C728" t="str">
            <v>GK PWRACTV+ 45ml COMBIPK  MRP99 PS48 CSD</v>
          </cell>
          <cell r="D728">
            <v>8</v>
          </cell>
          <cell r="E728">
            <v>0</v>
          </cell>
          <cell r="F728">
            <v>8</v>
          </cell>
        </row>
        <row r="729">
          <cell r="B729">
            <v>40041513</v>
          </cell>
          <cell r="C729" t="str">
            <v>AER SPRAY PETALCRUSHPINK220ml M169P24new</v>
          </cell>
          <cell r="D729">
            <v>8</v>
          </cell>
          <cell r="E729">
            <v>0</v>
          </cell>
          <cell r="F729">
            <v>8</v>
          </cell>
        </row>
        <row r="730">
          <cell r="B730">
            <v>40063886</v>
          </cell>
          <cell r="C730" t="str">
            <v>AER SPRAY SANDAL BLISS 200ML P24 EXP CC</v>
          </cell>
          <cell r="D730">
            <v>8</v>
          </cell>
          <cell r="E730">
            <v>0</v>
          </cell>
          <cell r="F730">
            <v>8</v>
          </cell>
        </row>
        <row r="731">
          <cell r="B731">
            <v>40064330</v>
          </cell>
          <cell r="C731" t="str">
            <v>PA COOL BLUE PREMIUM BS 150ML M225 P48</v>
          </cell>
          <cell r="D731">
            <v>8</v>
          </cell>
          <cell r="E731">
            <v>0</v>
          </cell>
          <cell r="F731">
            <v>8</v>
          </cell>
        </row>
        <row r="732">
          <cell r="B732">
            <v>40040920</v>
          </cell>
          <cell r="C732" t="str">
            <v>KS Spark 45ml Deo shot (Rs.80)P72</v>
          </cell>
          <cell r="D732">
            <v>8</v>
          </cell>
          <cell r="E732">
            <v>0</v>
          </cell>
          <cell r="F732">
            <v>8</v>
          </cell>
        </row>
        <row r="733">
          <cell r="B733">
            <v>40044118</v>
          </cell>
          <cell r="C733" t="str">
            <v>PA GoodMornMega 220ml P/SP72 W/OMRPGGME</v>
          </cell>
          <cell r="D733">
            <v>8</v>
          </cell>
          <cell r="E733">
            <v>0</v>
          </cell>
          <cell r="F733">
            <v>8</v>
          </cell>
        </row>
        <row r="734">
          <cell r="B734">
            <v>40044068</v>
          </cell>
          <cell r="C734" t="str">
            <v>GP ProbioKeratinRevivMask200gP12W/OMRPBD</v>
          </cell>
          <cell r="D734">
            <v>8</v>
          </cell>
          <cell r="E734">
            <v>0</v>
          </cell>
          <cell r="F734">
            <v>8</v>
          </cell>
        </row>
        <row r="735">
          <cell r="B735">
            <v>40049591</v>
          </cell>
          <cell r="C735" t="str">
            <v>GPProbioHoneyMoistShamp1000mlP9W/OMRP BD</v>
          </cell>
          <cell r="D735">
            <v>8</v>
          </cell>
          <cell r="E735">
            <v>0</v>
          </cell>
          <cell r="F735">
            <v>8</v>
          </cell>
        </row>
        <row r="736">
          <cell r="B736">
            <v>40018339</v>
          </cell>
          <cell r="C736" t="str">
            <v>CinDiveDeoSpray150ml P36-NewShap Exp</v>
          </cell>
          <cell r="D736">
            <v>8</v>
          </cell>
          <cell r="E736">
            <v>0</v>
          </cell>
          <cell r="F736">
            <v>8</v>
          </cell>
        </row>
        <row r="737">
          <cell r="B737">
            <v>40044016</v>
          </cell>
          <cell r="C737" t="str">
            <v>PA EDP KIT 4X20ML M849 P24-HORIZONTAL-TT</v>
          </cell>
          <cell r="D737">
            <v>7.9583333333333304</v>
          </cell>
          <cell r="E737">
            <v>0</v>
          </cell>
          <cell r="F737">
            <v>7.9583333333333304</v>
          </cell>
        </row>
        <row r="738">
          <cell r="B738">
            <v>40037927</v>
          </cell>
          <cell r="C738" t="str">
            <v>GK SHAKTI MAC + 10 MAT M60 P72</v>
          </cell>
          <cell r="D738">
            <v>7.9166666666666696</v>
          </cell>
          <cell r="E738">
            <v>0</v>
          </cell>
          <cell r="F738">
            <v>7.9166666666666696</v>
          </cell>
        </row>
        <row r="739">
          <cell r="B739">
            <v>40000849</v>
          </cell>
          <cell r="C739" t="str">
            <v>GK SUPER MATS 10s P200 (3yr)-EXP NEW A/W</v>
          </cell>
          <cell r="D739">
            <v>7</v>
          </cell>
          <cell r="E739">
            <v>0</v>
          </cell>
          <cell r="F739">
            <v>7</v>
          </cell>
        </row>
        <row r="740">
          <cell r="B740">
            <v>40043934</v>
          </cell>
          <cell r="C740" t="str">
            <v>PA ALTER EGO AER 150ML M250 P72 CSD GCPL</v>
          </cell>
          <cell r="D740">
            <v>7</v>
          </cell>
          <cell r="E740">
            <v>0</v>
          </cell>
          <cell r="F740">
            <v>7</v>
          </cell>
        </row>
        <row r="741">
          <cell r="B741">
            <v>40057406</v>
          </cell>
          <cell r="C741" t="str">
            <v>PA GM AER 150ML M225 P24 TT</v>
          </cell>
          <cell r="D741">
            <v>7</v>
          </cell>
          <cell r="E741">
            <v>0</v>
          </cell>
          <cell r="F741">
            <v>7</v>
          </cell>
        </row>
        <row r="742">
          <cell r="B742">
            <v>40049988</v>
          </cell>
          <cell r="C742" t="str">
            <v>PA TRANCE MIST 50ML M175 P60</v>
          </cell>
          <cell r="D742">
            <v>7</v>
          </cell>
          <cell r="E742">
            <v>0</v>
          </cell>
          <cell r="F742">
            <v>7</v>
          </cell>
        </row>
        <row r="743">
          <cell r="B743">
            <v>40061223</v>
          </cell>
          <cell r="C743" t="str">
            <v>PA VOYAGE AER 150 ML M250 P24 GCPL-LIQ</v>
          </cell>
          <cell r="D743">
            <v>7</v>
          </cell>
          <cell r="E743">
            <v>0</v>
          </cell>
          <cell r="F743">
            <v>7</v>
          </cell>
        </row>
        <row r="744">
          <cell r="B744">
            <v>40050379</v>
          </cell>
          <cell r="C744" t="str">
            <v>CIN HELTH100GM PO4 POLY P36-THAI</v>
          </cell>
          <cell r="D744">
            <v>7</v>
          </cell>
          <cell r="E744">
            <v>0</v>
          </cell>
          <cell r="F744">
            <v>7</v>
          </cell>
        </row>
        <row r="745">
          <cell r="B745">
            <v>40044086</v>
          </cell>
          <cell r="C745" t="str">
            <v>GPSpaSystmNorishingShmpo1000mlP9W/OMRPBD</v>
          </cell>
          <cell r="D745">
            <v>7</v>
          </cell>
          <cell r="E745">
            <v>0</v>
          </cell>
          <cell r="F745">
            <v>7</v>
          </cell>
        </row>
        <row r="746">
          <cell r="B746">
            <v>40061447</v>
          </cell>
          <cell r="C746" t="str">
            <v>KS10'S STRAWBERRY PLEASURE M180P480-LIQ</v>
          </cell>
          <cell r="D746">
            <v>7</v>
          </cell>
          <cell r="E746">
            <v>0</v>
          </cell>
          <cell r="F746">
            <v>7</v>
          </cell>
        </row>
        <row r="747">
          <cell r="B747">
            <v>40039902</v>
          </cell>
          <cell r="C747" t="str">
            <v>KS3's Intensity  MozambiqueP2160</v>
          </cell>
          <cell r="D747">
            <v>7</v>
          </cell>
          <cell r="E747">
            <v>0</v>
          </cell>
          <cell r="F747">
            <v>7</v>
          </cell>
        </row>
        <row r="748">
          <cell r="B748">
            <v>40050299</v>
          </cell>
          <cell r="C748" t="str">
            <v>KS12'S SUPERTHIN M180P480</v>
          </cell>
          <cell r="D748">
            <v>6.9979166666666703</v>
          </cell>
          <cell r="E748">
            <v>0</v>
          </cell>
          <cell r="F748">
            <v>6.9979166666666703</v>
          </cell>
        </row>
        <row r="749">
          <cell r="B749">
            <v>40044139</v>
          </cell>
          <cell r="C749" t="str">
            <v>GK Fabric RollOn 8ml M85 P48 Bubblegum</v>
          </cell>
          <cell r="D749">
            <v>6.25</v>
          </cell>
          <cell r="E749">
            <v>0</v>
          </cell>
          <cell r="F749">
            <v>6.25</v>
          </cell>
        </row>
        <row r="750">
          <cell r="B750">
            <v>40040950</v>
          </cell>
          <cell r="C750" t="str">
            <v>KS Spark Aerosol 150 ml (MRP 230)P48</v>
          </cell>
          <cell r="D750">
            <v>6.0208333333333304</v>
          </cell>
          <cell r="E750">
            <v>0</v>
          </cell>
          <cell r="F750">
            <v>6.0208333333333304</v>
          </cell>
        </row>
        <row r="751">
          <cell r="B751">
            <v>40050590</v>
          </cell>
          <cell r="C751" t="str">
            <v>NUPUR PURE HEENA 10GHDPE BAG M5.00 P600</v>
          </cell>
          <cell r="D751">
            <v>6</v>
          </cell>
          <cell r="E751">
            <v>0</v>
          </cell>
          <cell r="F751">
            <v>6</v>
          </cell>
        </row>
        <row r="752">
          <cell r="B752">
            <v>40064954</v>
          </cell>
          <cell r="C752" t="str">
            <v>CIN COOL 100G PO5M210 BANDED P36MT RSTRD</v>
          </cell>
          <cell r="D752">
            <v>6</v>
          </cell>
          <cell r="E752">
            <v>0</v>
          </cell>
          <cell r="F752">
            <v>6</v>
          </cell>
        </row>
        <row r="753">
          <cell r="B753">
            <v>40064250</v>
          </cell>
          <cell r="C753" t="str">
            <v>GP DIMENSION SHADE 7.11 M440 70G P24</v>
          </cell>
          <cell r="D753">
            <v>6</v>
          </cell>
          <cell r="E753">
            <v>0</v>
          </cell>
          <cell r="F753">
            <v>6</v>
          </cell>
        </row>
        <row r="754">
          <cell r="B754">
            <v>40064565</v>
          </cell>
          <cell r="C754" t="str">
            <v>GP DIMENSION SHADE 5.35 M440 70G P24 FR</v>
          </cell>
          <cell r="D754">
            <v>6</v>
          </cell>
          <cell r="E754">
            <v>0</v>
          </cell>
          <cell r="F754">
            <v>6</v>
          </cell>
        </row>
        <row r="755">
          <cell r="B755">
            <v>40062030</v>
          </cell>
          <cell r="C755" t="str">
            <v>PA GMDEOSHOT 40ML RS80 W/O HANG P144-LIQ</v>
          </cell>
          <cell r="D755">
            <v>6</v>
          </cell>
          <cell r="E755">
            <v>0</v>
          </cell>
          <cell r="F755">
            <v>6</v>
          </cell>
        </row>
        <row r="756">
          <cell r="B756">
            <v>40061156</v>
          </cell>
          <cell r="C756" t="str">
            <v>PREMIUM EDC PET 50ML M110P96-LIQ</v>
          </cell>
          <cell r="D756">
            <v>6</v>
          </cell>
          <cell r="E756">
            <v>0</v>
          </cell>
          <cell r="F756">
            <v>6</v>
          </cell>
        </row>
        <row r="757">
          <cell r="B757">
            <v>40031677</v>
          </cell>
          <cell r="C757" t="str">
            <v>ExpCreme 20g Blk Brwn PO10 P240 - EXP-GT</v>
          </cell>
          <cell r="D757">
            <v>6</v>
          </cell>
          <cell r="E757">
            <v>0</v>
          </cell>
          <cell r="F757">
            <v>6</v>
          </cell>
        </row>
        <row r="758">
          <cell r="B758">
            <v>40066226</v>
          </cell>
          <cell r="C758" t="str">
            <v>NUPUR PURE HENNA 100G  P144 NEW EXP CC</v>
          </cell>
          <cell r="D758">
            <v>6</v>
          </cell>
          <cell r="E758">
            <v>0</v>
          </cell>
          <cell r="F758">
            <v>6</v>
          </cell>
        </row>
        <row r="759">
          <cell r="B759">
            <v>40063306</v>
          </cell>
          <cell r="C759" t="str">
            <v>ACT+REF 1.6% TFT+C TYPE LMD-P60-EXP-GGME</v>
          </cell>
          <cell r="D759">
            <v>6</v>
          </cell>
          <cell r="E759">
            <v>0</v>
          </cell>
          <cell r="F759">
            <v>6</v>
          </cell>
        </row>
        <row r="760">
          <cell r="B760">
            <v>40063618</v>
          </cell>
          <cell r="C760" t="str">
            <v>AERPCKET BATHFRAG ASSRTPO3 M210 P36 CSD</v>
          </cell>
          <cell r="D760">
            <v>6</v>
          </cell>
          <cell r="E760">
            <v>0</v>
          </cell>
          <cell r="F760">
            <v>6</v>
          </cell>
        </row>
        <row r="761">
          <cell r="B761">
            <v>40060184</v>
          </cell>
          <cell r="C761" t="str">
            <v>PA EDP ETERNITY 100ML G M599 P12</v>
          </cell>
          <cell r="D761">
            <v>6</v>
          </cell>
          <cell r="E761">
            <v>0</v>
          </cell>
          <cell r="F761">
            <v>6</v>
          </cell>
        </row>
        <row r="762">
          <cell r="B762">
            <v>40061164</v>
          </cell>
          <cell r="C762" t="str">
            <v>KS URGE AER 150ML M230 P24 GCPL-LIQ</v>
          </cell>
          <cell r="D762">
            <v>6</v>
          </cell>
          <cell r="E762">
            <v>0</v>
          </cell>
          <cell r="F762">
            <v>6</v>
          </cell>
        </row>
        <row r="763">
          <cell r="B763">
            <v>40061931</v>
          </cell>
          <cell r="C763" t="str">
            <v>PA STORM AER 150ML P48 GCPL EXP</v>
          </cell>
          <cell r="D763">
            <v>6</v>
          </cell>
          <cell r="E763">
            <v>0</v>
          </cell>
          <cell r="F763">
            <v>6</v>
          </cell>
        </row>
        <row r="764">
          <cell r="B764">
            <v>40058871</v>
          </cell>
          <cell r="C764" t="str">
            <v>CIN COOL BDYWASH BOTTLE 200ML P30 EXP CC</v>
          </cell>
          <cell r="D764">
            <v>6</v>
          </cell>
          <cell r="E764">
            <v>0</v>
          </cell>
          <cell r="F764">
            <v>6</v>
          </cell>
        </row>
        <row r="765">
          <cell r="B765">
            <v>40058759</v>
          </cell>
          <cell r="C765" t="str">
            <v>CIN LIME BDYWASH BOTTLE 200ML P30 EXP CC</v>
          </cell>
          <cell r="D765">
            <v>6</v>
          </cell>
          <cell r="E765">
            <v>0</v>
          </cell>
          <cell r="F765">
            <v>6</v>
          </cell>
        </row>
        <row r="766">
          <cell r="B766">
            <v>40058755</v>
          </cell>
          <cell r="C766" t="str">
            <v>CIN ORG BDYWASH BOTTLE 200ML  P30 EXP CC</v>
          </cell>
          <cell r="D766">
            <v>6</v>
          </cell>
          <cell r="E766">
            <v>0</v>
          </cell>
          <cell r="F766">
            <v>6</v>
          </cell>
        </row>
        <row r="767">
          <cell r="B767">
            <v>40044062</v>
          </cell>
          <cell r="C767" t="str">
            <v>GP ProbioHoneyMoistreMask200gP12W/OMRPBD</v>
          </cell>
          <cell r="D767">
            <v>6</v>
          </cell>
          <cell r="E767">
            <v>0</v>
          </cell>
          <cell r="F767">
            <v>6</v>
          </cell>
        </row>
        <row r="768">
          <cell r="B768">
            <v>40044039</v>
          </cell>
          <cell r="C768" t="str">
            <v>GP NoAmo Shade 4 70g  P24 NEWW/O MRP BD</v>
          </cell>
          <cell r="D768">
            <v>6</v>
          </cell>
          <cell r="E768">
            <v>0</v>
          </cell>
          <cell r="F768">
            <v>6</v>
          </cell>
        </row>
        <row r="769">
          <cell r="B769">
            <v>40059779</v>
          </cell>
          <cell r="C769" t="str">
            <v>PA LUXURY GROOMING KIT M1099P6 OLD AW</v>
          </cell>
          <cell r="D769">
            <v>6</v>
          </cell>
          <cell r="E769">
            <v>0</v>
          </cell>
          <cell r="F769">
            <v>6</v>
          </cell>
        </row>
        <row r="770">
          <cell r="B770">
            <v>40058868</v>
          </cell>
          <cell r="C770" t="str">
            <v>CIN COOLBDYWASHBOTTLE 200ML P30 W/OM EXP</v>
          </cell>
          <cell r="D770">
            <v>0</v>
          </cell>
          <cell r="E770">
            <v>6</v>
          </cell>
          <cell r="F770">
            <v>6</v>
          </cell>
        </row>
        <row r="771">
          <cell r="B771">
            <v>40050521</v>
          </cell>
          <cell r="C771" t="str">
            <v>CINORGBDYWSHBTTLE 200ML W/O M0.00 P30EXP</v>
          </cell>
          <cell r="D771">
            <v>0</v>
          </cell>
          <cell r="E771">
            <v>6</v>
          </cell>
          <cell r="F771">
            <v>6</v>
          </cell>
        </row>
        <row r="772">
          <cell r="B772">
            <v>40039889</v>
          </cell>
          <cell r="C772" t="str">
            <v>KS3's Ribbed  DubaiP2160</v>
          </cell>
          <cell r="D772">
            <v>5.9555555555555602</v>
          </cell>
          <cell r="E772">
            <v>0</v>
          </cell>
          <cell r="F772">
            <v>5.9555555555555602</v>
          </cell>
        </row>
        <row r="773">
          <cell r="B773">
            <v>40039870</v>
          </cell>
          <cell r="C773" t="str">
            <v>KS12's Fruit Flv  Dubai P4320</v>
          </cell>
          <cell r="D773">
            <v>5.9194444444444398</v>
          </cell>
          <cell r="E773">
            <v>0</v>
          </cell>
          <cell r="F773">
            <v>5.9194444444444398</v>
          </cell>
        </row>
        <row r="774">
          <cell r="B774">
            <v>40062938</v>
          </cell>
          <cell r="C774" t="str">
            <v>GODREJ FAB 1LTR POUCH M99 P12 CSD</v>
          </cell>
          <cell r="D774">
            <v>5.3333333333333304</v>
          </cell>
          <cell r="E774">
            <v>0</v>
          </cell>
          <cell r="F774">
            <v>5.3333333333333304</v>
          </cell>
        </row>
        <row r="775">
          <cell r="B775">
            <v>40041517</v>
          </cell>
          <cell r="C775" t="str">
            <v>AER SPRAY MORNINGMISTY 220ml M169P24 new</v>
          </cell>
          <cell r="D775">
            <v>5.0003333333333302</v>
          </cell>
          <cell r="E775">
            <v>0</v>
          </cell>
          <cell r="F775">
            <v>5.0003333333333302</v>
          </cell>
        </row>
        <row r="776">
          <cell r="B776">
            <v>40060246</v>
          </cell>
          <cell r="C776" t="str">
            <v>CIN COOL 100G SINGLES M40 P150 NEW</v>
          </cell>
          <cell r="D776">
            <v>5</v>
          </cell>
          <cell r="E776">
            <v>0</v>
          </cell>
          <cell r="F776">
            <v>5</v>
          </cell>
        </row>
        <row r="777">
          <cell r="B777">
            <v>40063964</v>
          </cell>
          <cell r="C777" t="str">
            <v>NO1 JAS MC 43G PO4 M40 P54 RSTRD NF2</v>
          </cell>
          <cell r="D777">
            <v>0</v>
          </cell>
          <cell r="E777">
            <v>5</v>
          </cell>
          <cell r="F777">
            <v>5</v>
          </cell>
        </row>
        <row r="778">
          <cell r="B778">
            <v>40064893</v>
          </cell>
          <cell r="C778" t="str">
            <v>GODREJ FAB 1.7KG POUCH P6M199 TL GT</v>
          </cell>
          <cell r="D778">
            <v>5</v>
          </cell>
          <cell r="E778">
            <v>0</v>
          </cell>
          <cell r="F778">
            <v>5</v>
          </cell>
        </row>
        <row r="779">
          <cell r="B779">
            <v>40063174</v>
          </cell>
          <cell r="C779" t="str">
            <v>GRCRM 20G+20ML+2ML DBRN PO10 P240 M30 ND</v>
          </cell>
          <cell r="D779">
            <v>5</v>
          </cell>
          <cell r="E779">
            <v>0</v>
          </cell>
          <cell r="F779">
            <v>5</v>
          </cell>
        </row>
        <row r="780">
          <cell r="B780">
            <v>40058502</v>
          </cell>
          <cell r="C780" t="str">
            <v>EPHC ORG P90 P010 3GX90 NEW EXP CC</v>
          </cell>
          <cell r="D780">
            <v>5</v>
          </cell>
          <cell r="E780">
            <v>0</v>
          </cell>
          <cell r="F780">
            <v>5</v>
          </cell>
        </row>
        <row r="781">
          <cell r="B781">
            <v>40056404</v>
          </cell>
          <cell r="C781" t="str">
            <v>HIT FIK 400ML M225 P36 0.18</v>
          </cell>
          <cell r="D781">
            <v>5</v>
          </cell>
          <cell r="E781">
            <v>0</v>
          </cell>
          <cell r="F781">
            <v>5</v>
          </cell>
        </row>
        <row r="782">
          <cell r="B782">
            <v>40060509</v>
          </cell>
          <cell r="C782" t="str">
            <v>GODMAGRTM FLRCLNRLAVREF55ML PO3 M99 P48</v>
          </cell>
          <cell r="D782">
            <v>5</v>
          </cell>
          <cell r="E782">
            <v>0</v>
          </cell>
          <cell r="F782">
            <v>5</v>
          </cell>
        </row>
        <row r="783">
          <cell r="B783">
            <v>40060646</v>
          </cell>
          <cell r="C783" t="str">
            <v>PA STORM AER 150ML M225 P48 GCPL</v>
          </cell>
          <cell r="D783">
            <v>5</v>
          </cell>
          <cell r="E783">
            <v>0</v>
          </cell>
          <cell r="F783">
            <v>5</v>
          </cell>
        </row>
        <row r="784">
          <cell r="B784">
            <v>40064661</v>
          </cell>
          <cell r="C784" t="str">
            <v>PA EDP CONQ 100ML M799P12 MT NEWAW</v>
          </cell>
          <cell r="D784">
            <v>5</v>
          </cell>
          <cell r="E784">
            <v>0</v>
          </cell>
          <cell r="F784">
            <v>5</v>
          </cell>
        </row>
        <row r="785">
          <cell r="B785">
            <v>40059730</v>
          </cell>
          <cell r="C785" t="str">
            <v>PA FEM EDP POISE 100ML M799 P6-C</v>
          </cell>
          <cell r="D785">
            <v>5</v>
          </cell>
          <cell r="E785">
            <v>0</v>
          </cell>
          <cell r="F785">
            <v>5</v>
          </cell>
        </row>
        <row r="786">
          <cell r="B786">
            <v>40043458</v>
          </cell>
          <cell r="C786" t="str">
            <v>PA 2X GM INTENSE 120ML M225 P24 GCPL</v>
          </cell>
          <cell r="D786">
            <v>5</v>
          </cell>
          <cell r="E786">
            <v>0</v>
          </cell>
          <cell r="F786">
            <v>5</v>
          </cell>
        </row>
        <row r="787">
          <cell r="B787">
            <v>40061401</v>
          </cell>
          <cell r="C787" t="str">
            <v>PA GMDEOSHOT HANGER(9+3) M720  P12-LIQ</v>
          </cell>
          <cell r="D787">
            <v>5</v>
          </cell>
          <cell r="E787">
            <v>0</v>
          </cell>
          <cell r="F787">
            <v>5</v>
          </cell>
        </row>
        <row r="788">
          <cell r="B788">
            <v>40064734</v>
          </cell>
          <cell r="C788" t="str">
            <v>KS RUSH 120ML P48-CC-EXP</v>
          </cell>
          <cell r="D788">
            <v>5</v>
          </cell>
          <cell r="E788">
            <v>0</v>
          </cell>
          <cell r="F788">
            <v>5</v>
          </cell>
        </row>
        <row r="789">
          <cell r="B789">
            <v>40064807</v>
          </cell>
          <cell r="C789" t="str">
            <v>KS SPARK AER 120 M P48-CC-EXP</v>
          </cell>
          <cell r="D789">
            <v>5</v>
          </cell>
          <cell r="E789">
            <v>0</v>
          </cell>
          <cell r="F789">
            <v>5</v>
          </cell>
        </row>
        <row r="790">
          <cell r="B790">
            <v>40061956</v>
          </cell>
          <cell r="C790" t="str">
            <v>GP KERATIN CREME 1000ML M25000 P6</v>
          </cell>
          <cell r="D790">
            <v>5</v>
          </cell>
          <cell r="E790">
            <v>0</v>
          </cell>
          <cell r="F790">
            <v>5</v>
          </cell>
        </row>
        <row r="791">
          <cell r="B791">
            <v>40063382</v>
          </cell>
          <cell r="C791" t="str">
            <v>GP BOTOSMOOTH 1000G PS6 EXP CC</v>
          </cell>
          <cell r="D791">
            <v>5</v>
          </cell>
          <cell r="E791">
            <v>0</v>
          </cell>
          <cell r="F791">
            <v>5</v>
          </cell>
        </row>
        <row r="792">
          <cell r="B792">
            <v>40044058</v>
          </cell>
          <cell r="C792" t="str">
            <v>GP Developer 10Vol 1Ltr P 9W/O MRP BD</v>
          </cell>
          <cell r="D792">
            <v>5</v>
          </cell>
          <cell r="E792">
            <v>0</v>
          </cell>
          <cell r="F792">
            <v>5</v>
          </cell>
        </row>
        <row r="793">
          <cell r="B793">
            <v>40059251</v>
          </cell>
          <cell r="C793" t="str">
            <v>KS3'S SKINFEEL M60 P1440 INCR</v>
          </cell>
          <cell r="D793">
            <v>5</v>
          </cell>
          <cell r="E793">
            <v>0</v>
          </cell>
          <cell r="F793">
            <v>5</v>
          </cell>
        </row>
        <row r="794">
          <cell r="B794">
            <v>40043716</v>
          </cell>
          <cell r="C794" t="str">
            <v>KS3'S CHOCOLATE FLV MRP 30P480 BD</v>
          </cell>
          <cell r="D794">
            <v>5</v>
          </cell>
          <cell r="E794">
            <v>0</v>
          </cell>
          <cell r="F794">
            <v>5</v>
          </cell>
        </row>
        <row r="795">
          <cell r="B795">
            <v>40042515</v>
          </cell>
          <cell r="C795" t="str">
            <v>KSAloe &amp;Vit.E Lube50 ml P24-EXP-CC</v>
          </cell>
          <cell r="D795">
            <v>5</v>
          </cell>
          <cell r="E795">
            <v>0</v>
          </cell>
          <cell r="F795">
            <v>5</v>
          </cell>
        </row>
        <row r="796">
          <cell r="B796">
            <v>40042465</v>
          </cell>
          <cell r="C796" t="str">
            <v>KSStrawberry Lube50 ml P24-EXP-CC</v>
          </cell>
          <cell r="D796">
            <v>5</v>
          </cell>
          <cell r="E796">
            <v>0</v>
          </cell>
          <cell r="F796">
            <v>5</v>
          </cell>
        </row>
        <row r="797">
          <cell r="B797">
            <v>40062594</v>
          </cell>
          <cell r="C797" t="str">
            <v>KS3'S BANANA FLV M49 P1440 NEPAL</v>
          </cell>
          <cell r="D797">
            <v>4</v>
          </cell>
          <cell r="E797">
            <v>1</v>
          </cell>
          <cell r="F797">
            <v>5</v>
          </cell>
        </row>
        <row r="798">
          <cell r="B798">
            <v>40056378</v>
          </cell>
          <cell r="C798" t="str">
            <v>HIT ANTI ROACH 15G M99 P96</v>
          </cell>
          <cell r="D798">
            <v>4.8958333333333304</v>
          </cell>
          <cell r="E798">
            <v>0</v>
          </cell>
          <cell r="F798">
            <v>4.8958333333333304</v>
          </cell>
        </row>
        <row r="799">
          <cell r="B799">
            <v>40036410</v>
          </cell>
          <cell r="C799" t="str">
            <v>GP Kerasmooth Monodose M2200P12FRW</v>
          </cell>
          <cell r="D799">
            <v>4</v>
          </cell>
          <cell r="E799">
            <v>0</v>
          </cell>
          <cell r="F799">
            <v>4</v>
          </cell>
        </row>
        <row r="800">
          <cell r="B800">
            <v>40064320</v>
          </cell>
          <cell r="C800" t="str">
            <v>GP DIMENSION SHADE 6.52 M440 70G P24</v>
          </cell>
          <cell r="D800">
            <v>4</v>
          </cell>
          <cell r="E800">
            <v>0</v>
          </cell>
          <cell r="F800">
            <v>4</v>
          </cell>
        </row>
        <row r="801">
          <cell r="B801">
            <v>40050082</v>
          </cell>
          <cell r="C801" t="str">
            <v>*GPSmoothRenewShampoo1000mlMRP2100PS9</v>
          </cell>
          <cell r="D801">
            <v>4</v>
          </cell>
          <cell r="E801">
            <v>0</v>
          </cell>
          <cell r="F801">
            <v>4</v>
          </cell>
        </row>
        <row r="802">
          <cell r="B802">
            <v>40063493</v>
          </cell>
          <cell r="C802" t="str">
            <v>GK FLASH LAVREFILL 45ML M85P240 RNFPCR N</v>
          </cell>
          <cell r="D802">
            <v>4</v>
          </cell>
          <cell r="E802">
            <v>0</v>
          </cell>
          <cell r="F802">
            <v>4</v>
          </cell>
        </row>
        <row r="803">
          <cell r="B803">
            <v>40039573</v>
          </cell>
          <cell r="C803" t="str">
            <v>GK XPRESS CARTON REDUCTION M115 PS48 CSD</v>
          </cell>
          <cell r="D803">
            <v>4</v>
          </cell>
          <cell r="E803">
            <v>0</v>
          </cell>
          <cell r="F803">
            <v>4</v>
          </cell>
        </row>
        <row r="804">
          <cell r="B804">
            <v>40041512</v>
          </cell>
          <cell r="C804" t="str">
            <v>AER SPRAY VIOLETVALLEY 220ml M169P24 new</v>
          </cell>
          <cell r="D804">
            <v>4</v>
          </cell>
          <cell r="E804">
            <v>0</v>
          </cell>
          <cell r="F804">
            <v>4</v>
          </cell>
        </row>
        <row r="805">
          <cell r="B805">
            <v>40059685</v>
          </cell>
          <cell r="C805" t="str">
            <v>PA STORM MEGA 220 ML M350 P72</v>
          </cell>
          <cell r="D805">
            <v>4</v>
          </cell>
          <cell r="E805">
            <v>0</v>
          </cell>
          <cell r="F805">
            <v>4</v>
          </cell>
        </row>
        <row r="806">
          <cell r="B806">
            <v>40062051</v>
          </cell>
          <cell r="C806" t="str">
            <v>PA GDMG 220MLÂ Â M1080P24 RPK EMZPO3-LIQ</v>
          </cell>
          <cell r="D806">
            <v>4</v>
          </cell>
          <cell r="E806">
            <v>0</v>
          </cell>
          <cell r="F806">
            <v>4</v>
          </cell>
        </row>
        <row r="807">
          <cell r="B807">
            <v>40061969</v>
          </cell>
          <cell r="C807" t="str">
            <v>PA ALTER EGO AER 150ML P48 GCPL EXP</v>
          </cell>
          <cell r="D807">
            <v>4</v>
          </cell>
          <cell r="E807">
            <v>0</v>
          </cell>
          <cell r="F807">
            <v>4</v>
          </cell>
        </row>
        <row r="808">
          <cell r="B808">
            <v>40061970</v>
          </cell>
          <cell r="C808" t="str">
            <v>PA CB AER 150ML P48 GCPL EXP</v>
          </cell>
          <cell r="D808">
            <v>4</v>
          </cell>
          <cell r="E808">
            <v>0</v>
          </cell>
          <cell r="F808">
            <v>4</v>
          </cell>
        </row>
        <row r="809">
          <cell r="B809">
            <v>40061967</v>
          </cell>
          <cell r="C809" t="str">
            <v>PA GM AER 150ML P48GCPL EXP</v>
          </cell>
          <cell r="D809">
            <v>4</v>
          </cell>
          <cell r="E809">
            <v>0</v>
          </cell>
          <cell r="F809">
            <v>4</v>
          </cell>
        </row>
        <row r="810">
          <cell r="B810">
            <v>40061968</v>
          </cell>
          <cell r="C810" t="str">
            <v>PA NEO AER 150ML P48 GCPL EXP</v>
          </cell>
          <cell r="D810">
            <v>4</v>
          </cell>
          <cell r="E810">
            <v>0</v>
          </cell>
          <cell r="F810">
            <v>4</v>
          </cell>
        </row>
        <row r="811">
          <cell r="B811">
            <v>40062966</v>
          </cell>
          <cell r="C811" t="str">
            <v>PA VOYAGE AER 150 ML P48 GCPL W/OM EXP</v>
          </cell>
          <cell r="D811">
            <v>4</v>
          </cell>
          <cell r="E811">
            <v>0</v>
          </cell>
          <cell r="F811">
            <v>4</v>
          </cell>
        </row>
        <row r="812">
          <cell r="B812">
            <v>40064732</v>
          </cell>
          <cell r="C812" t="str">
            <v>PA EDP EUPHORIA 100ML G P12 N-AW EXP CC</v>
          </cell>
          <cell r="D812">
            <v>4</v>
          </cell>
          <cell r="E812">
            <v>0</v>
          </cell>
          <cell r="F812">
            <v>4</v>
          </cell>
        </row>
        <row r="813">
          <cell r="B813">
            <v>40064559</v>
          </cell>
          <cell r="C813" t="str">
            <v>PA SOAP COOLBLUE 4X125GPO4 M320 P27</v>
          </cell>
          <cell r="D813">
            <v>4</v>
          </cell>
          <cell r="E813">
            <v>0</v>
          </cell>
          <cell r="F813">
            <v>4</v>
          </cell>
        </row>
        <row r="814">
          <cell r="B814">
            <v>40050572</v>
          </cell>
          <cell r="C814" t="str">
            <v>CIN COOL 100GM PO4 POLY M0 P36 -THAI</v>
          </cell>
          <cell r="D814">
            <v>4</v>
          </cell>
          <cell r="E814">
            <v>0</v>
          </cell>
          <cell r="F814">
            <v>4</v>
          </cell>
        </row>
        <row r="815">
          <cell r="B815">
            <v>40065711</v>
          </cell>
          <cell r="C815" t="str">
            <v>CIN COOL BDYWASH BOTTL 200ML P30NIGERIA</v>
          </cell>
          <cell r="D815">
            <v>4</v>
          </cell>
          <cell r="E815">
            <v>0</v>
          </cell>
          <cell r="F815">
            <v>4</v>
          </cell>
        </row>
        <row r="816">
          <cell r="B816">
            <v>40044055</v>
          </cell>
          <cell r="C816" t="str">
            <v>GP ColorPlay-CherryRed 70g P24W/O MRP BD</v>
          </cell>
          <cell r="D816">
            <v>4</v>
          </cell>
          <cell r="E816">
            <v>0</v>
          </cell>
          <cell r="F816">
            <v>4</v>
          </cell>
        </row>
        <row r="817">
          <cell r="B817">
            <v>40044020</v>
          </cell>
          <cell r="C817" t="str">
            <v>GP NoAmo Shade 5 70g P24 NEWW/O MRP BD</v>
          </cell>
          <cell r="D817">
            <v>4</v>
          </cell>
          <cell r="E817">
            <v>0</v>
          </cell>
          <cell r="F817">
            <v>4</v>
          </cell>
        </row>
        <row r="818">
          <cell r="B818">
            <v>40044053</v>
          </cell>
          <cell r="C818" t="str">
            <v>GPProbioHoneyMoistShamp250mlP24W/OMRP BD</v>
          </cell>
          <cell r="D818">
            <v>4</v>
          </cell>
          <cell r="E818">
            <v>0</v>
          </cell>
          <cell r="F818">
            <v>4</v>
          </cell>
        </row>
        <row r="819">
          <cell r="B819">
            <v>40061147</v>
          </cell>
          <cell r="C819" t="str">
            <v>KS3'S LONGLASTPLEA M50 P1440 INCR BD</v>
          </cell>
          <cell r="D819">
            <v>4</v>
          </cell>
          <cell r="E819">
            <v>0</v>
          </cell>
          <cell r="F819">
            <v>4</v>
          </cell>
        </row>
        <row r="820">
          <cell r="B820">
            <v>40039877</v>
          </cell>
          <cell r="C820" t="str">
            <v>KS12's Ultrathin  DubaiP4320</v>
          </cell>
          <cell r="D820">
            <v>3.9611111111111099</v>
          </cell>
          <cell r="E820">
            <v>0</v>
          </cell>
          <cell r="F820">
            <v>3.9611111111111099</v>
          </cell>
        </row>
        <row r="821">
          <cell r="B821">
            <v>40056434</v>
          </cell>
          <cell r="C821" t="str">
            <v>HIT FIK 400ML M225 P36 0.18 20% MFT</v>
          </cell>
          <cell r="D821">
            <v>3.9166666666666701</v>
          </cell>
          <cell r="E821">
            <v>0</v>
          </cell>
          <cell r="F821">
            <v>3.9166666666666701</v>
          </cell>
        </row>
        <row r="822">
          <cell r="B822">
            <v>40043441</v>
          </cell>
          <cell r="C822" t="str">
            <v>PA ALTER EGO AEROSOL 150ML P24-GGME</v>
          </cell>
          <cell r="D822">
            <v>3.875</v>
          </cell>
          <cell r="E822">
            <v>0</v>
          </cell>
          <cell r="F822">
            <v>3.875</v>
          </cell>
        </row>
        <row r="823">
          <cell r="B823">
            <v>40042278</v>
          </cell>
          <cell r="C823" t="str">
            <v>Cin Cool 100g Singles P150 New-EXP CC</v>
          </cell>
          <cell r="D823">
            <v>3.4</v>
          </cell>
          <cell r="E823">
            <v>0</v>
          </cell>
          <cell r="F823">
            <v>3.4</v>
          </cell>
        </row>
        <row r="824">
          <cell r="B824">
            <v>40043896</v>
          </cell>
          <cell r="C824" t="str">
            <v>Expert crème BlkBwn PO8 M40 P240-MT</v>
          </cell>
          <cell r="D824">
            <v>3</v>
          </cell>
          <cell r="E824">
            <v>0</v>
          </cell>
          <cell r="F824">
            <v>3</v>
          </cell>
        </row>
        <row r="825">
          <cell r="B825">
            <v>40050186</v>
          </cell>
          <cell r="C825" t="str">
            <v>GPColorPlayShade Blonde 7 70G M370P24</v>
          </cell>
          <cell r="D825">
            <v>3</v>
          </cell>
          <cell r="E825">
            <v>0</v>
          </cell>
          <cell r="F825">
            <v>3</v>
          </cell>
        </row>
        <row r="826">
          <cell r="B826">
            <v>40041331</v>
          </cell>
          <cell r="C826" t="str">
            <v>GP Dimension Shade 6.34 M410 70g P24</v>
          </cell>
          <cell r="D826">
            <v>3</v>
          </cell>
          <cell r="E826">
            <v>0</v>
          </cell>
          <cell r="F826">
            <v>3</v>
          </cell>
        </row>
        <row r="827">
          <cell r="B827">
            <v>40063605</v>
          </cell>
          <cell r="C827" t="str">
            <v>GENTEEL 2KG POUCH M360P6 FL MT PRF</v>
          </cell>
          <cell r="D827">
            <v>3</v>
          </cell>
          <cell r="E827">
            <v>0</v>
          </cell>
          <cell r="F827">
            <v>3</v>
          </cell>
        </row>
        <row r="828">
          <cell r="B828">
            <v>40056914</v>
          </cell>
          <cell r="C828" t="str">
            <v>AER MATIC SPRAY REFILL CSB 210ML M315P18</v>
          </cell>
          <cell r="D828">
            <v>3</v>
          </cell>
          <cell r="E828">
            <v>0</v>
          </cell>
          <cell r="F828">
            <v>3</v>
          </cell>
        </row>
        <row r="829">
          <cell r="B829">
            <v>40041791</v>
          </cell>
          <cell r="C829" t="str">
            <v>AerTwist Gel CarFr CoolBlu45gM425P15CSD</v>
          </cell>
          <cell r="D829">
            <v>3</v>
          </cell>
          <cell r="E829">
            <v>0</v>
          </cell>
          <cell r="F829">
            <v>3</v>
          </cell>
        </row>
        <row r="830">
          <cell r="B830">
            <v>40065707</v>
          </cell>
          <cell r="C830" t="str">
            <v>GODPROTMAGHWNEEM99.9%9GCOMBM40P48NIGERIA</v>
          </cell>
          <cell r="D830">
            <v>3</v>
          </cell>
          <cell r="E830">
            <v>0</v>
          </cell>
          <cell r="F830">
            <v>3</v>
          </cell>
        </row>
        <row r="831">
          <cell r="B831">
            <v>40064905</v>
          </cell>
          <cell r="C831" t="str">
            <v>PA EDP HARMONY 100ML M799 P12 NEWAW</v>
          </cell>
          <cell r="D831">
            <v>3</v>
          </cell>
          <cell r="E831">
            <v>0</v>
          </cell>
          <cell r="F831">
            <v>3</v>
          </cell>
        </row>
        <row r="832">
          <cell r="B832">
            <v>40061289</v>
          </cell>
          <cell r="C832" t="str">
            <v>PA GM AER 150ML M225 P24GCPL-LIQ</v>
          </cell>
          <cell r="D832">
            <v>3</v>
          </cell>
          <cell r="E832">
            <v>0</v>
          </cell>
          <cell r="F832">
            <v>3</v>
          </cell>
        </row>
        <row r="833">
          <cell r="B833">
            <v>40061082</v>
          </cell>
          <cell r="C833" t="str">
            <v>PA GM AER 150ML M225 P72 CSD GCPL-LIQ</v>
          </cell>
          <cell r="D833">
            <v>3</v>
          </cell>
          <cell r="E833">
            <v>0</v>
          </cell>
          <cell r="F833">
            <v>3</v>
          </cell>
        </row>
        <row r="834">
          <cell r="B834">
            <v>40043446</v>
          </cell>
          <cell r="C834" t="str">
            <v>PA NEO AEROSOL 150ML P24-GGME</v>
          </cell>
          <cell r="D834">
            <v>3</v>
          </cell>
          <cell r="E834">
            <v>0</v>
          </cell>
          <cell r="F834">
            <v>3</v>
          </cell>
        </row>
        <row r="835">
          <cell r="B835">
            <v>40064889</v>
          </cell>
          <cell r="C835" t="str">
            <v>CIN ORIGNAL 100GPO4 P36 EXP -SHRINK</v>
          </cell>
          <cell r="D835">
            <v>3</v>
          </cell>
          <cell r="E835">
            <v>0</v>
          </cell>
          <cell r="F835">
            <v>3</v>
          </cell>
        </row>
        <row r="836">
          <cell r="B836">
            <v>40065697</v>
          </cell>
          <cell r="C836" t="str">
            <v>CIN COOLBDYWASH BOTTLE 750ML P12 NIGERIA</v>
          </cell>
          <cell r="D836">
            <v>3</v>
          </cell>
          <cell r="E836">
            <v>0</v>
          </cell>
          <cell r="F836">
            <v>3</v>
          </cell>
        </row>
        <row r="837">
          <cell r="B837">
            <v>40065722</v>
          </cell>
          <cell r="C837" t="str">
            <v>CIN SAND BDYWASH BOTTL 750ML P12 NIGERIA</v>
          </cell>
          <cell r="D837">
            <v>3</v>
          </cell>
          <cell r="E837">
            <v>0</v>
          </cell>
          <cell r="F837">
            <v>3</v>
          </cell>
        </row>
        <row r="838">
          <cell r="B838">
            <v>40065714</v>
          </cell>
          <cell r="C838" t="str">
            <v>CIN LIMEBDYWASH BOTTLE 750ML P12 NIGERIA</v>
          </cell>
          <cell r="D838">
            <v>3</v>
          </cell>
          <cell r="E838">
            <v>0</v>
          </cell>
          <cell r="F838">
            <v>3</v>
          </cell>
        </row>
        <row r="839">
          <cell r="B839">
            <v>40044014</v>
          </cell>
          <cell r="C839" t="str">
            <v>GP ColorPlayRedPassion 70g P24W/O MRP BD</v>
          </cell>
          <cell r="D839">
            <v>3</v>
          </cell>
          <cell r="E839">
            <v>0</v>
          </cell>
          <cell r="F839">
            <v>3</v>
          </cell>
        </row>
        <row r="840">
          <cell r="B840">
            <v>40044064</v>
          </cell>
          <cell r="C840" t="str">
            <v>GPSpaSystmSmooth&amp;ShineMask500gP6W/OMRPBD</v>
          </cell>
          <cell r="D840">
            <v>3</v>
          </cell>
          <cell r="E840">
            <v>0</v>
          </cell>
          <cell r="F840">
            <v>3</v>
          </cell>
        </row>
        <row r="841">
          <cell r="B841">
            <v>40044023</v>
          </cell>
          <cell r="C841" t="str">
            <v>GP NoAmo Shade 1 70g  P24W/O MRP BD</v>
          </cell>
          <cell r="D841">
            <v>3</v>
          </cell>
          <cell r="E841">
            <v>0</v>
          </cell>
          <cell r="F841">
            <v>3</v>
          </cell>
        </row>
        <row r="842">
          <cell r="B842">
            <v>40044083</v>
          </cell>
          <cell r="C842" t="str">
            <v>GPProbioKeratnReviveSham250mlP24W/OMRPBD</v>
          </cell>
          <cell r="D842">
            <v>3</v>
          </cell>
          <cell r="E842">
            <v>0</v>
          </cell>
          <cell r="F842">
            <v>3</v>
          </cell>
        </row>
        <row r="843">
          <cell r="B843">
            <v>40042184</v>
          </cell>
          <cell r="C843" t="str">
            <v>KS10'S CHOCOLATE FLV MRP 100P480</v>
          </cell>
          <cell r="D843">
            <v>3</v>
          </cell>
          <cell r="E843">
            <v>0</v>
          </cell>
          <cell r="F843">
            <v>3</v>
          </cell>
        </row>
        <row r="844">
          <cell r="B844">
            <v>40049857</v>
          </cell>
          <cell r="C844" t="str">
            <v>KS HONEYMOON SURPRISE KIT M750P8-NEWAW</v>
          </cell>
          <cell r="D844">
            <v>3</v>
          </cell>
          <cell r="E844">
            <v>0</v>
          </cell>
          <cell r="F844">
            <v>3</v>
          </cell>
        </row>
        <row r="845">
          <cell r="B845">
            <v>40061084</v>
          </cell>
          <cell r="C845" t="str">
            <v>CIN TALC LIME 300G M190 P24</v>
          </cell>
          <cell r="D845">
            <v>3</v>
          </cell>
          <cell r="E845">
            <v>0</v>
          </cell>
          <cell r="F845">
            <v>3</v>
          </cell>
        </row>
        <row r="846">
          <cell r="B846">
            <v>40042433</v>
          </cell>
          <cell r="C846" t="str">
            <v>PA SCGOOD MORNING 84 G RLP48 -EXP-CC</v>
          </cell>
          <cell r="D846">
            <v>3</v>
          </cell>
          <cell r="E846">
            <v>0</v>
          </cell>
          <cell r="F846">
            <v>3</v>
          </cell>
        </row>
        <row r="847">
          <cell r="B847">
            <v>40062935</v>
          </cell>
          <cell r="C847" t="str">
            <v>NO1SAN TUR 150G B3G1 M175 P24 MTND RSTRD</v>
          </cell>
          <cell r="D847">
            <v>2.9166666666666701</v>
          </cell>
          <cell r="E847">
            <v>0</v>
          </cell>
          <cell r="F847">
            <v>2.9166666666666701</v>
          </cell>
        </row>
        <row r="848">
          <cell r="B848">
            <v>40020759</v>
          </cell>
          <cell r="C848" t="str">
            <v>HIT RATS 25GRM NEW A/W-Suriname</v>
          </cell>
          <cell r="D848">
            <v>2.8250000000000002</v>
          </cell>
          <cell r="E848">
            <v>0</v>
          </cell>
          <cell r="F848">
            <v>2.8250000000000002</v>
          </cell>
        </row>
        <row r="849">
          <cell r="B849">
            <v>40063142</v>
          </cell>
          <cell r="C849" t="str">
            <v>HIT FIK 400ML M230 P36 0.18 20% MFT</v>
          </cell>
          <cell r="D849">
            <v>2.2777777777777799</v>
          </cell>
          <cell r="E849">
            <v>0</v>
          </cell>
          <cell r="F849">
            <v>2.2777777777777799</v>
          </cell>
        </row>
        <row r="850">
          <cell r="B850">
            <v>40063576</v>
          </cell>
          <cell r="C850" t="str">
            <v>GODREJ FAB 800GM POUCH M99 P12 ECOM</v>
          </cell>
          <cell r="D850">
            <v>2.0830000000000002</v>
          </cell>
          <cell r="E850">
            <v>0</v>
          </cell>
          <cell r="F850">
            <v>2.0830000000000002</v>
          </cell>
        </row>
        <row r="851">
          <cell r="B851">
            <v>40043390</v>
          </cell>
          <cell r="C851" t="str">
            <v>GK Agarbatti M10(cross 12)P288</v>
          </cell>
          <cell r="D851">
            <v>2.0034722222222201</v>
          </cell>
          <cell r="E851">
            <v>0</v>
          </cell>
          <cell r="F851">
            <v>2.0034722222222201</v>
          </cell>
        </row>
        <row r="852">
          <cell r="B852">
            <v>40058544</v>
          </cell>
          <cell r="C852" t="str">
            <v>KS10'S SKINFEEL M180 P480</v>
          </cell>
          <cell r="D852">
            <v>2.0020833333333301</v>
          </cell>
          <cell r="E852">
            <v>0</v>
          </cell>
          <cell r="F852">
            <v>2.0020833333333301</v>
          </cell>
        </row>
        <row r="853">
          <cell r="B853">
            <v>40036892</v>
          </cell>
          <cell r="C853" t="str">
            <v>Cin Cool 125g PO3(banded) P40 M168-CSD</v>
          </cell>
          <cell r="D853">
            <v>2</v>
          </cell>
          <cell r="E853">
            <v>0</v>
          </cell>
          <cell r="F853">
            <v>2</v>
          </cell>
        </row>
        <row r="854">
          <cell r="B854">
            <v>40050209</v>
          </cell>
          <cell r="C854" t="str">
            <v>GPDrkBlnd wth Brwn Reflc 6.870G M370 P24</v>
          </cell>
          <cell r="D854">
            <v>2</v>
          </cell>
          <cell r="E854">
            <v>0</v>
          </cell>
          <cell r="F854">
            <v>2</v>
          </cell>
        </row>
        <row r="855">
          <cell r="B855">
            <v>40041332</v>
          </cell>
          <cell r="C855" t="str">
            <v>GP Dimension Shade 5.1 M410 70g P24</v>
          </cell>
          <cell r="D855">
            <v>2</v>
          </cell>
          <cell r="E855">
            <v>0</v>
          </cell>
          <cell r="F855">
            <v>2</v>
          </cell>
        </row>
        <row r="856">
          <cell r="B856">
            <v>40061220</v>
          </cell>
          <cell r="C856" t="str">
            <v>PA GM AER 220ML M360 P24 GCPL-LIQ</v>
          </cell>
          <cell r="D856">
            <v>2</v>
          </cell>
          <cell r="E856">
            <v>0</v>
          </cell>
          <cell r="F856">
            <v>2</v>
          </cell>
        </row>
        <row r="857">
          <cell r="B857">
            <v>40029119</v>
          </cell>
          <cell r="C857" t="str">
            <v>Nupur Heena 400g (9herbs)P24(6x4)-UK-EXP</v>
          </cell>
          <cell r="D857">
            <v>2</v>
          </cell>
          <cell r="E857">
            <v>0</v>
          </cell>
          <cell r="F857">
            <v>2</v>
          </cell>
        </row>
        <row r="858">
          <cell r="B858">
            <v>40057884</v>
          </cell>
          <cell r="C858" t="str">
            <v>GK FLASH LAV COMBI M115 P60 RNF CSD</v>
          </cell>
          <cell r="D858">
            <v>2</v>
          </cell>
          <cell r="E858">
            <v>0</v>
          </cell>
          <cell r="F858">
            <v>2</v>
          </cell>
        </row>
        <row r="859">
          <cell r="B859">
            <v>40009660</v>
          </cell>
          <cell r="C859" t="str">
            <v>HIT CHALK P360 (12S X 30) - EXP CC</v>
          </cell>
          <cell r="D859">
            <v>2</v>
          </cell>
          <cell r="E859">
            <v>0</v>
          </cell>
          <cell r="F859">
            <v>2</v>
          </cell>
        </row>
        <row r="860">
          <cell r="B860">
            <v>40060742</v>
          </cell>
          <cell r="C860" t="str">
            <v>KS SPARK AER 125ML M149 P72 GCPL</v>
          </cell>
          <cell r="D860">
            <v>2</v>
          </cell>
          <cell r="E860">
            <v>0</v>
          </cell>
          <cell r="F860">
            <v>2</v>
          </cell>
        </row>
        <row r="861">
          <cell r="B861">
            <v>40063408</v>
          </cell>
          <cell r="C861" t="str">
            <v>PA EDP 4X20ML WIN GFT SET M649P12 RW</v>
          </cell>
          <cell r="D861">
            <v>2</v>
          </cell>
          <cell r="E861">
            <v>0</v>
          </cell>
          <cell r="F861">
            <v>2</v>
          </cell>
        </row>
        <row r="862">
          <cell r="B862">
            <v>40061076</v>
          </cell>
          <cell r="C862" t="str">
            <v>KS SPARK POWSERIES 135ML M240 P24-LIQ</v>
          </cell>
          <cell r="D862">
            <v>2</v>
          </cell>
          <cell r="E862">
            <v>0</v>
          </cell>
          <cell r="F862">
            <v>2</v>
          </cell>
        </row>
        <row r="863">
          <cell r="B863">
            <v>40061350</v>
          </cell>
          <cell r="C863" t="str">
            <v>PA NEO AER 150ML M250 P24 GCPL-LIQ</v>
          </cell>
          <cell r="D863">
            <v>2</v>
          </cell>
          <cell r="E863">
            <v>0</v>
          </cell>
          <cell r="F863">
            <v>2</v>
          </cell>
        </row>
        <row r="864">
          <cell r="B864">
            <v>40064738</v>
          </cell>
          <cell r="C864" t="str">
            <v>KS URGE 120ML P48-CC-EXP</v>
          </cell>
          <cell r="D864">
            <v>2</v>
          </cell>
          <cell r="E864">
            <v>0</v>
          </cell>
          <cell r="F864">
            <v>2</v>
          </cell>
        </row>
        <row r="865">
          <cell r="B865">
            <v>40015279</v>
          </cell>
          <cell r="C865" t="str">
            <v>GODREJSHIKAKAI(new color)75GP160 -EXP</v>
          </cell>
          <cell r="D865">
            <v>2</v>
          </cell>
          <cell r="E865">
            <v>0</v>
          </cell>
          <cell r="F865">
            <v>2</v>
          </cell>
        </row>
        <row r="866">
          <cell r="B866">
            <v>40064978</v>
          </cell>
          <cell r="C866" t="str">
            <v>PA SOAP  LUXURY 125G P108 GCPL EXP CC</v>
          </cell>
          <cell r="D866">
            <v>2</v>
          </cell>
          <cell r="E866">
            <v>0</v>
          </cell>
          <cell r="F866">
            <v>2</v>
          </cell>
        </row>
        <row r="867">
          <cell r="B867">
            <v>40065703</v>
          </cell>
          <cell r="C867" t="str">
            <v>CINLIMEBDYWASHBOTTLE 200ML P30 NIGERIA</v>
          </cell>
          <cell r="D867">
            <v>2</v>
          </cell>
          <cell r="E867">
            <v>0</v>
          </cell>
          <cell r="F867">
            <v>2</v>
          </cell>
        </row>
        <row r="868">
          <cell r="B868">
            <v>40044066</v>
          </cell>
          <cell r="C868" t="str">
            <v>GP ColorPlayMoltonGold 70gP24W/O MRP BD</v>
          </cell>
          <cell r="D868">
            <v>2</v>
          </cell>
          <cell r="E868">
            <v>0</v>
          </cell>
          <cell r="F868">
            <v>2</v>
          </cell>
        </row>
        <row r="869">
          <cell r="B869">
            <v>40044050</v>
          </cell>
          <cell r="C869" t="str">
            <v>GP NoAmo Shade 6 70g  P24W/O MRP BD</v>
          </cell>
          <cell r="D869">
            <v>2</v>
          </cell>
          <cell r="E869">
            <v>0</v>
          </cell>
          <cell r="F869">
            <v>2</v>
          </cell>
        </row>
        <row r="870">
          <cell r="B870">
            <v>40059425</v>
          </cell>
          <cell r="C870" t="str">
            <v>KS3'S EXTRA DOTTED STRAWBRY M50 P1440</v>
          </cell>
          <cell r="D870">
            <v>2</v>
          </cell>
          <cell r="E870">
            <v>0</v>
          </cell>
          <cell r="F870">
            <v>2</v>
          </cell>
        </row>
        <row r="871">
          <cell r="B871">
            <v>40058547</v>
          </cell>
          <cell r="C871" t="str">
            <v>KS3'S LONGLAST  SYNC M60 P480</v>
          </cell>
          <cell r="D871">
            <v>2</v>
          </cell>
          <cell r="E871">
            <v>0</v>
          </cell>
          <cell r="F871">
            <v>2</v>
          </cell>
        </row>
        <row r="872">
          <cell r="B872">
            <v>40042682</v>
          </cell>
          <cell r="C872" t="str">
            <v>KS3's Longlast Plea P480 W/O MRP-NPL</v>
          </cell>
          <cell r="D872">
            <v>2</v>
          </cell>
          <cell r="E872">
            <v>0</v>
          </cell>
          <cell r="F872">
            <v>2</v>
          </cell>
        </row>
        <row r="873">
          <cell r="B873">
            <v>40058636</v>
          </cell>
          <cell r="C873" t="str">
            <v>*PA BS 650 ML DAMAGE FREE M799 P18</v>
          </cell>
          <cell r="D873">
            <v>2</v>
          </cell>
          <cell r="E873">
            <v>0</v>
          </cell>
          <cell r="F873">
            <v>2</v>
          </cell>
        </row>
        <row r="874">
          <cell r="B874">
            <v>40061083</v>
          </cell>
          <cell r="C874" t="str">
            <v>PREMIUM EDC PET 50ML M110.00 P96-LIQ</v>
          </cell>
          <cell r="D874">
            <v>2</v>
          </cell>
          <cell r="E874">
            <v>0</v>
          </cell>
          <cell r="F874">
            <v>2</v>
          </cell>
        </row>
        <row r="875">
          <cell r="B875">
            <v>40035545</v>
          </cell>
          <cell r="C875" t="str">
            <v>CinShavingCrm LimeFrshFlipT78gP72-EXP CC</v>
          </cell>
          <cell r="D875">
            <v>2</v>
          </cell>
          <cell r="E875">
            <v>0</v>
          </cell>
          <cell r="F875">
            <v>2</v>
          </cell>
        </row>
        <row r="876">
          <cell r="B876">
            <v>40041730</v>
          </cell>
          <cell r="C876" t="str">
            <v>PA SigColl Discover 116 gmP72w/o MRP-EXP</v>
          </cell>
          <cell r="D876">
            <v>2</v>
          </cell>
          <cell r="E876">
            <v>0</v>
          </cell>
          <cell r="F876">
            <v>2</v>
          </cell>
        </row>
        <row r="877">
          <cell r="B877">
            <v>40050246</v>
          </cell>
          <cell r="C877" t="str">
            <v>PA GM AER 150ML M225 P24GCPL</v>
          </cell>
          <cell r="D877">
            <v>1.99966666666667</v>
          </cell>
          <cell r="E877">
            <v>0</v>
          </cell>
          <cell r="F877">
            <v>1.99966666666667</v>
          </cell>
        </row>
        <row r="878">
          <cell r="B878">
            <v>40039876</v>
          </cell>
          <cell r="C878" t="str">
            <v>KS12's Ice Cream  DubaiP4320</v>
          </cell>
          <cell r="D878">
            <v>1.9722222222222201</v>
          </cell>
          <cell r="E878">
            <v>0</v>
          </cell>
          <cell r="F878">
            <v>1.9722222222222201</v>
          </cell>
        </row>
        <row r="879">
          <cell r="B879">
            <v>40039875</v>
          </cell>
          <cell r="C879" t="str">
            <v>KS12's Flared  DubaiP4320</v>
          </cell>
          <cell r="D879">
            <v>1.9666666666666699</v>
          </cell>
          <cell r="E879">
            <v>0</v>
          </cell>
          <cell r="F879">
            <v>1.9666666666666699</v>
          </cell>
        </row>
        <row r="880">
          <cell r="B880">
            <v>40056535</v>
          </cell>
          <cell r="C880" t="str">
            <v>PA SAVANNA FRESH 120ML M349 P24 GCPL</v>
          </cell>
          <cell r="D880">
            <v>1.9583333333333299</v>
          </cell>
          <cell r="E880">
            <v>0</v>
          </cell>
          <cell r="F880">
            <v>1.9583333333333299</v>
          </cell>
        </row>
        <row r="881">
          <cell r="B881">
            <v>40039879</v>
          </cell>
          <cell r="C881" t="str">
            <v>KS12's Intensity  DubaiP4320</v>
          </cell>
          <cell r="D881">
            <v>1.92777777777778</v>
          </cell>
          <cell r="E881">
            <v>0</v>
          </cell>
          <cell r="F881">
            <v>1.92777777777778</v>
          </cell>
        </row>
        <row r="882">
          <cell r="B882">
            <v>40039874</v>
          </cell>
          <cell r="C882" t="str">
            <v>KS12's Plain  DubaiP4320</v>
          </cell>
          <cell r="D882">
            <v>1.92777777777778</v>
          </cell>
          <cell r="E882">
            <v>0</v>
          </cell>
          <cell r="F882">
            <v>1.92777777777778</v>
          </cell>
        </row>
        <row r="883">
          <cell r="B883">
            <v>40042584</v>
          </cell>
          <cell r="C883" t="str">
            <v>KS Spark Deo 150ml P48 w/O-trico-EXP</v>
          </cell>
          <cell r="D883">
            <v>1.8958333333333299</v>
          </cell>
          <cell r="E883">
            <v>0</v>
          </cell>
          <cell r="F883">
            <v>1.8958333333333299</v>
          </cell>
        </row>
        <row r="884">
          <cell r="B884">
            <v>40039883</v>
          </cell>
          <cell r="C884" t="str">
            <v>KS12's Xtra Large  DubaiP4320</v>
          </cell>
          <cell r="D884">
            <v>1.8370185185185199</v>
          </cell>
          <cell r="E884">
            <v>0</v>
          </cell>
          <cell r="F884">
            <v>1.8370185185185199</v>
          </cell>
        </row>
        <row r="885">
          <cell r="B885">
            <v>40042668</v>
          </cell>
          <cell r="C885" t="str">
            <v>KS Rush Deo 150ml P48 W/O-trico - EXP</v>
          </cell>
          <cell r="D885">
            <v>1.8333333333333299</v>
          </cell>
          <cell r="E885">
            <v>0</v>
          </cell>
          <cell r="F885">
            <v>1.8333333333333299</v>
          </cell>
        </row>
        <row r="886">
          <cell r="B886">
            <v>40062022</v>
          </cell>
          <cell r="C886" t="str">
            <v>GODREJ XPRSS SHC 5+5ML P360 M15 NBLCK ND</v>
          </cell>
          <cell r="D886">
            <v>1.5277777777777799</v>
          </cell>
          <cell r="E886">
            <v>0</v>
          </cell>
          <cell r="F886">
            <v>1.5277777777777799</v>
          </cell>
        </row>
        <row r="887">
          <cell r="B887">
            <v>40064227</v>
          </cell>
          <cell r="C887" t="str">
            <v>PA EDP 4X20ML GIFT SET M849 P24_LIQ</v>
          </cell>
          <cell r="D887">
            <v>1.0416666666666701</v>
          </cell>
          <cell r="E887">
            <v>0</v>
          </cell>
          <cell r="F887">
            <v>1.0416666666666701</v>
          </cell>
        </row>
        <row r="888">
          <cell r="B888">
            <v>40050696</v>
          </cell>
          <cell r="C888" t="str">
            <v>*PA SOAP  LUXURY 125G M 80.00 P108 GCPL</v>
          </cell>
          <cell r="D888">
            <v>1.0086666666666699</v>
          </cell>
          <cell r="E888">
            <v>0</v>
          </cell>
          <cell r="F888">
            <v>1.0086666666666699</v>
          </cell>
        </row>
        <row r="889">
          <cell r="B889">
            <v>40042187</v>
          </cell>
          <cell r="C889" t="str">
            <v>KS12'S DOTTED DESIR MRP 120P480</v>
          </cell>
          <cell r="D889">
            <v>1.0009999999999999</v>
          </cell>
          <cell r="E889">
            <v>0</v>
          </cell>
          <cell r="F889">
            <v>1.0009999999999999</v>
          </cell>
        </row>
        <row r="890">
          <cell r="B890">
            <v>40062452</v>
          </cell>
          <cell r="C890" t="str">
            <v>NUPUR PURE HENNA 500G M200 P24 GT NEW</v>
          </cell>
          <cell r="D890">
            <v>1.00033333333333</v>
          </cell>
          <cell r="E890">
            <v>0</v>
          </cell>
          <cell r="F890">
            <v>1.00033333333333</v>
          </cell>
        </row>
        <row r="891">
          <cell r="B891">
            <v>40043533</v>
          </cell>
          <cell r="C891" t="str">
            <v>GENTEEL 500Gm+500Gm MRP175 P12 CSD</v>
          </cell>
          <cell r="D891">
            <v>1</v>
          </cell>
          <cell r="E891">
            <v>0</v>
          </cell>
          <cell r="F891">
            <v>1</v>
          </cell>
        </row>
        <row r="892">
          <cell r="B892">
            <v>40064899</v>
          </cell>
          <cell r="C892" t="str">
            <v>CIN LIME100G PO5P36 M185 BANDED MT RSTRD</v>
          </cell>
          <cell r="D892">
            <v>1</v>
          </cell>
          <cell r="E892">
            <v>0</v>
          </cell>
          <cell r="F892">
            <v>1</v>
          </cell>
        </row>
        <row r="893">
          <cell r="B893">
            <v>40041774</v>
          </cell>
          <cell r="C893" t="str">
            <v>*No1KesarMC150gB3G1M175P24-MTFreeSku</v>
          </cell>
          <cell r="D893">
            <v>1</v>
          </cell>
          <cell r="E893">
            <v>0</v>
          </cell>
          <cell r="F893">
            <v>1</v>
          </cell>
        </row>
        <row r="894">
          <cell r="B894">
            <v>40057665</v>
          </cell>
          <cell r="C894" t="str">
            <v>GPCP6.66BLND INTENSE RED M370 70G P24</v>
          </cell>
          <cell r="D894">
            <v>1</v>
          </cell>
          <cell r="E894">
            <v>0</v>
          </cell>
          <cell r="F894">
            <v>1</v>
          </cell>
        </row>
        <row r="895">
          <cell r="B895">
            <v>40059612</v>
          </cell>
          <cell r="C895" t="str">
            <v>GPPROBIOKERTNREVIVMSK 500GM M1000 P6</v>
          </cell>
          <cell r="D895">
            <v>1</v>
          </cell>
          <cell r="E895">
            <v>0</v>
          </cell>
          <cell r="F895">
            <v>1</v>
          </cell>
        </row>
        <row r="896">
          <cell r="B896">
            <v>40050090</v>
          </cell>
          <cell r="C896" t="str">
            <v>GP KeratinRepairMask 200gm MRP1200 PS12</v>
          </cell>
          <cell r="D896">
            <v>1</v>
          </cell>
          <cell r="E896">
            <v>0</v>
          </cell>
          <cell r="F896">
            <v>1</v>
          </cell>
        </row>
        <row r="897">
          <cell r="B897">
            <v>40037446</v>
          </cell>
          <cell r="C897" t="str">
            <v>GP NoAmo Shade 8 70g M370 P24</v>
          </cell>
          <cell r="D897">
            <v>1</v>
          </cell>
          <cell r="E897">
            <v>0</v>
          </cell>
          <cell r="F897">
            <v>1</v>
          </cell>
        </row>
        <row r="898">
          <cell r="B898">
            <v>40041319</v>
          </cell>
          <cell r="C898" t="str">
            <v>GP Dimension Shade 4G M410 70g P24</v>
          </cell>
          <cell r="D898">
            <v>1</v>
          </cell>
          <cell r="E898">
            <v>0</v>
          </cell>
          <cell r="F898">
            <v>1</v>
          </cell>
        </row>
        <row r="899">
          <cell r="B899">
            <v>40041343</v>
          </cell>
          <cell r="C899" t="str">
            <v>GP Dimension Shade 5.62 M410 70g P24</v>
          </cell>
          <cell r="D899">
            <v>1</v>
          </cell>
          <cell r="E899">
            <v>0</v>
          </cell>
          <cell r="F899">
            <v>1</v>
          </cell>
        </row>
        <row r="900">
          <cell r="B900">
            <v>40041321</v>
          </cell>
          <cell r="C900" t="str">
            <v>GP Dimension Shade 6.52 M410 70g P24</v>
          </cell>
          <cell r="D900">
            <v>1</v>
          </cell>
          <cell r="E900">
            <v>0</v>
          </cell>
          <cell r="F900">
            <v>1</v>
          </cell>
        </row>
        <row r="901">
          <cell r="B901">
            <v>40041344</v>
          </cell>
          <cell r="C901" t="str">
            <v>GP Dimension Shade 6.62 M410 70g P24</v>
          </cell>
          <cell r="D901">
            <v>1</v>
          </cell>
          <cell r="E901">
            <v>0</v>
          </cell>
          <cell r="F901">
            <v>1</v>
          </cell>
        </row>
        <row r="902">
          <cell r="B902">
            <v>40061856</v>
          </cell>
          <cell r="C902" t="str">
            <v>KS RUSH AER 220ML M370 P18-LIQ</v>
          </cell>
          <cell r="D902">
            <v>1</v>
          </cell>
          <cell r="E902">
            <v>0</v>
          </cell>
          <cell r="F902">
            <v>1</v>
          </cell>
        </row>
        <row r="903">
          <cell r="B903">
            <v>40064658</v>
          </cell>
          <cell r="C903" t="str">
            <v>NUPUR PURE HENNA 200G P72 NEW THAILAND</v>
          </cell>
          <cell r="D903">
            <v>1</v>
          </cell>
          <cell r="E903">
            <v>0</v>
          </cell>
          <cell r="F903">
            <v>1</v>
          </cell>
        </row>
        <row r="904">
          <cell r="B904">
            <v>40044155</v>
          </cell>
          <cell r="C904" t="str">
            <v>GK Agarbatti M144 P24</v>
          </cell>
          <cell r="D904">
            <v>1</v>
          </cell>
          <cell r="E904">
            <v>0</v>
          </cell>
          <cell r="F904">
            <v>1</v>
          </cell>
        </row>
        <row r="905">
          <cell r="B905">
            <v>40050342</v>
          </cell>
          <cell r="C905" t="str">
            <v>HIT FIK MATIC M650.00 P6</v>
          </cell>
          <cell r="D905">
            <v>1</v>
          </cell>
          <cell r="E905">
            <v>0</v>
          </cell>
          <cell r="F905">
            <v>1</v>
          </cell>
        </row>
        <row r="906">
          <cell r="B906">
            <v>40063152</v>
          </cell>
          <cell r="C906" t="str">
            <v>GK ACT+ REFILL P30 TFT 1.6% ARGENTINA</v>
          </cell>
          <cell r="D906">
            <v>1</v>
          </cell>
          <cell r="E906">
            <v>0</v>
          </cell>
          <cell r="F906">
            <v>1</v>
          </cell>
        </row>
        <row r="907">
          <cell r="B907">
            <v>40020761</v>
          </cell>
          <cell r="C907" t="str">
            <v>GK SUPER MATS  30 NEW A/W-Suriname</v>
          </cell>
          <cell r="D907">
            <v>1</v>
          </cell>
          <cell r="E907">
            <v>0</v>
          </cell>
          <cell r="F907">
            <v>1</v>
          </cell>
        </row>
        <row r="908">
          <cell r="B908">
            <v>40065705</v>
          </cell>
          <cell r="C908" t="str">
            <v>GODPROTEKMAGHW99.9%LIMEREF9G P360NIGERIA</v>
          </cell>
          <cell r="D908">
            <v>1</v>
          </cell>
          <cell r="E908">
            <v>0</v>
          </cell>
          <cell r="F908">
            <v>1</v>
          </cell>
        </row>
        <row r="909">
          <cell r="B909">
            <v>40065701</v>
          </cell>
          <cell r="C909" t="str">
            <v>GODPROTEKTMAGICHW NEEMREF 9GP360 NIGERIA</v>
          </cell>
          <cell r="D909">
            <v>1</v>
          </cell>
          <cell r="E909">
            <v>0</v>
          </cell>
          <cell r="F909">
            <v>1</v>
          </cell>
        </row>
        <row r="910">
          <cell r="B910">
            <v>40043461</v>
          </cell>
          <cell r="C910" t="str">
            <v>PA REGAL 4X 130 ML M299 P18 GCPL</v>
          </cell>
          <cell r="D910">
            <v>1</v>
          </cell>
          <cell r="E910">
            <v>0</v>
          </cell>
          <cell r="F910">
            <v>1</v>
          </cell>
        </row>
        <row r="911">
          <cell r="B911">
            <v>40041723</v>
          </cell>
          <cell r="C911" t="str">
            <v>KS SPARK MEGA 220ML M370 P72 GCPL</v>
          </cell>
          <cell r="D911">
            <v>1</v>
          </cell>
          <cell r="E911">
            <v>0</v>
          </cell>
          <cell r="F911">
            <v>1</v>
          </cell>
        </row>
        <row r="912">
          <cell r="B912">
            <v>40056930</v>
          </cell>
          <cell r="C912" t="str">
            <v>KS URGE 150ML M99P24 ACCESS PACK TN</v>
          </cell>
          <cell r="D912">
            <v>1</v>
          </cell>
          <cell r="E912">
            <v>0</v>
          </cell>
          <cell r="F912">
            <v>1</v>
          </cell>
        </row>
        <row r="913">
          <cell r="B913">
            <v>40041597</v>
          </cell>
          <cell r="C913" t="str">
            <v>PA CoolBlue Mega 220ml M360 P/SP72 GCPL</v>
          </cell>
          <cell r="D913">
            <v>1</v>
          </cell>
          <cell r="E913">
            <v>0</v>
          </cell>
          <cell r="F913">
            <v>1</v>
          </cell>
        </row>
        <row r="914">
          <cell r="B914">
            <v>40043124</v>
          </cell>
          <cell r="C914" t="str">
            <v>PA 2GM 1STORM AER 150ML M450 P8 GCPL</v>
          </cell>
          <cell r="D914">
            <v>1</v>
          </cell>
          <cell r="E914">
            <v>0</v>
          </cell>
          <cell r="F914">
            <v>1</v>
          </cell>
        </row>
        <row r="915">
          <cell r="B915">
            <v>40064101</v>
          </cell>
          <cell r="C915" t="str">
            <v>PA VOYAGE FS 190ML M299 P72</v>
          </cell>
          <cell r="D915">
            <v>1</v>
          </cell>
          <cell r="E915">
            <v>0</v>
          </cell>
          <cell r="F915">
            <v>1</v>
          </cell>
        </row>
        <row r="916">
          <cell r="B916">
            <v>40062830</v>
          </cell>
          <cell r="C916" t="str">
            <v>PA EDP EUPHORIA PO2 100ML*2 M1599 P3</v>
          </cell>
          <cell r="D916">
            <v>1</v>
          </cell>
          <cell r="E916">
            <v>0</v>
          </cell>
          <cell r="F916">
            <v>1</v>
          </cell>
        </row>
        <row r="917">
          <cell r="B917">
            <v>40056616</v>
          </cell>
          <cell r="C917" t="str">
            <v>PA EDP EUPHORIA 100ML G M799 P6 - MT</v>
          </cell>
          <cell r="D917">
            <v>1</v>
          </cell>
          <cell r="E917">
            <v>0</v>
          </cell>
          <cell r="F917">
            <v>1</v>
          </cell>
        </row>
        <row r="918">
          <cell r="B918">
            <v>40062391</v>
          </cell>
          <cell r="C918" t="str">
            <v>PA FEDP 2X20ML ALLURE+GRACE M799 P24</v>
          </cell>
          <cell r="D918">
            <v>1</v>
          </cell>
          <cell r="E918">
            <v>0</v>
          </cell>
          <cell r="F918">
            <v>1</v>
          </cell>
        </row>
        <row r="919">
          <cell r="B919">
            <v>40056903</v>
          </cell>
          <cell r="C919" t="str">
            <v>PA EDP HARMONY 100ML G M799 P6 MT</v>
          </cell>
          <cell r="D919">
            <v>1</v>
          </cell>
          <cell r="E919">
            <v>0</v>
          </cell>
          <cell r="F919">
            <v>1</v>
          </cell>
        </row>
        <row r="920">
          <cell r="B920">
            <v>40059421</v>
          </cell>
          <cell r="C920" t="str">
            <v>PA EDP HARMONY 100ML(3+1)GT TSTR M599 P6</v>
          </cell>
          <cell r="D920">
            <v>1</v>
          </cell>
          <cell r="E920">
            <v>0</v>
          </cell>
          <cell r="F920">
            <v>1</v>
          </cell>
        </row>
        <row r="921">
          <cell r="B921">
            <v>40059400</v>
          </cell>
          <cell r="C921" t="str">
            <v>PA EDP SAMURAI 100ML G M399 P12</v>
          </cell>
          <cell r="D921">
            <v>1</v>
          </cell>
          <cell r="E921">
            <v>0</v>
          </cell>
          <cell r="F921">
            <v>1</v>
          </cell>
        </row>
        <row r="922">
          <cell r="B922">
            <v>40061107</v>
          </cell>
          <cell r="C922" t="str">
            <v>PA EDP EUPHORIA50ML M399P36-LIQ</v>
          </cell>
          <cell r="D922">
            <v>1</v>
          </cell>
          <cell r="E922">
            <v>0</v>
          </cell>
          <cell r="F922">
            <v>1</v>
          </cell>
        </row>
        <row r="923">
          <cell r="B923">
            <v>40061167</v>
          </cell>
          <cell r="C923" t="str">
            <v>KS SPARK AEROSOL 150ML (MRP 230)P48-LIQ</v>
          </cell>
          <cell r="D923">
            <v>1</v>
          </cell>
          <cell r="E923">
            <v>0</v>
          </cell>
          <cell r="F923">
            <v>1</v>
          </cell>
        </row>
        <row r="924">
          <cell r="B924">
            <v>40042661</v>
          </cell>
          <cell r="C924" t="str">
            <v>KS Urge Deo 150ml P48 W/O-trico - EXP</v>
          </cell>
          <cell r="D924">
            <v>1</v>
          </cell>
          <cell r="E924">
            <v>0</v>
          </cell>
          <cell r="F924">
            <v>1</v>
          </cell>
        </row>
        <row r="925">
          <cell r="B925">
            <v>40060285</v>
          </cell>
          <cell r="C925" t="str">
            <v>PA SOAP GOODMORNING125GM M70 P108 GCPL</v>
          </cell>
          <cell r="D925">
            <v>1</v>
          </cell>
          <cell r="E925">
            <v>0</v>
          </cell>
          <cell r="F925">
            <v>1</v>
          </cell>
        </row>
        <row r="926">
          <cell r="B926">
            <v>40034766</v>
          </cell>
          <cell r="C926" t="str">
            <v>Cinthol Lime Soap 100g Singles P150-THAI</v>
          </cell>
          <cell r="D926">
            <v>1</v>
          </cell>
          <cell r="E926">
            <v>0</v>
          </cell>
          <cell r="F926">
            <v>1</v>
          </cell>
        </row>
        <row r="927">
          <cell r="B927">
            <v>40044011</v>
          </cell>
          <cell r="C927" t="str">
            <v>GP NoAmo Shade 5.3570g P24 NEWW/O MRP BD</v>
          </cell>
          <cell r="D927">
            <v>1</v>
          </cell>
          <cell r="E927">
            <v>0</v>
          </cell>
          <cell r="F927">
            <v>1</v>
          </cell>
        </row>
        <row r="928">
          <cell r="B928">
            <v>40044037</v>
          </cell>
          <cell r="C928" t="str">
            <v>GP NoAmo Shade 4.56 70g  P24W/O MRP BD</v>
          </cell>
          <cell r="D928">
            <v>1</v>
          </cell>
          <cell r="E928">
            <v>0</v>
          </cell>
          <cell r="F928">
            <v>1</v>
          </cell>
        </row>
        <row r="929">
          <cell r="B929">
            <v>40044019</v>
          </cell>
          <cell r="C929" t="str">
            <v>GP NoAmo Shade 5.3 70g P24W/O MRP BD</v>
          </cell>
          <cell r="D929">
            <v>1</v>
          </cell>
          <cell r="E929">
            <v>0</v>
          </cell>
          <cell r="F929">
            <v>1</v>
          </cell>
        </row>
        <row r="930">
          <cell r="B930">
            <v>40044043</v>
          </cell>
          <cell r="C930" t="str">
            <v>GP NoAmo Shade 5G 70g  P24W/O MRP BD</v>
          </cell>
          <cell r="D930">
            <v>1</v>
          </cell>
          <cell r="E930">
            <v>0</v>
          </cell>
          <cell r="F930">
            <v>1</v>
          </cell>
        </row>
        <row r="931">
          <cell r="B931">
            <v>40044038</v>
          </cell>
          <cell r="C931" t="str">
            <v>GP NoAmo Shade 4.26 70g  P24W/O MRP BD</v>
          </cell>
          <cell r="D931">
            <v>1</v>
          </cell>
          <cell r="E931">
            <v>0</v>
          </cell>
          <cell r="F931">
            <v>1</v>
          </cell>
        </row>
        <row r="932">
          <cell r="B932">
            <v>40062330</v>
          </cell>
          <cell r="C932" t="str">
            <v>KS3'S BANANA M40P1440 SOUTH INCR NEWAW</v>
          </cell>
          <cell r="D932">
            <v>1</v>
          </cell>
          <cell r="E932">
            <v>0</v>
          </cell>
          <cell r="F932">
            <v>1</v>
          </cell>
        </row>
        <row r="933">
          <cell r="B933">
            <v>40056810</v>
          </cell>
          <cell r="C933" t="str">
            <v>KS10'S BUTTERSCOTCH PO10 FLV M100P480</v>
          </cell>
          <cell r="D933">
            <v>1</v>
          </cell>
          <cell r="E933">
            <v>0</v>
          </cell>
          <cell r="F933">
            <v>1</v>
          </cell>
        </row>
        <row r="934">
          <cell r="B934">
            <v>40042151</v>
          </cell>
          <cell r="C934" t="str">
            <v>KS3'S EXTRA DOTTED MRP 50P480</v>
          </cell>
          <cell r="D934">
            <v>1</v>
          </cell>
          <cell r="E934">
            <v>0</v>
          </cell>
          <cell r="F934">
            <v>1</v>
          </cell>
        </row>
        <row r="935">
          <cell r="B935">
            <v>40059477</v>
          </cell>
          <cell r="C935" t="str">
            <v>KS3'S SKINFEEL CHOCO M60P1440 INCR</v>
          </cell>
          <cell r="D935">
            <v>1</v>
          </cell>
          <cell r="E935">
            <v>0</v>
          </cell>
          <cell r="F935">
            <v>1</v>
          </cell>
        </row>
        <row r="936">
          <cell r="B936">
            <v>40059268</v>
          </cell>
          <cell r="C936" t="str">
            <v>KS10'S SKINFEEL STRAWBRY M180 P480</v>
          </cell>
          <cell r="D936">
            <v>1</v>
          </cell>
          <cell r="E936">
            <v>0</v>
          </cell>
          <cell r="F936">
            <v>1</v>
          </cell>
        </row>
        <row r="937">
          <cell r="B937">
            <v>40042968</v>
          </cell>
          <cell r="C937" t="str">
            <v>KS3'S LONGLAST PLEA P2160-EXP-Dubai pack</v>
          </cell>
          <cell r="D937">
            <v>1</v>
          </cell>
          <cell r="E937">
            <v>0</v>
          </cell>
          <cell r="F937">
            <v>1</v>
          </cell>
        </row>
        <row r="938">
          <cell r="B938">
            <v>40062590</v>
          </cell>
          <cell r="C938" t="str">
            <v>KS3'S LONGLAST PLEA M80 P1440 INCR NEPAL</v>
          </cell>
          <cell r="D938">
            <v>1</v>
          </cell>
          <cell r="E938">
            <v>0</v>
          </cell>
          <cell r="F938">
            <v>1</v>
          </cell>
        </row>
        <row r="939">
          <cell r="B939">
            <v>40064592</v>
          </cell>
          <cell r="C939" t="str">
            <v>KS3'S MANGO FLV M30 P1440 INCR NEWAW BD</v>
          </cell>
          <cell r="D939">
            <v>1</v>
          </cell>
          <cell r="E939">
            <v>0</v>
          </cell>
          <cell r="F939">
            <v>1</v>
          </cell>
        </row>
        <row r="940">
          <cell r="B940">
            <v>40063156</v>
          </cell>
          <cell r="C940" t="str">
            <v>KS10'S STRAWBERRY FLV P480 MRP160-NPL</v>
          </cell>
          <cell r="D940">
            <v>1</v>
          </cell>
          <cell r="E940">
            <v>0</v>
          </cell>
          <cell r="F940">
            <v>1</v>
          </cell>
        </row>
        <row r="941">
          <cell r="B941">
            <v>40041741</v>
          </cell>
          <cell r="C941" t="str">
            <v>PA REGAL 4X 130ML P36 W/O MRP-EXP</v>
          </cell>
          <cell r="D941">
            <v>1</v>
          </cell>
          <cell r="E941">
            <v>0</v>
          </cell>
          <cell r="F941">
            <v>1</v>
          </cell>
        </row>
        <row r="942">
          <cell r="B942">
            <v>40043627</v>
          </cell>
          <cell r="C942" t="str">
            <v>GodMagic RTMHW NeemRef9g M10P360 newform</v>
          </cell>
          <cell r="D942">
            <v>0.99988888888889005</v>
          </cell>
          <cell r="E942">
            <v>0</v>
          </cell>
          <cell r="F942">
            <v>0.99988888888889005</v>
          </cell>
        </row>
        <row r="943">
          <cell r="B943">
            <v>40059216</v>
          </cell>
          <cell r="C943" t="str">
            <v>PA NTRELCOL SPICETRAIL150ML M260P72 DISC</v>
          </cell>
          <cell r="D943">
            <v>0.99977777777777999</v>
          </cell>
          <cell r="E943">
            <v>0</v>
          </cell>
          <cell r="F943">
            <v>0.99977777777777999</v>
          </cell>
        </row>
        <row r="944">
          <cell r="B944">
            <v>40057518</v>
          </cell>
          <cell r="C944" t="str">
            <v>GK FABRICROLLON8ML P48 BUBLGUM W/OM GGME</v>
          </cell>
          <cell r="D944">
            <v>0.999</v>
          </cell>
          <cell r="E944">
            <v>0</v>
          </cell>
          <cell r="F944">
            <v>0.999</v>
          </cell>
        </row>
        <row r="945">
          <cell r="B945">
            <v>40039904</v>
          </cell>
          <cell r="C945" t="str">
            <v>KS 3's Wet n Wild DubaiP2160</v>
          </cell>
          <cell r="D945">
            <v>0.99583333333333002</v>
          </cell>
          <cell r="E945">
            <v>0</v>
          </cell>
          <cell r="F945">
            <v>0.99583333333333002</v>
          </cell>
        </row>
        <row r="946">
          <cell r="B946">
            <v>40041804</v>
          </cell>
          <cell r="C946" t="str">
            <v>KS3's Longlast B/P W/T Mozambique P2160</v>
          </cell>
          <cell r="D946">
            <v>0.99305555555556002</v>
          </cell>
          <cell r="E946">
            <v>0</v>
          </cell>
          <cell r="F946">
            <v>0.99305555555556002</v>
          </cell>
        </row>
        <row r="947">
          <cell r="B947">
            <v>40039890</v>
          </cell>
          <cell r="C947" t="str">
            <v>KS3's Plain  DubaiP2160</v>
          </cell>
          <cell r="D947">
            <v>0.97916666666666996</v>
          </cell>
          <cell r="E947">
            <v>0</v>
          </cell>
          <cell r="F947">
            <v>0.97916666666666996</v>
          </cell>
        </row>
        <row r="948">
          <cell r="B948">
            <v>40039921</v>
          </cell>
          <cell r="C948" t="str">
            <v>KS3's Ultrathin Dubai exportP2160</v>
          </cell>
          <cell r="D948">
            <v>0.97361111111110998</v>
          </cell>
          <cell r="E948">
            <v>0</v>
          </cell>
          <cell r="F948">
            <v>0.97361111111110998</v>
          </cell>
        </row>
        <row r="949">
          <cell r="B949">
            <v>40060243</v>
          </cell>
          <cell r="C949" t="str">
            <v>CIN ORIGINAL 100G NP SINGLE M40 P160</v>
          </cell>
          <cell r="D949">
            <v>0.96924999999999994</v>
          </cell>
          <cell r="E949">
            <v>0</v>
          </cell>
          <cell r="F949">
            <v>0.96924999999999994</v>
          </cell>
        </row>
        <row r="950">
          <cell r="B950">
            <v>40063180</v>
          </cell>
          <cell r="C950" t="str">
            <v>EXPCRM 20G+20ML+2ML BUR PO10 P240 M40 ND</v>
          </cell>
          <cell r="D950">
            <v>0.95833333333333004</v>
          </cell>
          <cell r="E950">
            <v>0</v>
          </cell>
          <cell r="F950">
            <v>0.95833333333333004</v>
          </cell>
        </row>
        <row r="951">
          <cell r="B951">
            <v>40062845</v>
          </cell>
          <cell r="C951" t="str">
            <v>HIT CIK 400ML M195 P36 0.18</v>
          </cell>
          <cell r="D951">
            <v>0.94533333333333003</v>
          </cell>
          <cell r="E951">
            <v>0</v>
          </cell>
          <cell r="F951">
            <v>0.94533333333333003</v>
          </cell>
        </row>
        <row r="952">
          <cell r="B952">
            <v>40062514</v>
          </cell>
          <cell r="C952" t="str">
            <v>CIN HEALTH+ 40G NEW M10 P216 RSTRD</v>
          </cell>
          <cell r="D952">
            <v>0.94444444444443998</v>
          </cell>
          <cell r="E952">
            <v>0</v>
          </cell>
          <cell r="F952">
            <v>0.94444444444443998</v>
          </cell>
        </row>
        <row r="953">
          <cell r="B953">
            <v>40063188</v>
          </cell>
          <cell r="C953" t="str">
            <v>NO1 LIME&amp;ALOE 43G M10P216 POLY RSTRD NF2</v>
          </cell>
          <cell r="D953">
            <v>0.94444444444443998</v>
          </cell>
          <cell r="E953">
            <v>0</v>
          </cell>
          <cell r="F953">
            <v>0.94444444444443998</v>
          </cell>
        </row>
        <row r="954">
          <cell r="B954">
            <v>40060792</v>
          </cell>
          <cell r="C954" t="str">
            <v>NO1 RSEWTR ALMND 43G PO4M40P54 RSTRD NF</v>
          </cell>
          <cell r="D954">
            <v>0.94444444444443998</v>
          </cell>
          <cell r="E954">
            <v>0</v>
          </cell>
          <cell r="F954">
            <v>0.94444444444443998</v>
          </cell>
        </row>
        <row r="955">
          <cell r="B955">
            <v>40031029</v>
          </cell>
          <cell r="C955" t="str">
            <v>AER TWIST COOL SURF BLUE (R) P15 W/O MRP</v>
          </cell>
          <cell r="D955">
            <v>0.93333333333333002</v>
          </cell>
          <cell r="E955">
            <v>0</v>
          </cell>
          <cell r="F955">
            <v>0.93333333333333002</v>
          </cell>
        </row>
        <row r="956">
          <cell r="B956">
            <v>40039873</v>
          </cell>
          <cell r="C956" t="str">
            <v>KS12's Ribbed  Dubai P4320</v>
          </cell>
          <cell r="D956">
            <v>0.92800925925926003</v>
          </cell>
          <cell r="E956">
            <v>0</v>
          </cell>
          <cell r="F956">
            <v>0.92800925925926003</v>
          </cell>
        </row>
        <row r="957">
          <cell r="B957">
            <v>40043538</v>
          </cell>
          <cell r="C957" t="str">
            <v>KS12's Dotted Dubai AW P4320-GGME</v>
          </cell>
          <cell r="D957">
            <v>0.92777777777778003</v>
          </cell>
          <cell r="E957">
            <v>0</v>
          </cell>
          <cell r="F957">
            <v>0.92777777777778003</v>
          </cell>
        </row>
        <row r="958">
          <cell r="B958">
            <v>40039882</v>
          </cell>
          <cell r="C958" t="str">
            <v>KS12's Wet n Wild  DubaiP4320</v>
          </cell>
          <cell r="D958">
            <v>0.92777777777778003</v>
          </cell>
          <cell r="E958">
            <v>0</v>
          </cell>
          <cell r="F958">
            <v>0.92777777777778003</v>
          </cell>
        </row>
        <row r="959">
          <cell r="B959">
            <v>40039884</v>
          </cell>
          <cell r="C959" t="str">
            <v>KS12's Xtra Pleasure  DubaiP4320</v>
          </cell>
          <cell r="D959">
            <v>0.92777777777778003</v>
          </cell>
          <cell r="E959">
            <v>0</v>
          </cell>
          <cell r="F959">
            <v>0.92777777777778003</v>
          </cell>
        </row>
        <row r="960">
          <cell r="B960">
            <v>40060536</v>
          </cell>
          <cell r="C960" t="str">
            <v>EZEE 900GM BT M225P12 50%PCR NFOA NEWPCK</v>
          </cell>
          <cell r="D960">
            <v>0.91666666666666996</v>
          </cell>
          <cell r="E960">
            <v>0</v>
          </cell>
          <cell r="F960">
            <v>0.91666666666666996</v>
          </cell>
        </row>
        <row r="961">
          <cell r="B961">
            <v>40059778</v>
          </cell>
          <cell r="C961" t="str">
            <v>SPIC TC M79 P24</v>
          </cell>
          <cell r="D961">
            <v>0.91666666666666996</v>
          </cell>
          <cell r="E961">
            <v>0</v>
          </cell>
          <cell r="F961">
            <v>0.91666666666666996</v>
          </cell>
        </row>
        <row r="962">
          <cell r="B962">
            <v>40057849</v>
          </cell>
          <cell r="C962" t="str">
            <v>PA EDP KNIGHT 100ML G M599 P12</v>
          </cell>
          <cell r="D962">
            <v>0.91666666666666996</v>
          </cell>
          <cell r="E962">
            <v>0</v>
          </cell>
          <cell r="F962">
            <v>0.91666666666666996</v>
          </cell>
        </row>
        <row r="963">
          <cell r="B963">
            <v>40039878</v>
          </cell>
          <cell r="C963" t="str">
            <v>KS12's Superthin  DubaiP4320</v>
          </cell>
          <cell r="D963">
            <v>0.91666666666666996</v>
          </cell>
          <cell r="E963">
            <v>0</v>
          </cell>
          <cell r="F963">
            <v>0.91666666666666996</v>
          </cell>
        </row>
        <row r="964">
          <cell r="B964">
            <v>40034721</v>
          </cell>
          <cell r="C964" t="str">
            <v>Cin Cool 100gm Singls P150 NewShape-THAI</v>
          </cell>
          <cell r="D964">
            <v>0.90666666666666995</v>
          </cell>
          <cell r="E964">
            <v>0</v>
          </cell>
          <cell r="F964">
            <v>0.90666666666666995</v>
          </cell>
        </row>
        <row r="965">
          <cell r="B965">
            <v>40063446</v>
          </cell>
          <cell r="C965" t="str">
            <v>GK FLASHREFILL 45ML M90P240 RNF PCR ROI</v>
          </cell>
          <cell r="D965">
            <v>0.9</v>
          </cell>
          <cell r="E965">
            <v>0</v>
          </cell>
          <cell r="F965">
            <v>0.9</v>
          </cell>
        </row>
        <row r="966">
          <cell r="B966">
            <v>40043918</v>
          </cell>
          <cell r="C966" t="str">
            <v>GodMag HW NeemRef PO5 45gM49P72MTnewform</v>
          </cell>
          <cell r="D966">
            <v>0.88966666666667005</v>
          </cell>
          <cell r="E966">
            <v>0</v>
          </cell>
          <cell r="F966">
            <v>0.88966666666667005</v>
          </cell>
        </row>
        <row r="967">
          <cell r="B967">
            <v>40060343</v>
          </cell>
          <cell r="C967" t="str">
            <v>FRESHGLOW 100G PO4 M155 P36 NEW</v>
          </cell>
          <cell r="D967">
            <v>0.88888888888888995</v>
          </cell>
          <cell r="E967">
            <v>0</v>
          </cell>
          <cell r="F967">
            <v>0.88888888888888995</v>
          </cell>
        </row>
        <row r="968">
          <cell r="B968">
            <v>40061879</v>
          </cell>
          <cell r="C968" t="str">
            <v>FRESHGLOW 100G PO4 M160 P36 NEW</v>
          </cell>
          <cell r="D968">
            <v>0.88888888888888995</v>
          </cell>
          <cell r="E968">
            <v>0</v>
          </cell>
          <cell r="F968">
            <v>0.88888888888888995</v>
          </cell>
        </row>
        <row r="969">
          <cell r="B969">
            <v>40041399</v>
          </cell>
          <cell r="C969" t="str">
            <v>*No1 Lime &amp; AV 47g PO5 M40 P54 N</v>
          </cell>
          <cell r="D969">
            <v>0.85148148148147995</v>
          </cell>
          <cell r="E969">
            <v>0</v>
          </cell>
          <cell r="F969">
            <v>0.85148148148147995</v>
          </cell>
        </row>
        <row r="970">
          <cell r="B970">
            <v>40042638</v>
          </cell>
          <cell r="C970" t="str">
            <v>PA CoolBlue Aersol150ml-P72W/O-trico-EXP</v>
          </cell>
          <cell r="D970">
            <v>0.84722222222221999</v>
          </cell>
          <cell r="E970">
            <v>0</v>
          </cell>
          <cell r="F970">
            <v>0.84722222222221999</v>
          </cell>
        </row>
        <row r="971">
          <cell r="B971">
            <v>40056350</v>
          </cell>
          <cell r="C971" t="str">
            <v>*CIN LIME 100G B4G1 M170 P36 GT(ROI))</v>
          </cell>
          <cell r="D971">
            <v>0.83333333333333004</v>
          </cell>
          <cell r="E971">
            <v>0</v>
          </cell>
          <cell r="F971">
            <v>0.83333333333333004</v>
          </cell>
        </row>
        <row r="972">
          <cell r="B972">
            <v>40065289</v>
          </cell>
          <cell r="C972" t="str">
            <v>GODREJ FAB 2KG MT POUCH P6M265 NF</v>
          </cell>
          <cell r="D972">
            <v>0.83333333333333004</v>
          </cell>
          <cell r="E972">
            <v>0</v>
          </cell>
          <cell r="F972">
            <v>0.83333333333333004</v>
          </cell>
        </row>
        <row r="973">
          <cell r="B973">
            <v>40060662</v>
          </cell>
          <cell r="C973" t="str">
            <v>GODREJ FAB 950ML POUCH P12 NF EXP CC</v>
          </cell>
          <cell r="D973">
            <v>0.83333333333333004</v>
          </cell>
          <cell r="E973">
            <v>0</v>
          </cell>
          <cell r="F973">
            <v>0.83333333333333004</v>
          </cell>
        </row>
        <row r="974">
          <cell r="B974">
            <v>40042597</v>
          </cell>
          <cell r="C974" t="str">
            <v>PA Storm Aerosol 150ml P72 W/O-trico-EXP</v>
          </cell>
          <cell r="D974">
            <v>0.83333333333333004</v>
          </cell>
          <cell r="E974">
            <v>0</v>
          </cell>
          <cell r="F974">
            <v>0.83333333333333004</v>
          </cell>
        </row>
        <row r="975">
          <cell r="B975">
            <v>40034722</v>
          </cell>
          <cell r="C975" t="str">
            <v>Cin Health+ 100g Singles P150 - THAI</v>
          </cell>
          <cell r="D975">
            <v>0.82666666666666999</v>
          </cell>
          <cell r="E975">
            <v>0</v>
          </cell>
          <cell r="F975">
            <v>0.82666666666666999</v>
          </cell>
        </row>
        <row r="976">
          <cell r="B976">
            <v>40042596</v>
          </cell>
          <cell r="C976" t="str">
            <v>PA GM Aerosol 150 ml P72-W/O-trico-EXP</v>
          </cell>
          <cell r="D976">
            <v>0.81944444444443998</v>
          </cell>
          <cell r="E976">
            <v>0</v>
          </cell>
          <cell r="F976">
            <v>0.81944444444443998</v>
          </cell>
        </row>
        <row r="977">
          <cell r="B977">
            <v>40034063</v>
          </cell>
          <cell r="C977" t="str">
            <v>HIT CHALKS P360 - GCC</v>
          </cell>
          <cell r="D977">
            <v>0.78611111111110998</v>
          </cell>
          <cell r="E977">
            <v>0</v>
          </cell>
          <cell r="F977">
            <v>0.78611111111110998</v>
          </cell>
        </row>
        <row r="978">
          <cell r="B978">
            <v>40042640</v>
          </cell>
          <cell r="C978" t="str">
            <v>PA Neo Aerosol 150 ml- P72 w/o-trico-EXP</v>
          </cell>
          <cell r="D978">
            <v>0.76388888888888995</v>
          </cell>
          <cell r="E978">
            <v>0</v>
          </cell>
          <cell r="F978">
            <v>0.76388888888888995</v>
          </cell>
        </row>
        <row r="979">
          <cell r="B979">
            <v>40061004</v>
          </cell>
          <cell r="C979" t="str">
            <v>CINTHOL ORIGINL SOAP 100G B3G1F P36  EXP</v>
          </cell>
          <cell r="D979">
            <v>0.76388888888888995</v>
          </cell>
          <cell r="E979">
            <v>0</v>
          </cell>
          <cell r="F979">
            <v>0.76388888888888995</v>
          </cell>
        </row>
        <row r="980">
          <cell r="B980">
            <v>40063473</v>
          </cell>
          <cell r="C980" t="str">
            <v>GK REFACTIV+PO4 M360P60 RNF NEW ART PCR</v>
          </cell>
          <cell r="D980">
            <v>0.75</v>
          </cell>
          <cell r="E980">
            <v>0</v>
          </cell>
          <cell r="F980">
            <v>0.75</v>
          </cell>
        </row>
        <row r="981">
          <cell r="B981">
            <v>40060185</v>
          </cell>
          <cell r="C981" t="str">
            <v>PA EDP ETERNITY 100ML G M399 P12</v>
          </cell>
          <cell r="D981">
            <v>0.75</v>
          </cell>
          <cell r="E981">
            <v>0</v>
          </cell>
          <cell r="F981">
            <v>0.75</v>
          </cell>
        </row>
        <row r="982">
          <cell r="B982">
            <v>40063445</v>
          </cell>
          <cell r="C982" t="str">
            <v>NO1LIM&amp;ALO 100GP5 M115 P36 ND RSTRD NF</v>
          </cell>
          <cell r="D982">
            <v>0.72222222222221999</v>
          </cell>
          <cell r="E982">
            <v>0</v>
          </cell>
          <cell r="F982">
            <v>0.72222222222221999</v>
          </cell>
        </row>
        <row r="983">
          <cell r="B983">
            <v>40060252</v>
          </cell>
          <cell r="C983" t="str">
            <v>CIN LIME 100G SINGLES M40 P150 NEW</v>
          </cell>
          <cell r="D983">
            <v>0.72</v>
          </cell>
          <cell r="E983">
            <v>0</v>
          </cell>
          <cell r="F983">
            <v>0.72</v>
          </cell>
        </row>
        <row r="984">
          <cell r="B984">
            <v>40050878</v>
          </cell>
          <cell r="C984" t="str">
            <v>AER PO3 PCKET BATHFRAG ASSRT M195P36 CSD</v>
          </cell>
          <cell r="D984">
            <v>0.69444444444443998</v>
          </cell>
          <cell r="E984">
            <v>0</v>
          </cell>
          <cell r="F984">
            <v>0.69444444444443998</v>
          </cell>
        </row>
        <row r="985">
          <cell r="B985">
            <v>40061514</v>
          </cell>
          <cell r="C985" t="str">
            <v>AERPWRPOCKTJASFLORDELI10G P120 EXP CC NF</v>
          </cell>
          <cell r="D985">
            <v>0.67500000000000004</v>
          </cell>
          <cell r="E985">
            <v>0</v>
          </cell>
          <cell r="F985">
            <v>0.67500000000000004</v>
          </cell>
        </row>
        <row r="986">
          <cell r="B986">
            <v>40063568</v>
          </cell>
          <cell r="C986" t="str">
            <v>FAB FRONT LOAD 4LTR NEW AW P3 M599</v>
          </cell>
          <cell r="D986">
            <v>0.66666666666666996</v>
          </cell>
          <cell r="E986">
            <v>0</v>
          </cell>
          <cell r="F986">
            <v>0.66666666666666996</v>
          </cell>
        </row>
        <row r="987">
          <cell r="B987">
            <v>40063969</v>
          </cell>
          <cell r="C987" t="str">
            <v>PA GD MRNG GROOMING KIT M849P6 POLY</v>
          </cell>
          <cell r="D987">
            <v>0.66666666666666996</v>
          </cell>
          <cell r="E987">
            <v>0</v>
          </cell>
          <cell r="F987">
            <v>0.66666666666666996</v>
          </cell>
        </row>
        <row r="988">
          <cell r="B988">
            <v>40000779</v>
          </cell>
          <cell r="C988" t="str">
            <v>GK CHAMPION COIL 8HR Pk60 -EXP</v>
          </cell>
          <cell r="D988">
            <v>0.65</v>
          </cell>
          <cell r="E988">
            <v>0</v>
          </cell>
          <cell r="F988">
            <v>0.65</v>
          </cell>
        </row>
        <row r="989">
          <cell r="B989">
            <v>40001488</v>
          </cell>
          <cell r="C989" t="str">
            <v xml:space="preserve"> NO.1 LIME ALOVERA 115G PK72  EXPORT</v>
          </cell>
          <cell r="D989">
            <v>0.61111111111111005</v>
          </cell>
          <cell r="E989">
            <v>0</v>
          </cell>
          <cell r="F989">
            <v>0.61111111111111005</v>
          </cell>
        </row>
        <row r="990">
          <cell r="B990">
            <v>40063494</v>
          </cell>
          <cell r="C990" t="str">
            <v>GK FLASH COMBI M110 P60 RNF PCB ROI</v>
          </cell>
          <cell r="D990">
            <v>0.6</v>
          </cell>
          <cell r="E990">
            <v>0</v>
          </cell>
          <cell r="F990">
            <v>0.6</v>
          </cell>
        </row>
        <row r="991">
          <cell r="B991">
            <v>40042593</v>
          </cell>
          <cell r="C991" t="str">
            <v>PA Voyage Aerosol150ml P72 w/o-trico-EXP</v>
          </cell>
          <cell r="D991">
            <v>0.51388888888888995</v>
          </cell>
          <cell r="E991">
            <v>0</v>
          </cell>
          <cell r="F991">
            <v>0.51388888888888995</v>
          </cell>
        </row>
        <row r="992">
          <cell r="B992">
            <v>40031309</v>
          </cell>
          <cell r="C992" t="str">
            <v>Abha Henna(Brown) 24x6x10gm-Qatar-EXP</v>
          </cell>
          <cell r="D992">
            <v>0.5</v>
          </cell>
          <cell r="E992">
            <v>0</v>
          </cell>
          <cell r="F992">
            <v>0.5</v>
          </cell>
        </row>
        <row r="993">
          <cell r="B993">
            <v>40059461</v>
          </cell>
          <cell r="C993" t="str">
            <v>PA 9IN1 ULTIMATE GR. KIT M1699P8 POLY</v>
          </cell>
          <cell r="D993">
            <v>0.5</v>
          </cell>
          <cell r="E993">
            <v>0</v>
          </cell>
          <cell r="F993">
            <v>0.5</v>
          </cell>
        </row>
        <row r="994">
          <cell r="B994">
            <v>40038941</v>
          </cell>
          <cell r="C994" t="str">
            <v>Godrej SelfieSHC 9ml+9ml P144 M25 NBlck</v>
          </cell>
          <cell r="D994">
            <v>0.45833333333332998</v>
          </cell>
          <cell r="E994">
            <v>0</v>
          </cell>
          <cell r="F994">
            <v>0.45833333333332998</v>
          </cell>
        </row>
        <row r="995">
          <cell r="B995">
            <v>40063603</v>
          </cell>
          <cell r="C995" t="str">
            <v>KS SPARK MEGA 190ML M299 P72 NFR</v>
          </cell>
          <cell r="D995">
            <v>0.44400000000000001</v>
          </cell>
          <cell r="E995">
            <v>0</v>
          </cell>
          <cell r="F995">
            <v>0.44400000000000001</v>
          </cell>
        </row>
        <row r="996">
          <cell r="B996">
            <v>40057536</v>
          </cell>
          <cell r="C996" t="str">
            <v>PA EDP 4X20ML WIN GFT SET M849P12</v>
          </cell>
          <cell r="D996">
            <v>0.41666666666667002</v>
          </cell>
          <cell r="E996">
            <v>0</v>
          </cell>
          <cell r="F996">
            <v>0.41666666666667002</v>
          </cell>
        </row>
        <row r="997">
          <cell r="B997">
            <v>40063954</v>
          </cell>
          <cell r="C997" t="str">
            <v>GODREJ FAB 4 KG MT POUCH M499 P3</v>
          </cell>
          <cell r="D997">
            <v>0.33366666666667</v>
          </cell>
          <cell r="E997">
            <v>0</v>
          </cell>
          <cell r="F997">
            <v>0.33366666666667</v>
          </cell>
        </row>
        <row r="998">
          <cell r="B998">
            <v>40041583</v>
          </cell>
          <cell r="C998" t="str">
            <v>AERTWIST MUSKAFTERSMOKE(RD) P15 W/O MRP</v>
          </cell>
          <cell r="D998">
            <v>0.33333333333332998</v>
          </cell>
          <cell r="E998">
            <v>0</v>
          </cell>
          <cell r="F998">
            <v>0.33333333333332998</v>
          </cell>
        </row>
        <row r="999">
          <cell r="B999">
            <v>40063447</v>
          </cell>
          <cell r="C999" t="str">
            <v>NO1JASM&amp;MC 47G PO4 M40 P54 C NDRSTRD NF2</v>
          </cell>
          <cell r="D999">
            <v>0.22222222222221999</v>
          </cell>
          <cell r="E999">
            <v>0</v>
          </cell>
          <cell r="F999">
            <v>0.22222222222221999</v>
          </cell>
        </row>
        <row r="1000">
          <cell r="B1000">
            <v>40058039</v>
          </cell>
          <cell r="C1000" t="str">
            <v>GK AGARBATTI M10(CROSS 15)P288</v>
          </cell>
          <cell r="D1000">
            <v>0.16666666666666999</v>
          </cell>
          <cell r="E1000">
            <v>0</v>
          </cell>
          <cell r="F1000">
            <v>0.16666666666666999</v>
          </cell>
        </row>
        <row r="1001">
          <cell r="B1001">
            <v>40060514</v>
          </cell>
          <cell r="C1001" t="str">
            <v>PA LUXURY GROOMING KIT M1099 P6 EDP</v>
          </cell>
          <cell r="D1001">
            <v>0.16666666666666999</v>
          </cell>
          <cell r="E1001">
            <v>0</v>
          </cell>
          <cell r="F1001">
            <v>0.16666666666666999</v>
          </cell>
        </row>
        <row r="1002">
          <cell r="B1002">
            <v>40056592</v>
          </cell>
          <cell r="C1002" t="str">
            <v>PA EDP CONQUER 100ML G M799 P6 - MT</v>
          </cell>
          <cell r="D1002">
            <v>0.16633333333333</v>
          </cell>
          <cell r="E1002">
            <v>0</v>
          </cell>
          <cell r="F1002">
            <v>0.16633333333333</v>
          </cell>
        </row>
        <row r="1003">
          <cell r="B1003">
            <v>40050134</v>
          </cell>
          <cell r="C1003" t="str">
            <v>*PA ASL GM 50ML (AUTOMIZER) G M160P18</v>
          </cell>
          <cell r="D1003">
            <v>5.5E-2</v>
          </cell>
          <cell r="E1003">
            <v>0</v>
          </cell>
          <cell r="F1003">
            <v>5.5E-2</v>
          </cell>
        </row>
        <row r="1004">
          <cell r="B1004">
            <v>40061182</v>
          </cell>
          <cell r="C1004" t="str">
            <v>PA EDP SAMURAI 100ML G M499 P24-LIQ</v>
          </cell>
          <cell r="D1004">
            <v>4.1666666666670002E-2</v>
          </cell>
          <cell r="E1004">
            <v>0</v>
          </cell>
          <cell r="F1004">
            <v>4.1666666666670002E-2</v>
          </cell>
        </row>
        <row r="1005">
          <cell r="B1005">
            <v>40035371</v>
          </cell>
          <cell r="C1005" t="str">
            <v>AER SPRAY COOL SURF BLUE 220ml M169P24</v>
          </cell>
          <cell r="D1005">
            <v>4.1333333333330002E-2</v>
          </cell>
          <cell r="E1005">
            <v>0</v>
          </cell>
          <cell r="F1005">
            <v>4.1333333333330002E-2</v>
          </cell>
        </row>
        <row r="1006">
          <cell r="B1006">
            <v>40060217</v>
          </cell>
          <cell r="C1006" t="str">
            <v>AER SPRAY JASMINEDELIGHT 200ML M99P24</v>
          </cell>
          <cell r="D1006">
            <v>4.1333333333330002E-2</v>
          </cell>
          <cell r="E1006">
            <v>0</v>
          </cell>
          <cell r="F1006">
            <v>4.1333333333330002E-2</v>
          </cell>
        </row>
        <row r="1007">
          <cell r="B1007">
            <v>40059249</v>
          </cell>
          <cell r="C1007" t="str">
            <v>KS URGE AER (PO3)150ML M230 P48 GCPL</v>
          </cell>
          <cell r="D1007">
            <v>2.0833333333330002E-2</v>
          </cell>
          <cell r="E1007">
            <v>0</v>
          </cell>
          <cell r="F1007">
            <v>2.0833333333330002E-2</v>
          </cell>
        </row>
        <row r="1008">
          <cell r="B1008">
            <v>40062532</v>
          </cell>
          <cell r="C1008" t="str">
            <v>KS URGE AER (PO3)150ML M230 P48 HIGH RM</v>
          </cell>
          <cell r="D1008">
            <v>2.0833333333330002E-2</v>
          </cell>
          <cell r="E1008">
            <v>0</v>
          </cell>
          <cell r="F1008">
            <v>2.0833333333330002E-2</v>
          </cell>
        </row>
        <row r="1009">
          <cell r="B1009">
            <v>40060887</v>
          </cell>
          <cell r="C1009" t="str">
            <v>AER PWRPCKT ROSEFRBLOSSM10G M65P120NP NF</v>
          </cell>
          <cell r="D1009">
            <v>8.3333333333300008E-3</v>
          </cell>
          <cell r="E1009">
            <v>0</v>
          </cell>
          <cell r="F1009">
            <v>8.3333333333300008E-3</v>
          </cell>
        </row>
        <row r="1010">
          <cell r="B1010">
            <v>40056208</v>
          </cell>
          <cell r="C1010" t="str">
            <v>AER POWERPOCKET SEABREEZE 10G M65P120</v>
          </cell>
          <cell r="D1010">
            <v>8.0000000000000002E-3</v>
          </cell>
          <cell r="E1010">
            <v>0</v>
          </cell>
          <cell r="F1010">
            <v>8.0000000000000002E-3</v>
          </cell>
        </row>
        <row r="1011">
          <cell r="B1011">
            <v>40050754</v>
          </cell>
          <cell r="C1011" t="str">
            <v>AER POWER POCKET JASFLORDELI 10G M65P120</v>
          </cell>
          <cell r="D1011">
            <v>7.6666666666700004E-3</v>
          </cell>
          <cell r="E1011">
            <v>0</v>
          </cell>
          <cell r="F1011">
            <v>7.6666666666700004E-3</v>
          </cell>
        </row>
        <row r="1012">
          <cell r="B1012">
            <v>40058677</v>
          </cell>
          <cell r="C1012" t="str">
            <v>EXPCRM 11G NBLK M15.00 P240</v>
          </cell>
          <cell r="D1012">
            <v>3.6666666666699999E-3</v>
          </cell>
          <cell r="E1012">
            <v>0</v>
          </cell>
          <cell r="F1012">
            <v>3.6666666666699999E-3</v>
          </cell>
        </row>
        <row r="1013">
          <cell r="B1013">
            <v>40043899</v>
          </cell>
          <cell r="C1013" t="str">
            <v>ExpCrm 20g P010 NBlk P240 M40</v>
          </cell>
          <cell r="D1013">
            <v>3.1666666666699999E-3</v>
          </cell>
          <cell r="E1013">
            <v>0</v>
          </cell>
          <cell r="F1013">
            <v>3.1666666666699999E-3</v>
          </cell>
        </row>
        <row r="1014">
          <cell r="B1014">
            <v>40043900</v>
          </cell>
          <cell r="C1014" t="str">
            <v>Expert crème Nat Bwn PO8 M40 P240-MT</v>
          </cell>
          <cell r="D1014">
            <v>2.8333333333299998E-3</v>
          </cell>
          <cell r="E1014">
            <v>0</v>
          </cell>
          <cell r="F1014">
            <v>2.8333333333299998E-3</v>
          </cell>
        </row>
        <row r="1015">
          <cell r="B1015">
            <v>40059075</v>
          </cell>
          <cell r="C1015" t="str">
            <v>KS12'S LONGLASTPLEA M150 P480 STKRD</v>
          </cell>
          <cell r="D1015">
            <v>2.6666666666699998E-3</v>
          </cell>
          <cell r="E1015">
            <v>0</v>
          </cell>
          <cell r="F1015">
            <v>2.6666666666699998E-3</v>
          </cell>
        </row>
        <row r="1016">
          <cell r="B1016">
            <v>40050287</v>
          </cell>
          <cell r="C1016" t="str">
            <v>KS20'S LONGLAST PLEAS M300 P480</v>
          </cell>
          <cell r="D1016">
            <v>2.08333333333E-3</v>
          </cell>
          <cell r="E1016">
            <v>0</v>
          </cell>
          <cell r="F1016">
            <v>2.08333333333E-3</v>
          </cell>
        </row>
        <row r="1017">
          <cell r="B1017">
            <v>40058545</v>
          </cell>
          <cell r="C1017" t="str">
            <v>KS20'S LONGLAST PLEAS M300 P480</v>
          </cell>
          <cell r="D1017">
            <v>2.08333333333E-3</v>
          </cell>
          <cell r="E1017">
            <v>0</v>
          </cell>
          <cell r="F1017">
            <v>2.08333333333E-3</v>
          </cell>
        </row>
        <row r="1018">
          <cell r="B1018">
            <v>40050298</v>
          </cell>
          <cell r="C1018" t="str">
            <v>KS3'S LONGLAST PLEA M60P480</v>
          </cell>
          <cell r="D1018">
            <v>2.08333333333E-3</v>
          </cell>
          <cell r="E1018">
            <v>0</v>
          </cell>
          <cell r="F1018">
            <v>2.08333333333E-3</v>
          </cell>
        </row>
        <row r="1019">
          <cell r="B1019">
            <v>40056961</v>
          </cell>
          <cell r="C1019" t="str">
            <v>KS3'S LONGLAST  SYNC M80 P480</v>
          </cell>
          <cell r="D1019">
            <v>2.08333333333E-3</v>
          </cell>
          <cell r="E1019">
            <v>0</v>
          </cell>
          <cell r="F1019">
            <v>2.08333333333E-3</v>
          </cell>
        </row>
        <row r="1020">
          <cell r="B1020">
            <v>40042204</v>
          </cell>
          <cell r="C1020" t="str">
            <v>KS12'S RIBBED MRP 120P480</v>
          </cell>
          <cell r="D1020">
            <v>2.08333333333E-3</v>
          </cell>
          <cell r="E1020">
            <v>0</v>
          </cell>
          <cell r="F1020">
            <v>2.08333333333E-3</v>
          </cell>
        </row>
        <row r="1021">
          <cell r="B1021">
            <v>40050308</v>
          </cell>
          <cell r="C1021" t="str">
            <v>KS10'S STRAWBERRY PLEASURE M180P480</v>
          </cell>
          <cell r="D1021">
            <v>2.08333333333E-3</v>
          </cell>
          <cell r="E1021">
            <v>0</v>
          </cell>
          <cell r="F1021">
            <v>2.08333333333E-3</v>
          </cell>
        </row>
        <row r="1022">
          <cell r="B1022">
            <v>40042183</v>
          </cell>
          <cell r="C1022" t="str">
            <v>KS3'S STRAWBERRY FLV MRP 30P480</v>
          </cell>
          <cell r="D1022">
            <v>2.08333333333E-3</v>
          </cell>
          <cell r="E1022">
            <v>0</v>
          </cell>
          <cell r="F1022">
            <v>2.08333333333E-3</v>
          </cell>
        </row>
        <row r="1023">
          <cell r="B1023">
            <v>40050300</v>
          </cell>
          <cell r="C1023" t="str">
            <v>KS20'S ULTRA DOTTED M400P480</v>
          </cell>
          <cell r="D1023">
            <v>2.08333333333E-3</v>
          </cell>
          <cell r="E1023">
            <v>0</v>
          </cell>
          <cell r="F1023">
            <v>2.08333333333E-3</v>
          </cell>
        </row>
        <row r="1024">
          <cell r="B1024">
            <v>40044149</v>
          </cell>
          <cell r="C1024" t="str">
            <v>GK Agarbatti M120 P24</v>
          </cell>
          <cell r="D1024">
            <v>1.66666666667E-3</v>
          </cell>
          <cell r="E1024">
            <v>0</v>
          </cell>
          <cell r="F1024">
            <v>1.66666666667E-3</v>
          </cell>
        </row>
        <row r="1025">
          <cell r="B1025">
            <v>40042148</v>
          </cell>
          <cell r="C1025" t="str">
            <v>KS20'S DOTTED MRP 200P480</v>
          </cell>
          <cell r="D1025">
            <v>1.66666666667E-3</v>
          </cell>
          <cell r="E1025">
            <v>0</v>
          </cell>
          <cell r="F1025">
            <v>1.66666666667E-3</v>
          </cell>
        </row>
        <row r="1026">
          <cell r="B1026">
            <v>40000963</v>
          </cell>
          <cell r="C1026" t="str">
            <v>HIT FIK 225 ML MRP 80 PS 60</v>
          </cell>
          <cell r="D1026">
            <v>1.31666666667E-3</v>
          </cell>
          <cell r="E1026">
            <v>0</v>
          </cell>
          <cell r="F1026">
            <v>1.31666666667E-3</v>
          </cell>
        </row>
        <row r="1027">
          <cell r="B1027">
            <v>40057180</v>
          </cell>
          <cell r="C1027" t="str">
            <v>KS SPARK PWSRIES 135ML M240 P48 CSD CDE</v>
          </cell>
          <cell r="D1027">
            <v>1.16666666667E-3</v>
          </cell>
          <cell r="E1027">
            <v>0</v>
          </cell>
          <cell r="F1027">
            <v>1.16666666667E-3</v>
          </cell>
        </row>
        <row r="1028">
          <cell r="B1028">
            <v>40042153</v>
          </cell>
          <cell r="C1028" t="str">
            <v>KS10'S MANGO FLV MRP 100P480</v>
          </cell>
          <cell r="D1028">
            <v>1.08333333333E-3</v>
          </cell>
          <cell r="E1028">
            <v>0</v>
          </cell>
          <cell r="F1028">
            <v>1.08333333333E-3</v>
          </cell>
        </row>
        <row r="1029">
          <cell r="B1029">
            <v>40057380</v>
          </cell>
          <cell r="C1029" t="str">
            <v>HIT CIK 200ML M105 P60 0.18MM NEW L 33%</v>
          </cell>
          <cell r="D1029">
            <v>1E-3</v>
          </cell>
          <cell r="E1029">
            <v>0</v>
          </cell>
          <cell r="F1029">
            <v>1E-3</v>
          </cell>
        </row>
        <row r="1030">
          <cell r="B1030">
            <v>40041165</v>
          </cell>
          <cell r="C1030" t="str">
            <v>KS SPARK POCKET18ML Rs70*10Hang(150)P150</v>
          </cell>
          <cell r="D1030">
            <v>1E-3</v>
          </cell>
          <cell r="E1030">
            <v>0</v>
          </cell>
          <cell r="F1030">
            <v>1E-3</v>
          </cell>
        </row>
        <row r="1031">
          <cell r="B1031">
            <v>40019245</v>
          </cell>
          <cell r="C1031" t="str">
            <v>AERPckt BathHyg Petcrushpink 10g P108M55</v>
          </cell>
          <cell r="D1031">
            <v>9.0740740740999999E-4</v>
          </cell>
          <cell r="E1031">
            <v>0</v>
          </cell>
          <cell r="F1031">
            <v>9.0740740740999999E-4</v>
          </cell>
        </row>
        <row r="1032">
          <cell r="B1032">
            <v>40036995</v>
          </cell>
          <cell r="C1032" t="str">
            <v>AERPcket BathFrag AssrtPO3 M180 P36 CSD</v>
          </cell>
          <cell r="D1032">
            <v>8.8888888889000002E-4</v>
          </cell>
          <cell r="E1032">
            <v>0</v>
          </cell>
          <cell r="F1032">
            <v>8.8888888889000002E-4</v>
          </cell>
        </row>
        <row r="1033">
          <cell r="B1033">
            <v>40039777</v>
          </cell>
          <cell r="C1033" t="str">
            <v>KS3's Orange Flv MRP 30P4320</v>
          </cell>
          <cell r="D1033">
            <v>7.8703703703999995E-4</v>
          </cell>
          <cell r="E1033">
            <v>0</v>
          </cell>
          <cell r="F1033">
            <v>7.8703703703999995E-4</v>
          </cell>
        </row>
        <row r="1034">
          <cell r="B1034">
            <v>40014224</v>
          </cell>
          <cell r="C1034" t="str">
            <v>*No1 R&amp;A100g B3G1F(NEW)M68P36-MT</v>
          </cell>
          <cell r="D1034">
            <v>7.7777777778000002E-4</v>
          </cell>
          <cell r="E1034">
            <v>0</v>
          </cell>
          <cell r="F1034">
            <v>7.7777777778000002E-4</v>
          </cell>
        </row>
        <row r="1035">
          <cell r="B1035">
            <v>40012993</v>
          </cell>
          <cell r="C1035" t="str">
            <v>ExpCreme 2-Sach NatBlk Streamer M60 P96</v>
          </cell>
          <cell r="D1035">
            <v>7.5000000000000002E-4</v>
          </cell>
          <cell r="E1035">
            <v>0</v>
          </cell>
          <cell r="F1035">
            <v>7.5000000000000002E-4</v>
          </cell>
        </row>
        <row r="1036">
          <cell r="B1036">
            <v>40059602</v>
          </cell>
          <cell r="C1036" t="str">
            <v>GODREJ FAB 950ML POUCH P12M99 NF V2</v>
          </cell>
          <cell r="D1036">
            <v>6.6666666667000002E-4</v>
          </cell>
          <cell r="E1036">
            <v>0</v>
          </cell>
          <cell r="F1036">
            <v>6.6666666667000002E-4</v>
          </cell>
        </row>
        <row r="1037">
          <cell r="B1037">
            <v>40050000</v>
          </cell>
          <cell r="C1037" t="str">
            <v>Godrej Fab 2Ltr Pouch PK6 MRP225 – NF</v>
          </cell>
          <cell r="D1037">
            <v>6.6666666667000002E-4</v>
          </cell>
          <cell r="E1037">
            <v>0</v>
          </cell>
          <cell r="F1037">
            <v>6.6666666667000002E-4</v>
          </cell>
        </row>
        <row r="1038">
          <cell r="B1038">
            <v>40056457</v>
          </cell>
          <cell r="C1038" t="str">
            <v>PA VOY SVANA FRSH 120ML M349P24 (INC RM)</v>
          </cell>
          <cell r="D1038">
            <v>6.6666666667000002E-4</v>
          </cell>
          <cell r="E1038">
            <v>0</v>
          </cell>
          <cell r="F1038">
            <v>6.6666666667000002E-4</v>
          </cell>
        </row>
        <row r="1039">
          <cell r="B1039">
            <v>40043410</v>
          </cell>
          <cell r="C1039" t="str">
            <v>PA AMAZON WOODS 10ML TESTER P216 GCPL</v>
          </cell>
          <cell r="D1039">
            <v>6.6666666667000002E-4</v>
          </cell>
          <cell r="E1039">
            <v>0</v>
          </cell>
          <cell r="F1039">
            <v>6.6666666667000002E-4</v>
          </cell>
        </row>
        <row r="1040">
          <cell r="B1040">
            <v>40056834</v>
          </cell>
          <cell r="C1040" t="str">
            <v>PA AMZNWOODS 120ML M349 P24 (3+1) TESTER</v>
          </cell>
          <cell r="D1040">
            <v>6.6666666667000002E-4</v>
          </cell>
          <cell r="E1040">
            <v>0</v>
          </cell>
          <cell r="F1040">
            <v>6.6666666667000002E-4</v>
          </cell>
        </row>
        <row r="1041">
          <cell r="B1041">
            <v>40056803</v>
          </cell>
          <cell r="C1041" t="str">
            <v>*PA SOAP PURLUXURY8X125GPO8 M640P13ECOM</v>
          </cell>
          <cell r="D1041">
            <v>4.6153846154000001E-4</v>
          </cell>
          <cell r="E1041">
            <v>0</v>
          </cell>
          <cell r="F1041">
            <v>4.6153846154000001E-4</v>
          </cell>
        </row>
        <row r="1042">
          <cell r="B1042">
            <v>40060201</v>
          </cell>
          <cell r="C1042" t="str">
            <v>NO1 LIME&amp;ALO 100G P5 M125 P36 RI RSTRD</v>
          </cell>
          <cell r="D1042">
            <v>4.4444444444E-4</v>
          </cell>
          <cell r="E1042">
            <v>0</v>
          </cell>
          <cell r="F1042">
            <v>4.4444444444E-4</v>
          </cell>
        </row>
        <row r="1043">
          <cell r="B1043">
            <v>40060208</v>
          </cell>
          <cell r="C1043" t="str">
            <v>NO1 SAN&amp; T 100G PO5 M120 P36 ROI ND</v>
          </cell>
          <cell r="D1043">
            <v>4.4444444444E-4</v>
          </cell>
          <cell r="E1043">
            <v>0</v>
          </cell>
          <cell r="F1043">
            <v>4.4444444444E-4</v>
          </cell>
        </row>
        <row r="1044">
          <cell r="B1044">
            <v>40018208</v>
          </cell>
          <cell r="C1044" t="str">
            <v>AERPOCKET VioletValleyBloom P108M55-MT</v>
          </cell>
          <cell r="D1044">
            <v>4.4444444444E-4</v>
          </cell>
          <cell r="E1044">
            <v>0</v>
          </cell>
          <cell r="F1044">
            <v>4.4444444444E-4</v>
          </cell>
        </row>
        <row r="1045">
          <cell r="B1045">
            <v>40039514</v>
          </cell>
          <cell r="C1045" t="str">
            <v>Aer clickgel BrightTangyBlister M320P18</v>
          </cell>
          <cell r="D1045">
            <v>4.4444444444E-4</v>
          </cell>
          <cell r="E1045">
            <v>0</v>
          </cell>
          <cell r="F1045">
            <v>4.4444444444E-4</v>
          </cell>
        </row>
        <row r="1046">
          <cell r="B1046">
            <v>40040594</v>
          </cell>
          <cell r="C1046" t="str">
            <v>PA PremiuMBDSpray Sig.AlterEgo150mlRLP72</v>
          </cell>
          <cell r="D1046">
            <v>4.4444444444E-4</v>
          </cell>
          <cell r="E1046">
            <v>0</v>
          </cell>
          <cell r="F1046">
            <v>4.4444444444E-4</v>
          </cell>
        </row>
        <row r="1047">
          <cell r="B1047">
            <v>40040811</v>
          </cell>
          <cell r="C1047" t="str">
            <v>PA EDP Conquer 50 ml (Rs.449)P36</v>
          </cell>
          <cell r="D1047">
            <v>4.4444444444E-4</v>
          </cell>
          <cell r="E1047">
            <v>0</v>
          </cell>
          <cell r="F1047">
            <v>4.4444444444E-4</v>
          </cell>
        </row>
        <row r="1048">
          <cell r="B1048">
            <v>40040815</v>
          </cell>
          <cell r="C1048" t="str">
            <v>PA EDP Harmony 100 ml (Rs.749)P18</v>
          </cell>
          <cell r="D1048">
            <v>4.4444444444E-4</v>
          </cell>
          <cell r="E1048">
            <v>0</v>
          </cell>
          <cell r="F1048">
            <v>4.4444444444E-4</v>
          </cell>
        </row>
        <row r="1049">
          <cell r="B1049">
            <v>40041073</v>
          </cell>
          <cell r="C1049" t="str">
            <v>PA GM Aerosol 150 ml (MRP 225) P/SP72</v>
          </cell>
          <cell r="D1049">
            <v>4.3055555556000002E-4</v>
          </cell>
          <cell r="E1049">
            <v>0</v>
          </cell>
          <cell r="F1049">
            <v>4.3055555556000002E-4</v>
          </cell>
        </row>
        <row r="1050">
          <cell r="B1050">
            <v>40037397</v>
          </cell>
          <cell r="C1050" t="str">
            <v>GK PWRACTV+ 60ml COMBIPK MRP99 PS48 CSD</v>
          </cell>
          <cell r="D1050">
            <v>4.1666666667000002E-4</v>
          </cell>
          <cell r="E1050">
            <v>0</v>
          </cell>
          <cell r="F1050">
            <v>4.1666666667000002E-4</v>
          </cell>
        </row>
        <row r="1051">
          <cell r="B1051">
            <v>40050297</v>
          </cell>
          <cell r="C1051" t="str">
            <v>KS12'S LONGLASTPLEA M180P480</v>
          </cell>
          <cell r="D1051">
            <v>4.1666666667000002E-4</v>
          </cell>
          <cell r="E1051">
            <v>0</v>
          </cell>
          <cell r="F1051">
            <v>4.1666666667000002E-4</v>
          </cell>
        </row>
        <row r="1052">
          <cell r="B1052">
            <v>40041515</v>
          </cell>
          <cell r="C1052" t="str">
            <v>KS SPARK POCKET18ML Rs70*10HANG-150 GCPL</v>
          </cell>
          <cell r="D1052">
            <v>4.0000000000000002E-4</v>
          </cell>
          <cell r="E1052">
            <v>0</v>
          </cell>
          <cell r="F1052">
            <v>4.0000000000000002E-4</v>
          </cell>
        </row>
        <row r="1053">
          <cell r="B1053">
            <v>40057188</v>
          </cell>
          <cell r="C1053" t="str">
            <v>GODREJ FAB 75+15ML SACHET M10 P72</v>
          </cell>
          <cell r="D1053">
            <v>3.3333333333E-4</v>
          </cell>
          <cell r="E1053">
            <v>0</v>
          </cell>
          <cell r="F1053">
            <v>3.3333333333E-4</v>
          </cell>
        </row>
        <row r="1054">
          <cell r="B1054">
            <v>40041669</v>
          </cell>
          <cell r="C1054" t="str">
            <v>GENTEEL 2Kg Pouch PK6 MRP290MT</v>
          </cell>
          <cell r="D1054">
            <v>3.3333333333E-4</v>
          </cell>
          <cell r="E1054">
            <v>0</v>
          </cell>
          <cell r="F1054">
            <v>3.3333333333E-4</v>
          </cell>
        </row>
        <row r="1055">
          <cell r="B1055">
            <v>40058455</v>
          </cell>
          <cell r="C1055" t="str">
            <v>GENTEEL TL 2KG POUCH M320 P6 ECOM</v>
          </cell>
          <cell r="D1055">
            <v>3.3333333333E-4</v>
          </cell>
          <cell r="E1055">
            <v>0</v>
          </cell>
          <cell r="F1055">
            <v>3.3333333333E-4</v>
          </cell>
        </row>
        <row r="1056">
          <cell r="B1056">
            <v>40038890</v>
          </cell>
          <cell r="C1056" t="str">
            <v>Godrej Selfie SHC 5ml+5ml P360 M15 NBlck</v>
          </cell>
          <cell r="D1056">
            <v>3.3333333333E-4</v>
          </cell>
          <cell r="E1056">
            <v>0</v>
          </cell>
          <cell r="F1056">
            <v>3.3333333333E-4</v>
          </cell>
        </row>
        <row r="1057">
          <cell r="B1057">
            <v>40031422</v>
          </cell>
          <cell r="C1057" t="str">
            <v>GodprotektMagicHwNEEM 99.9%9gCombiM40P48</v>
          </cell>
          <cell r="D1057">
            <v>3.3333333333E-4</v>
          </cell>
          <cell r="E1057">
            <v>0</v>
          </cell>
          <cell r="F1057">
            <v>3.3333333333E-4</v>
          </cell>
        </row>
        <row r="1058">
          <cell r="B1058">
            <v>40058130</v>
          </cell>
          <cell r="C1058" t="str">
            <v>*CIN COOL 150G PO4 M240 P24 CARTON NEW</v>
          </cell>
          <cell r="D1058">
            <v>3.3333333333E-4</v>
          </cell>
          <cell r="E1058">
            <v>0</v>
          </cell>
          <cell r="F1058">
            <v>3.3333333333E-4</v>
          </cell>
        </row>
        <row r="1059">
          <cell r="B1059">
            <v>40060238</v>
          </cell>
          <cell r="C1059" t="str">
            <v>CIN LIME 100G B4G1 P30 M185 MT NEW</v>
          </cell>
          <cell r="D1059">
            <v>3.3333333333E-4</v>
          </cell>
          <cell r="E1059">
            <v>0</v>
          </cell>
          <cell r="F1059">
            <v>3.3333333333E-4</v>
          </cell>
        </row>
        <row r="1060">
          <cell r="B1060">
            <v>40059051</v>
          </cell>
          <cell r="C1060" t="str">
            <v>NO1 LIMALO 150G B3G1F M190 P24-MT NDSGN</v>
          </cell>
          <cell r="D1060">
            <v>3.3333333333E-4</v>
          </cell>
          <cell r="E1060">
            <v>0</v>
          </cell>
          <cell r="F1060">
            <v>3.3333333333E-4</v>
          </cell>
        </row>
        <row r="1061">
          <cell r="B1061">
            <v>40059601</v>
          </cell>
          <cell r="C1061" t="str">
            <v>GODREJ FAB 2LTR POUCH P6M225 NF</v>
          </cell>
          <cell r="D1061">
            <v>3.3333333333E-4</v>
          </cell>
          <cell r="E1061">
            <v>0</v>
          </cell>
          <cell r="F1061">
            <v>3.3333333333E-4</v>
          </cell>
        </row>
        <row r="1062">
          <cell r="B1062">
            <v>40020439</v>
          </cell>
          <cell r="C1062" t="str">
            <v>GK ACTIV+ 2Refills+LMD pk MRP138 PS60-MT</v>
          </cell>
          <cell r="D1062">
            <v>3.3333333333E-4</v>
          </cell>
          <cell r="E1062">
            <v>0</v>
          </cell>
          <cell r="F1062">
            <v>3.3333333333E-4</v>
          </cell>
        </row>
        <row r="1063">
          <cell r="B1063">
            <v>40044110</v>
          </cell>
          <cell r="C1063" t="str">
            <v>GK Coil Mini Jumbo Plain MRP32PS60 RNF</v>
          </cell>
          <cell r="D1063">
            <v>3.3333333333E-4</v>
          </cell>
          <cell r="E1063">
            <v>0</v>
          </cell>
          <cell r="F1063">
            <v>3.3333333333E-4</v>
          </cell>
        </row>
        <row r="1064">
          <cell r="B1064">
            <v>40041197</v>
          </cell>
          <cell r="C1064" t="str">
            <v>GK Flash refill Po2 M155 P120 MT</v>
          </cell>
          <cell r="D1064">
            <v>3.3333333333E-4</v>
          </cell>
          <cell r="E1064">
            <v>0</v>
          </cell>
          <cell r="F1064">
            <v>3.3333333333E-4</v>
          </cell>
        </row>
        <row r="1065">
          <cell r="B1065">
            <v>40063023</v>
          </cell>
          <cell r="C1065" t="str">
            <v>AERPWRPCKT LEMTANGYDEL 10G M70P120 NF</v>
          </cell>
          <cell r="D1065">
            <v>3.3333333333E-4</v>
          </cell>
          <cell r="E1065">
            <v>0</v>
          </cell>
          <cell r="F1065">
            <v>3.3333333333E-4</v>
          </cell>
        </row>
        <row r="1066">
          <cell r="B1066">
            <v>40059739</v>
          </cell>
          <cell r="C1066" t="str">
            <v>AER SPRAY LAVENDERBLOOM 200ML M99P24</v>
          </cell>
          <cell r="D1066">
            <v>3.3333333333E-4</v>
          </cell>
          <cell r="E1066">
            <v>0</v>
          </cell>
          <cell r="F1066">
            <v>3.3333333333E-4</v>
          </cell>
        </row>
        <row r="1067">
          <cell r="B1067">
            <v>40040731</v>
          </cell>
          <cell r="C1067" t="str">
            <v>Regal 130ml - UAEP36</v>
          </cell>
          <cell r="D1067">
            <v>3.3333333333E-4</v>
          </cell>
          <cell r="E1067">
            <v>0</v>
          </cell>
          <cell r="F1067">
            <v>3.3333333333E-4</v>
          </cell>
        </row>
        <row r="1068">
          <cell r="B1068">
            <v>40041423</v>
          </cell>
          <cell r="C1068" t="str">
            <v>PA SAVANNA FRESH120mlRs349(Stk pac)P24</v>
          </cell>
          <cell r="D1068">
            <v>3.3333333333E-4</v>
          </cell>
          <cell r="E1068">
            <v>0</v>
          </cell>
          <cell r="F1068">
            <v>3.3333333333E-4</v>
          </cell>
        </row>
        <row r="1069">
          <cell r="B1069">
            <v>40040955</v>
          </cell>
          <cell r="C1069" t="str">
            <v>KS Blaze Aerosol 150 ml (MRP 230)P48</v>
          </cell>
          <cell r="D1069">
            <v>3.3333333333E-4</v>
          </cell>
          <cell r="E1069">
            <v>0</v>
          </cell>
          <cell r="F1069">
            <v>3.3333333333E-4</v>
          </cell>
        </row>
        <row r="1070">
          <cell r="B1070">
            <v>40050617</v>
          </cell>
          <cell r="C1070" t="str">
            <v>KS BLAZE AER 150ML M230.00 P24 GCPL</v>
          </cell>
          <cell r="D1070">
            <v>3.3333333333E-4</v>
          </cell>
          <cell r="E1070">
            <v>0</v>
          </cell>
          <cell r="F1070">
            <v>3.3333333333E-4</v>
          </cell>
        </row>
        <row r="1071">
          <cell r="B1071">
            <v>40060452</v>
          </cell>
          <cell r="C1071" t="str">
            <v>KS SPARK AER 150ML M230 P24 GCPL CSD</v>
          </cell>
          <cell r="D1071">
            <v>3.3333333333E-4</v>
          </cell>
          <cell r="E1071">
            <v>0</v>
          </cell>
          <cell r="F1071">
            <v>3.3333333333E-4</v>
          </cell>
        </row>
        <row r="1072">
          <cell r="B1072">
            <v>40043162</v>
          </cell>
          <cell r="C1072" t="str">
            <v>PA CB AER 150ML M225 P24 GCPL</v>
          </cell>
          <cell r="D1072">
            <v>3.3333333333E-4</v>
          </cell>
          <cell r="E1072">
            <v>0</v>
          </cell>
          <cell r="F1072">
            <v>3.3333333333E-4</v>
          </cell>
        </row>
        <row r="1073">
          <cell r="B1073">
            <v>40042743</v>
          </cell>
          <cell r="C1073" t="str">
            <v>PA EDP CONQUER 100ML G M749 P18</v>
          </cell>
          <cell r="D1073">
            <v>3.3333333333E-4</v>
          </cell>
          <cell r="E1073">
            <v>0</v>
          </cell>
          <cell r="F1073">
            <v>3.3333333333E-4</v>
          </cell>
        </row>
        <row r="1074">
          <cell r="B1074">
            <v>40050301</v>
          </cell>
          <cell r="C1074" t="str">
            <v>PA EDP 4X20ML GIFT SET M849 P24</v>
          </cell>
          <cell r="D1074">
            <v>3.3333333333E-4</v>
          </cell>
          <cell r="E1074">
            <v>0</v>
          </cell>
          <cell r="F1074">
            <v>3.3333333333E-4</v>
          </cell>
        </row>
        <row r="1075">
          <cell r="B1075">
            <v>40043218</v>
          </cell>
          <cell r="C1075" t="str">
            <v>KS SPARK POWSERIES 135ML M240 P24 GCPL</v>
          </cell>
          <cell r="D1075">
            <v>3.3333333333E-4</v>
          </cell>
          <cell r="E1075">
            <v>0</v>
          </cell>
          <cell r="F1075">
            <v>3.3333333333E-4</v>
          </cell>
        </row>
        <row r="1076">
          <cell r="B1076">
            <v>40033309</v>
          </cell>
          <cell r="C1076" t="str">
            <v>BBLNT 200ml Shmp Intense Mos M399 PK24</v>
          </cell>
          <cell r="D1076">
            <v>3.3333333333E-4</v>
          </cell>
          <cell r="E1076">
            <v>0</v>
          </cell>
          <cell r="F1076">
            <v>3.3333333333E-4</v>
          </cell>
        </row>
        <row r="1077">
          <cell r="B1077">
            <v>40039780</v>
          </cell>
          <cell r="C1077" t="str">
            <v>KS10's Mango Flv MRP 100P4320</v>
          </cell>
          <cell r="D1077">
            <v>3.3333333333E-4</v>
          </cell>
          <cell r="E1077">
            <v>0</v>
          </cell>
          <cell r="F1077">
            <v>3.3333333333E-4</v>
          </cell>
        </row>
        <row r="1078">
          <cell r="B1078">
            <v>40040219</v>
          </cell>
          <cell r="C1078" t="str">
            <v>PA Shaving Razor ApacheP144</v>
          </cell>
          <cell r="D1078">
            <v>3.3333333333E-4</v>
          </cell>
          <cell r="E1078">
            <v>0</v>
          </cell>
          <cell r="F1078">
            <v>3.3333333333E-4</v>
          </cell>
        </row>
        <row r="1079">
          <cell r="B1079">
            <v>40041131</v>
          </cell>
          <cell r="C1079" t="str">
            <v>PA Elegant Collection Gift Kit (M749)P12</v>
          </cell>
          <cell r="D1079">
            <v>3.3333333333E-4</v>
          </cell>
          <cell r="E1079">
            <v>0</v>
          </cell>
          <cell r="F1079">
            <v>3.3333333333E-4</v>
          </cell>
        </row>
        <row r="1080">
          <cell r="B1080">
            <v>40043549</v>
          </cell>
          <cell r="C1080" t="str">
            <v>PA GD MRNG GROOMING KIT M625P6</v>
          </cell>
          <cell r="D1080">
            <v>3.3333333333E-4</v>
          </cell>
          <cell r="E1080">
            <v>0</v>
          </cell>
          <cell r="F1080">
            <v>3.3333333333E-4</v>
          </cell>
        </row>
        <row r="1081">
          <cell r="B1081">
            <v>40050592</v>
          </cell>
          <cell r="C1081" t="str">
            <v>PREMIUM EDC PET 50ML M110.00 P96</v>
          </cell>
          <cell r="D1081">
            <v>3.3333333333E-4</v>
          </cell>
          <cell r="E1081">
            <v>0</v>
          </cell>
          <cell r="F1081">
            <v>3.3333333333E-4</v>
          </cell>
        </row>
        <row r="1082">
          <cell r="B1082">
            <v>40040904</v>
          </cell>
          <cell r="C1082" t="str">
            <v>*PA Soap NEW Lemon Storm 125g (M 70)P108</v>
          </cell>
          <cell r="D1082">
            <v>2.5925925925999999E-4</v>
          </cell>
          <cell r="E1082">
            <v>0</v>
          </cell>
          <cell r="F1082">
            <v>2.5925925925999999E-4</v>
          </cell>
        </row>
        <row r="1083">
          <cell r="B1083">
            <v>40009774</v>
          </cell>
          <cell r="C1083" t="str">
            <v>GODREJ COLOUR SOFT-NAT BLK-40ML PK36-EXP</v>
          </cell>
          <cell r="D1083">
            <v>2.2222222222E-4</v>
          </cell>
          <cell r="E1083">
            <v>0</v>
          </cell>
          <cell r="F1083">
            <v>2.2222222222E-4</v>
          </cell>
        </row>
        <row r="1084">
          <cell r="B1084">
            <v>40043935</v>
          </cell>
          <cell r="C1084" t="str">
            <v>*No1 Lime&amp;Aloe 100g PO5 M125 P36 ROIS40i</v>
          </cell>
          <cell r="D1084">
            <v>2.2222222222E-4</v>
          </cell>
          <cell r="E1084">
            <v>0</v>
          </cell>
          <cell r="F1084">
            <v>2.2222222222E-4</v>
          </cell>
        </row>
        <row r="1085">
          <cell r="B1085">
            <v>40059049</v>
          </cell>
          <cell r="C1085" t="str">
            <v>AER O COOLAQUA 7.5G M99 P72 HANGER</v>
          </cell>
          <cell r="D1085">
            <v>2.2222222222E-4</v>
          </cell>
          <cell r="E1085">
            <v>0</v>
          </cell>
          <cell r="F1085">
            <v>2.2222222222E-4</v>
          </cell>
        </row>
        <row r="1086">
          <cell r="B1086">
            <v>40041157</v>
          </cell>
          <cell r="C1086" t="str">
            <v>PA VOYAGE MEGA 220 ML (RS.390)P72</v>
          </cell>
          <cell r="D1086">
            <v>2.2222222222E-4</v>
          </cell>
          <cell r="E1086">
            <v>0</v>
          </cell>
          <cell r="F1086">
            <v>2.2222222222E-4</v>
          </cell>
        </row>
        <row r="1087">
          <cell r="B1087">
            <v>40040805</v>
          </cell>
          <cell r="C1087" t="str">
            <v>PA Trance Mist 135ml (Rs.220)P36</v>
          </cell>
          <cell r="D1087">
            <v>2.2222222222E-4</v>
          </cell>
          <cell r="E1087">
            <v>0</v>
          </cell>
          <cell r="F1087">
            <v>2.2222222222E-4</v>
          </cell>
        </row>
        <row r="1088">
          <cell r="B1088">
            <v>40042146</v>
          </cell>
          <cell r="C1088" t="str">
            <v>*PABSNEWShiny&amp;Bouncy180ml(M170)P36</v>
          </cell>
          <cell r="D1088">
            <v>2.2222222222E-4</v>
          </cell>
          <cell r="E1088">
            <v>0</v>
          </cell>
          <cell r="F1088">
            <v>2.2222222222E-4</v>
          </cell>
        </row>
        <row r="1089">
          <cell r="B1089">
            <v>40043894</v>
          </cell>
          <cell r="C1089" t="str">
            <v>*No1 San &amp; Tur100g PO5 M125 P36ROI S40</v>
          </cell>
          <cell r="D1089">
            <v>1.1111111111E-4</v>
          </cell>
          <cell r="E1089">
            <v>0</v>
          </cell>
          <cell r="F1089">
            <v>1.1111111111E-4</v>
          </cell>
        </row>
        <row r="1090">
          <cell r="B1090">
            <v>40040449</v>
          </cell>
          <cell r="C1090" t="str">
            <v>PA Sig. Coll. Discover 150 ml (M 250)P72</v>
          </cell>
          <cell r="D1090">
            <v>1.1111111111E-4</v>
          </cell>
          <cell r="E1090">
            <v>0</v>
          </cell>
          <cell r="F1090">
            <v>1.1111111111E-4</v>
          </cell>
        </row>
        <row r="1091">
          <cell r="B1091">
            <v>40012994</v>
          </cell>
          <cell r="C1091" t="str">
            <v>Exp Creme 2-Sach Burg  Streamer  M60 P96</v>
          </cell>
          <cell r="D1091">
            <v>8.3333333330000005E-5</v>
          </cell>
          <cell r="E1091">
            <v>0</v>
          </cell>
          <cell r="F1091">
            <v>8.3333333330000005E-5</v>
          </cell>
        </row>
        <row r="1092">
          <cell r="B1092">
            <v>40040708</v>
          </cell>
          <cell r="C1092" t="str">
            <v>PA Dorco Razor TG710P480</v>
          </cell>
          <cell r="D1092">
            <v>8.3333333330000005E-5</v>
          </cell>
          <cell r="E1092">
            <v>0</v>
          </cell>
          <cell r="F1092">
            <v>8.3333333330000005E-5</v>
          </cell>
        </row>
        <row r="1093">
          <cell r="B1093">
            <v>40056349</v>
          </cell>
          <cell r="C1093" t="str">
            <v>*PA SOAP PURLUXURY8X125GPO8 M560P13ECOM</v>
          </cell>
          <cell r="D1093">
            <v>7.6923076920000001E-5</v>
          </cell>
          <cell r="E1093">
            <v>0</v>
          </cell>
          <cell r="F1093">
            <v>7.6923076920000001E-5</v>
          </cell>
        </row>
        <row r="1094">
          <cell r="B1094">
            <v>40030881</v>
          </cell>
          <cell r="C1094" t="str">
            <v>*Cin lime 48g hanger M10 P216</v>
          </cell>
          <cell r="D1094">
            <v>7.4074074069999994E-5</v>
          </cell>
          <cell r="E1094">
            <v>0</v>
          </cell>
          <cell r="F1094">
            <v>7.4074074069999994E-5</v>
          </cell>
        </row>
        <row r="1095">
          <cell r="B1095">
            <v>40057365</v>
          </cell>
          <cell r="C1095" t="str">
            <v>EZEE 1KG POUCH M199 P12 NF OA FRSH STOCK</v>
          </cell>
          <cell r="D1095">
            <v>0</v>
          </cell>
          <cell r="E1095">
            <v>0</v>
          </cell>
          <cell r="F1095">
            <v>0</v>
          </cell>
        </row>
        <row r="1096">
          <cell r="B1096">
            <v>40015214</v>
          </cell>
          <cell r="C1096" t="str">
            <v>Ezee NGR 1kg +1kg refill MRP 320 P6</v>
          </cell>
          <cell r="D1096">
            <v>0</v>
          </cell>
          <cell r="E1096">
            <v>0</v>
          </cell>
          <cell r="F1096">
            <v>0</v>
          </cell>
        </row>
        <row r="1097">
          <cell r="B1097">
            <v>40034685</v>
          </cell>
          <cell r="C1097" t="str">
            <v>Ezee 1kgB +1kg refill MRP 350 GT</v>
          </cell>
          <cell r="D1097">
            <v>0</v>
          </cell>
          <cell r="E1097">
            <v>0</v>
          </cell>
          <cell r="F1097">
            <v>0</v>
          </cell>
        </row>
        <row r="1098">
          <cell r="B1098">
            <v>40037640</v>
          </cell>
          <cell r="C1098" t="str">
            <v>Ezee 1kgbottle +1kg refill MRP 399 P6</v>
          </cell>
          <cell r="D1098">
            <v>0</v>
          </cell>
          <cell r="E1098">
            <v>0</v>
          </cell>
          <cell r="F1098">
            <v>0</v>
          </cell>
        </row>
        <row r="1099">
          <cell r="B1099">
            <v>40038315</v>
          </cell>
          <cell r="C1099" t="str">
            <v>Ezee 1kgbot +1kg ref Net bag MRP 399 P6</v>
          </cell>
          <cell r="D1099">
            <v>0</v>
          </cell>
          <cell r="E1099">
            <v>0</v>
          </cell>
          <cell r="F1099">
            <v>0</v>
          </cell>
        </row>
        <row r="1100">
          <cell r="B1100">
            <v>40049720</v>
          </cell>
          <cell r="C1100" t="str">
            <v>Ezee 1kgbot +1kg ref Net bag MRP 419 P6</v>
          </cell>
          <cell r="D1100">
            <v>0</v>
          </cell>
          <cell r="E1100">
            <v>0</v>
          </cell>
          <cell r="F1100">
            <v>0</v>
          </cell>
        </row>
        <row r="1101">
          <cell r="B1101">
            <v>40056356</v>
          </cell>
          <cell r="C1101" t="str">
            <v>EZEE 1KGBOT +1KG REF NET BAG M440 P6 NF</v>
          </cell>
          <cell r="D1101">
            <v>0</v>
          </cell>
          <cell r="E1101">
            <v>0</v>
          </cell>
          <cell r="F1101">
            <v>0</v>
          </cell>
        </row>
        <row r="1102">
          <cell r="B1102">
            <v>40056367</v>
          </cell>
          <cell r="C1102" t="str">
            <v>EZEE 1KGBT+1KG REF NET BAG M440 P6</v>
          </cell>
          <cell r="D1102">
            <v>0</v>
          </cell>
          <cell r="E1102">
            <v>0</v>
          </cell>
          <cell r="F1102">
            <v>0</v>
          </cell>
        </row>
        <row r="1103">
          <cell r="B1103">
            <v>40015752</v>
          </cell>
          <cell r="C1103" t="str">
            <v>Ezee NGR 1kg +1kg refill MRP320 P6-MT</v>
          </cell>
          <cell r="D1103">
            <v>0</v>
          </cell>
          <cell r="E1103">
            <v>0</v>
          </cell>
          <cell r="F1103">
            <v>0</v>
          </cell>
        </row>
        <row r="1104">
          <cell r="B1104">
            <v>40028928</v>
          </cell>
          <cell r="C1104" t="str">
            <v>Ezee 2Kg Pouch PK6 MRP350</v>
          </cell>
          <cell r="D1104">
            <v>0</v>
          </cell>
          <cell r="E1104">
            <v>0</v>
          </cell>
          <cell r="F1104">
            <v>0</v>
          </cell>
        </row>
        <row r="1105">
          <cell r="B1105">
            <v>40035104</v>
          </cell>
          <cell r="C1105" t="str">
            <v>Ezee 2Kg Pouch PK 6 MRP390</v>
          </cell>
          <cell r="D1105">
            <v>0</v>
          </cell>
          <cell r="E1105">
            <v>0</v>
          </cell>
          <cell r="F1105">
            <v>0</v>
          </cell>
        </row>
        <row r="1106">
          <cell r="B1106">
            <v>40037648</v>
          </cell>
          <cell r="C1106" t="str">
            <v>Ezee 2Kg Pouch PK 6 MRP399</v>
          </cell>
          <cell r="D1106">
            <v>0</v>
          </cell>
          <cell r="E1106">
            <v>0</v>
          </cell>
          <cell r="F1106">
            <v>0</v>
          </cell>
        </row>
        <row r="1107">
          <cell r="B1107">
            <v>40049721</v>
          </cell>
          <cell r="C1107" t="str">
            <v>Ezee 2Kg Pouch PK 6 MRP419</v>
          </cell>
          <cell r="D1107">
            <v>0</v>
          </cell>
          <cell r="E1107">
            <v>0</v>
          </cell>
          <cell r="F1107">
            <v>0</v>
          </cell>
        </row>
        <row r="1108">
          <cell r="B1108">
            <v>40050886</v>
          </cell>
          <cell r="C1108" t="str">
            <v>EZEE 2KG POUCH M430 P6</v>
          </cell>
          <cell r="D1108">
            <v>0</v>
          </cell>
          <cell r="E1108">
            <v>0</v>
          </cell>
          <cell r="F1108">
            <v>0</v>
          </cell>
        </row>
        <row r="1109">
          <cell r="B1109">
            <v>40056368</v>
          </cell>
          <cell r="C1109" t="str">
            <v>EZEE 2KG POUCH M430 P6 NF</v>
          </cell>
          <cell r="D1109">
            <v>0</v>
          </cell>
          <cell r="E1109">
            <v>0</v>
          </cell>
          <cell r="F1109">
            <v>0</v>
          </cell>
        </row>
        <row r="1110">
          <cell r="B1110">
            <v>40057350</v>
          </cell>
          <cell r="C1110" t="str">
            <v>EZEE 2KG POUCH M430 P6 NF OA FRESH STOCK</v>
          </cell>
          <cell r="D1110">
            <v>0</v>
          </cell>
          <cell r="E1110">
            <v>0</v>
          </cell>
          <cell r="F1110">
            <v>0</v>
          </cell>
        </row>
        <row r="1111">
          <cell r="B1111">
            <v>40057634</v>
          </cell>
          <cell r="C1111" t="str">
            <v>EZEE 2KG POUCH M430 P6 NF -MT</v>
          </cell>
          <cell r="D1111">
            <v>0</v>
          </cell>
          <cell r="E1111">
            <v>0</v>
          </cell>
          <cell r="F1111">
            <v>0</v>
          </cell>
        </row>
        <row r="1112">
          <cell r="B1112">
            <v>40059307</v>
          </cell>
          <cell r="C1112" t="str">
            <v>EZEE 2KG POUCH M430 P6 NF FLEXI</v>
          </cell>
          <cell r="D1112">
            <v>0</v>
          </cell>
          <cell r="E1112">
            <v>0</v>
          </cell>
          <cell r="F1112">
            <v>0</v>
          </cell>
        </row>
        <row r="1113">
          <cell r="B1113">
            <v>40059588</v>
          </cell>
          <cell r="C1113" t="str">
            <v>EZEE 2KG POUCH M430 P6 NF OA NEW PACK</v>
          </cell>
          <cell r="D1113">
            <v>0</v>
          </cell>
          <cell r="E1113">
            <v>0</v>
          </cell>
          <cell r="F1113">
            <v>0</v>
          </cell>
        </row>
        <row r="1114">
          <cell r="B1114">
            <v>40037633</v>
          </cell>
          <cell r="C1114" t="str">
            <v>Ezee 1Kg bot+2x1kg Ref M590 P4</v>
          </cell>
          <cell r="D1114">
            <v>0</v>
          </cell>
          <cell r="E1114">
            <v>0</v>
          </cell>
          <cell r="F1114">
            <v>0</v>
          </cell>
        </row>
        <row r="1115">
          <cell r="B1115">
            <v>40038249</v>
          </cell>
          <cell r="C1115" t="str">
            <v>Ezee 1Kg bot+2x1kg Ref M590 P4 Ecom</v>
          </cell>
          <cell r="D1115">
            <v>0</v>
          </cell>
          <cell r="E1115">
            <v>0</v>
          </cell>
          <cell r="F1115">
            <v>0</v>
          </cell>
        </row>
        <row r="1116">
          <cell r="B1116">
            <v>40049722</v>
          </cell>
          <cell r="C1116" t="str">
            <v>Ezee 1Kg bot+2x1kg Ref M619 P4</v>
          </cell>
          <cell r="D1116">
            <v>0</v>
          </cell>
          <cell r="E1116">
            <v>0</v>
          </cell>
          <cell r="F1116">
            <v>0</v>
          </cell>
        </row>
        <row r="1117">
          <cell r="B1117">
            <v>40056401</v>
          </cell>
          <cell r="C1117" t="str">
            <v>EZEE 1KG BOT+2X1KG REF M645 P4 NF</v>
          </cell>
          <cell r="D1117">
            <v>0</v>
          </cell>
          <cell r="E1117">
            <v>0</v>
          </cell>
          <cell r="F1117">
            <v>0</v>
          </cell>
        </row>
        <row r="1118">
          <cell r="B1118">
            <v>40057351</v>
          </cell>
          <cell r="C1118" t="str">
            <v>EZEE 3.2KG REF M660 P4 NF OA FRSH STOCK</v>
          </cell>
          <cell r="D1118">
            <v>0</v>
          </cell>
          <cell r="E1118">
            <v>0</v>
          </cell>
          <cell r="F1118">
            <v>0</v>
          </cell>
        </row>
        <row r="1119">
          <cell r="B1119">
            <v>40057632</v>
          </cell>
          <cell r="C1119" t="str">
            <v>EZEE 3.2KG REF M660 P4 NF- MT</v>
          </cell>
          <cell r="D1119">
            <v>0</v>
          </cell>
          <cell r="E1119">
            <v>0</v>
          </cell>
          <cell r="F1119">
            <v>0</v>
          </cell>
        </row>
        <row r="1120">
          <cell r="B1120">
            <v>40059593</v>
          </cell>
          <cell r="C1120" t="str">
            <v>EZEE 3.2KG REF M660 P4 NF OA NEW PACK</v>
          </cell>
          <cell r="D1120">
            <v>0</v>
          </cell>
          <cell r="E1120">
            <v>0</v>
          </cell>
          <cell r="F1120">
            <v>0</v>
          </cell>
        </row>
        <row r="1121">
          <cell r="B1121">
            <v>40059597</v>
          </cell>
          <cell r="C1121" t="str">
            <v>EZEE 3.2KG REF M660 P4 NF OA FLEXI</v>
          </cell>
          <cell r="D1121">
            <v>0</v>
          </cell>
          <cell r="E1121">
            <v>0</v>
          </cell>
          <cell r="F1121">
            <v>0</v>
          </cell>
        </row>
        <row r="1122">
          <cell r="B1122">
            <v>40062312</v>
          </cell>
          <cell r="C1122" t="str">
            <v>EZEE 3.2KG REF M660P4 2+1 NF OA NEW PACK</v>
          </cell>
          <cell r="D1122">
            <v>0</v>
          </cell>
          <cell r="E1122">
            <v>0</v>
          </cell>
          <cell r="F1122">
            <v>0</v>
          </cell>
        </row>
        <row r="1123">
          <cell r="B1123">
            <v>40064882</v>
          </cell>
          <cell r="C1123" t="str">
            <v>EZEE 3.2KG REF M680 P4 NF OA NEW PACK</v>
          </cell>
          <cell r="D1123">
            <v>0</v>
          </cell>
          <cell r="E1123">
            <v>0</v>
          </cell>
          <cell r="F1123">
            <v>0</v>
          </cell>
        </row>
        <row r="1124">
          <cell r="B1124">
            <v>40065397</v>
          </cell>
          <cell r="C1124" t="str">
            <v>EZEE 3.2KG REF M660 P4 NF- MT LIQ</v>
          </cell>
          <cell r="D1124">
            <v>0</v>
          </cell>
          <cell r="E1124">
            <v>0</v>
          </cell>
          <cell r="F1124">
            <v>0</v>
          </cell>
        </row>
        <row r="1125">
          <cell r="B1125">
            <v>40065400</v>
          </cell>
          <cell r="C1125" t="str">
            <v>EZEE 3.2KG REF M660 P4 NF OA NEWPACK LIQ</v>
          </cell>
          <cell r="D1125">
            <v>0</v>
          </cell>
          <cell r="E1125">
            <v>0</v>
          </cell>
          <cell r="F1125">
            <v>0</v>
          </cell>
        </row>
        <row r="1126">
          <cell r="B1126">
            <v>40065431</v>
          </cell>
          <cell r="C1126" t="str">
            <v>EZEE 3.2KG REF M660 P4 NFOAFRSHSTOCK LIQ</v>
          </cell>
          <cell r="D1126">
            <v>0</v>
          </cell>
          <cell r="E1126">
            <v>0</v>
          </cell>
          <cell r="F1126">
            <v>0</v>
          </cell>
        </row>
        <row r="1127">
          <cell r="B1127">
            <v>40003085</v>
          </cell>
          <cell r="C1127" t="str">
            <v>EZEE 1KG 12 BOTTLES  MRP 145</v>
          </cell>
          <cell r="D1127">
            <v>0</v>
          </cell>
          <cell r="E1127">
            <v>0</v>
          </cell>
          <cell r="F1127">
            <v>0</v>
          </cell>
        </row>
        <row r="1128">
          <cell r="B1128">
            <v>40014923</v>
          </cell>
          <cell r="C1128" t="str">
            <v>EZEE NGR 1KG  12 BOTTLES  MRP 175</v>
          </cell>
          <cell r="D1128">
            <v>0</v>
          </cell>
          <cell r="E1128">
            <v>0</v>
          </cell>
          <cell r="F1128">
            <v>0</v>
          </cell>
        </row>
        <row r="1129">
          <cell r="B1129">
            <v>40020245</v>
          </cell>
          <cell r="C1129" t="str">
            <v>EZEE NGR 1KG  12 BOTTLES  MRP 185</v>
          </cell>
          <cell r="D1129">
            <v>0</v>
          </cell>
          <cell r="E1129">
            <v>0</v>
          </cell>
          <cell r="F1129">
            <v>0</v>
          </cell>
        </row>
        <row r="1130">
          <cell r="B1130">
            <v>40032390</v>
          </cell>
          <cell r="C1130" t="str">
            <v>EZEE 1KG 12 BOTTLES  MRP 180</v>
          </cell>
          <cell r="D1130">
            <v>0</v>
          </cell>
          <cell r="E1130">
            <v>0</v>
          </cell>
          <cell r="F1130">
            <v>0</v>
          </cell>
        </row>
        <row r="1131">
          <cell r="B1131">
            <v>40034457</v>
          </cell>
          <cell r="C1131" t="str">
            <v>EZEE 1KG 12 BOTTLES  MRP 190</v>
          </cell>
          <cell r="D1131">
            <v>0</v>
          </cell>
          <cell r="E1131">
            <v>0</v>
          </cell>
          <cell r="F1131">
            <v>0</v>
          </cell>
        </row>
        <row r="1132">
          <cell r="B1132">
            <v>40037639</v>
          </cell>
          <cell r="C1132" t="str">
            <v>EZEE 1KG 12 BOTTLES  MRP 210</v>
          </cell>
          <cell r="D1132">
            <v>0</v>
          </cell>
          <cell r="E1132">
            <v>0</v>
          </cell>
          <cell r="F1132">
            <v>0</v>
          </cell>
        </row>
        <row r="1133">
          <cell r="B1133">
            <v>40049732</v>
          </cell>
          <cell r="C1133" t="str">
            <v>EZEE 1KG 12 BOTTLES  MRP 220</v>
          </cell>
          <cell r="D1133">
            <v>0</v>
          </cell>
          <cell r="E1133">
            <v>0</v>
          </cell>
          <cell r="F1133">
            <v>0</v>
          </cell>
        </row>
        <row r="1134">
          <cell r="B1134">
            <v>40050396</v>
          </cell>
          <cell r="C1134" t="str">
            <v>EZEE 1KG 12 BOTTLES  MRP 220 10%PCR</v>
          </cell>
          <cell r="D1134">
            <v>0</v>
          </cell>
          <cell r="E1134">
            <v>0</v>
          </cell>
          <cell r="F1134">
            <v>0</v>
          </cell>
        </row>
        <row r="1135">
          <cell r="B1135">
            <v>40050879</v>
          </cell>
          <cell r="C1135" t="str">
            <v>EZEE 1KG BOTTLE M225 P12 10% PCR</v>
          </cell>
          <cell r="D1135">
            <v>0</v>
          </cell>
          <cell r="E1135">
            <v>0</v>
          </cell>
          <cell r="F1135">
            <v>0</v>
          </cell>
        </row>
        <row r="1136">
          <cell r="B1136">
            <v>40056370</v>
          </cell>
          <cell r="C1136" t="str">
            <v>EZEE 1KG BOTTLE M225 P12 10% PCR NF</v>
          </cell>
          <cell r="D1136">
            <v>0</v>
          </cell>
          <cell r="E1136">
            <v>0</v>
          </cell>
          <cell r="F1136">
            <v>0</v>
          </cell>
        </row>
        <row r="1137">
          <cell r="B1137">
            <v>40057379</v>
          </cell>
          <cell r="C1137" t="str">
            <v>EZEE 1KG BT M225 P12 10%PCR NFOA FRS STK</v>
          </cell>
          <cell r="D1137">
            <v>0</v>
          </cell>
          <cell r="E1137">
            <v>0</v>
          </cell>
          <cell r="F1137">
            <v>0</v>
          </cell>
        </row>
        <row r="1138">
          <cell r="B1138">
            <v>40058308</v>
          </cell>
          <cell r="C1138" t="str">
            <v>EZEE 1KG BOTTLE M225 P12 50% PCR</v>
          </cell>
          <cell r="D1138">
            <v>0</v>
          </cell>
          <cell r="E1138">
            <v>0</v>
          </cell>
          <cell r="F1138">
            <v>0</v>
          </cell>
        </row>
        <row r="1139">
          <cell r="B1139">
            <v>40059589</v>
          </cell>
          <cell r="C1139" t="str">
            <v>EZEE 900GM BT M225P12 50%PCR NFOANP TMT</v>
          </cell>
          <cell r="D1139">
            <v>0</v>
          </cell>
          <cell r="E1139">
            <v>0</v>
          </cell>
          <cell r="F1139">
            <v>0</v>
          </cell>
        </row>
        <row r="1140">
          <cell r="B1140">
            <v>40059624</v>
          </cell>
          <cell r="C1140" t="str">
            <v>EZEE 1KG BT M225 P12 50%PCR NF</v>
          </cell>
          <cell r="D1140">
            <v>0</v>
          </cell>
          <cell r="E1140">
            <v>0</v>
          </cell>
          <cell r="F1140">
            <v>0</v>
          </cell>
        </row>
        <row r="1141">
          <cell r="B1141">
            <v>40065401</v>
          </cell>
          <cell r="C1141" t="str">
            <v>EZEE 900GM BTM225P1250%PCRNFOANEWPCK LIQ</v>
          </cell>
          <cell r="D1141">
            <v>0</v>
          </cell>
          <cell r="E1141">
            <v>0</v>
          </cell>
          <cell r="F1141">
            <v>0</v>
          </cell>
        </row>
        <row r="1142">
          <cell r="B1142">
            <v>40014921</v>
          </cell>
          <cell r="C1142" t="str">
            <v>EZEE NGR 200+ 50G Fr RELAUNCH 60P MRP49</v>
          </cell>
          <cell r="D1142">
            <v>0</v>
          </cell>
          <cell r="E1142">
            <v>0</v>
          </cell>
          <cell r="F1142">
            <v>0</v>
          </cell>
        </row>
        <row r="1143">
          <cell r="B1143">
            <v>40034455</v>
          </cell>
          <cell r="C1143" t="str">
            <v>EZEE  200G+ 50G  60P MRP 55</v>
          </cell>
          <cell r="D1143">
            <v>0</v>
          </cell>
          <cell r="E1143">
            <v>0</v>
          </cell>
          <cell r="F1143">
            <v>0</v>
          </cell>
        </row>
        <row r="1144">
          <cell r="B1144">
            <v>40035000</v>
          </cell>
          <cell r="C1144" t="str">
            <v>EZEE  200G+ 50G  60P MRP 57</v>
          </cell>
          <cell r="D1144">
            <v>0</v>
          </cell>
          <cell r="E1144">
            <v>0</v>
          </cell>
          <cell r="F1144">
            <v>0</v>
          </cell>
        </row>
        <row r="1145">
          <cell r="B1145">
            <v>40050260</v>
          </cell>
          <cell r="C1145" t="str">
            <v>EZEE  200G+ 50G  60P MRP 60 10%PCR</v>
          </cell>
          <cell r="D1145">
            <v>0</v>
          </cell>
          <cell r="E1145">
            <v>0</v>
          </cell>
          <cell r="F1145">
            <v>0</v>
          </cell>
        </row>
        <row r="1146">
          <cell r="B1146">
            <v>40056358</v>
          </cell>
          <cell r="C1146" t="str">
            <v>EZEE  250G M65 P60 10%PCR NF</v>
          </cell>
          <cell r="D1146">
            <v>0</v>
          </cell>
          <cell r="E1146">
            <v>0</v>
          </cell>
          <cell r="F1146">
            <v>0</v>
          </cell>
        </row>
        <row r="1147">
          <cell r="B1147">
            <v>40057374</v>
          </cell>
          <cell r="C1147" t="str">
            <v>EZEE 250G M65 P60 10%PCR NF OA FRSH STCK</v>
          </cell>
          <cell r="D1147">
            <v>0</v>
          </cell>
          <cell r="E1147">
            <v>0</v>
          </cell>
          <cell r="F1147">
            <v>0</v>
          </cell>
        </row>
        <row r="1148">
          <cell r="B1148">
            <v>40058312</v>
          </cell>
          <cell r="C1148" t="str">
            <v>EZEE 250G M65 P60 50% PCR</v>
          </cell>
          <cell r="D1148">
            <v>0</v>
          </cell>
          <cell r="E1148">
            <v>0</v>
          </cell>
          <cell r="F1148">
            <v>0</v>
          </cell>
        </row>
        <row r="1149">
          <cell r="B1149">
            <v>40059625</v>
          </cell>
          <cell r="C1149" t="str">
            <v>EZEE 250G M65 P60 50%PCR NF</v>
          </cell>
          <cell r="D1149">
            <v>0</v>
          </cell>
          <cell r="E1149">
            <v>0</v>
          </cell>
          <cell r="F1149">
            <v>0</v>
          </cell>
        </row>
        <row r="1150">
          <cell r="B1150">
            <v>40060740</v>
          </cell>
          <cell r="C1150" t="str">
            <v>EZEE 250G M70 P60 50% PCR</v>
          </cell>
          <cell r="D1150">
            <v>0</v>
          </cell>
          <cell r="E1150">
            <v>0</v>
          </cell>
          <cell r="F1150">
            <v>0</v>
          </cell>
        </row>
        <row r="1151">
          <cell r="B1151">
            <v>40000617</v>
          </cell>
          <cell r="C1151" t="str">
            <v>EZEE 1KG  1KG PP ( GT) MRP 225</v>
          </cell>
          <cell r="D1151">
            <v>0</v>
          </cell>
          <cell r="E1151">
            <v>0</v>
          </cell>
          <cell r="F1151">
            <v>0</v>
          </cell>
        </row>
        <row r="1152">
          <cell r="B1152">
            <v>40014922</v>
          </cell>
          <cell r="C1152" t="str">
            <v>EZEE NGR 500gm 24 BOTTLES  MRP 90</v>
          </cell>
          <cell r="D1152">
            <v>0</v>
          </cell>
          <cell r="E1152">
            <v>0</v>
          </cell>
          <cell r="F1152">
            <v>0</v>
          </cell>
        </row>
        <row r="1153">
          <cell r="B1153">
            <v>40015745</v>
          </cell>
          <cell r="C1153" t="str">
            <v>EZEE NGR 500gm 24 BOTTLES  MRP 90-CSD</v>
          </cell>
          <cell r="D1153">
            <v>0</v>
          </cell>
          <cell r="E1153">
            <v>0</v>
          </cell>
          <cell r="F1153">
            <v>0</v>
          </cell>
        </row>
        <row r="1154">
          <cell r="B1154">
            <v>40035006</v>
          </cell>
          <cell r="C1154" t="str">
            <v>EZEE 500gm 24 BOTTLES MRP 105</v>
          </cell>
          <cell r="D1154">
            <v>0</v>
          </cell>
          <cell r="E1154">
            <v>0</v>
          </cell>
          <cell r="F1154">
            <v>0</v>
          </cell>
        </row>
        <row r="1155">
          <cell r="B1155">
            <v>40037758</v>
          </cell>
          <cell r="C1155" t="str">
            <v>EZEE 500gm 24 BOTTLES MRP 110</v>
          </cell>
          <cell r="D1155">
            <v>0</v>
          </cell>
          <cell r="E1155">
            <v>0</v>
          </cell>
          <cell r="F1155">
            <v>0</v>
          </cell>
        </row>
        <row r="1156">
          <cell r="B1156">
            <v>40050254</v>
          </cell>
          <cell r="C1156" t="str">
            <v>EZEE 500gm 24 BOTTLES MRP 115 10%PCR</v>
          </cell>
          <cell r="D1156">
            <v>0</v>
          </cell>
          <cell r="E1156">
            <v>0</v>
          </cell>
          <cell r="F1156">
            <v>0</v>
          </cell>
        </row>
        <row r="1157">
          <cell r="B1157">
            <v>40050882</v>
          </cell>
          <cell r="C1157" t="str">
            <v>EZEE 500GM BOTTLE M120 P24 10%PCR</v>
          </cell>
          <cell r="D1157">
            <v>0</v>
          </cell>
          <cell r="E1157">
            <v>0</v>
          </cell>
          <cell r="F1157">
            <v>0</v>
          </cell>
        </row>
        <row r="1158">
          <cell r="B1158">
            <v>40056360</v>
          </cell>
          <cell r="C1158" t="str">
            <v>EZEE 500GM BOTTLE M120 P24 10%PCR NF</v>
          </cell>
          <cell r="D1158">
            <v>0</v>
          </cell>
          <cell r="E1158">
            <v>0</v>
          </cell>
          <cell r="F1158">
            <v>0</v>
          </cell>
        </row>
        <row r="1159">
          <cell r="B1159">
            <v>40057354</v>
          </cell>
          <cell r="C1159" t="str">
            <v>EZEE 500G M120 P24 10%PCR NF OW FRSH STK</v>
          </cell>
          <cell r="D1159">
            <v>0</v>
          </cell>
          <cell r="E1159">
            <v>0</v>
          </cell>
          <cell r="F1159">
            <v>0</v>
          </cell>
        </row>
        <row r="1160">
          <cell r="B1160">
            <v>40058310</v>
          </cell>
          <cell r="C1160" t="str">
            <v>EZEE 500G M120 P24 50 % PCR</v>
          </cell>
          <cell r="D1160">
            <v>0</v>
          </cell>
          <cell r="E1160">
            <v>0</v>
          </cell>
          <cell r="F1160">
            <v>0</v>
          </cell>
        </row>
        <row r="1161">
          <cell r="B1161">
            <v>40058627</v>
          </cell>
          <cell r="C1161" t="str">
            <v>EZEE 500G M120.00 P24 CSD OLD F</v>
          </cell>
          <cell r="D1161">
            <v>0</v>
          </cell>
          <cell r="E1161">
            <v>0</v>
          </cell>
          <cell r="F1161">
            <v>0</v>
          </cell>
        </row>
        <row r="1162">
          <cell r="B1162">
            <v>40059590</v>
          </cell>
          <cell r="C1162" t="str">
            <v>EZEE 500G M120 P24 50%PCR NF OW NEW PACK</v>
          </cell>
          <cell r="D1162">
            <v>0</v>
          </cell>
          <cell r="E1162">
            <v>0</v>
          </cell>
          <cell r="F1162">
            <v>0</v>
          </cell>
        </row>
        <row r="1163">
          <cell r="B1163">
            <v>40059623</v>
          </cell>
          <cell r="C1163" t="str">
            <v>EZEE 500G M120 P24 50%PCR NF</v>
          </cell>
          <cell r="D1163">
            <v>0</v>
          </cell>
          <cell r="E1163">
            <v>0</v>
          </cell>
          <cell r="F1163">
            <v>0</v>
          </cell>
        </row>
        <row r="1164">
          <cell r="B1164">
            <v>40060220</v>
          </cell>
          <cell r="C1164" t="str">
            <v>EZEENGR 500GM BOTTLES M120P24 CSD OLD AW</v>
          </cell>
          <cell r="D1164">
            <v>0</v>
          </cell>
          <cell r="E1164">
            <v>0</v>
          </cell>
          <cell r="F1164">
            <v>0</v>
          </cell>
        </row>
        <row r="1165">
          <cell r="B1165">
            <v>40060739</v>
          </cell>
          <cell r="C1165" t="str">
            <v>EZEE 500G M130 P24 50 % PCR</v>
          </cell>
          <cell r="D1165">
            <v>0</v>
          </cell>
          <cell r="E1165">
            <v>0</v>
          </cell>
          <cell r="F1165">
            <v>0</v>
          </cell>
        </row>
        <row r="1166">
          <cell r="B1166">
            <v>40063690</v>
          </cell>
          <cell r="C1166" t="str">
            <v>EZEE 500G M130 P24 50 % PCR CSD</v>
          </cell>
          <cell r="D1166">
            <v>0</v>
          </cell>
          <cell r="E1166">
            <v>0</v>
          </cell>
          <cell r="F1166">
            <v>0</v>
          </cell>
        </row>
        <row r="1167">
          <cell r="B1167">
            <v>40066054</v>
          </cell>
          <cell r="C1167" t="str">
            <v>EZEE 500G M140 P24 50 % PCR CSD</v>
          </cell>
          <cell r="D1167">
            <v>0</v>
          </cell>
          <cell r="E1167">
            <v>0</v>
          </cell>
          <cell r="F1167">
            <v>0</v>
          </cell>
        </row>
        <row r="1168">
          <cell r="B1168">
            <v>40015639</v>
          </cell>
          <cell r="C1168" t="str">
            <v>EZEE NGR 1KG  12 BOTTLES  MRP 175-MT</v>
          </cell>
          <cell r="D1168">
            <v>0</v>
          </cell>
          <cell r="E1168">
            <v>0</v>
          </cell>
          <cell r="F1168">
            <v>0</v>
          </cell>
        </row>
        <row r="1169">
          <cell r="B1169">
            <v>40015577</v>
          </cell>
          <cell r="C1169" t="str">
            <v>EZEE NGR 40g+8gfree P200 MRP10 WB</v>
          </cell>
          <cell r="D1169">
            <v>0</v>
          </cell>
          <cell r="E1169">
            <v>0</v>
          </cell>
          <cell r="F1169">
            <v>0</v>
          </cell>
        </row>
        <row r="1170">
          <cell r="B1170">
            <v>40023354</v>
          </cell>
          <cell r="C1170" t="str">
            <v>EZEE 40g flowwrap216 sachet  MRP10</v>
          </cell>
          <cell r="D1170">
            <v>0</v>
          </cell>
          <cell r="E1170">
            <v>0</v>
          </cell>
          <cell r="F1170">
            <v>0</v>
          </cell>
        </row>
        <row r="1171">
          <cell r="B1171">
            <v>40031258</v>
          </cell>
          <cell r="C1171" t="str">
            <v>EZEE 40g non spout 216 sachetMRP10-MuT</v>
          </cell>
          <cell r="D1171">
            <v>0</v>
          </cell>
          <cell r="E1171">
            <v>0</v>
          </cell>
          <cell r="F1171">
            <v>0</v>
          </cell>
        </row>
        <row r="1172">
          <cell r="B1172">
            <v>40056369</v>
          </cell>
          <cell r="C1172" t="str">
            <v>EZEE 40G SACHET M10 P216 NF</v>
          </cell>
          <cell r="D1172">
            <v>0</v>
          </cell>
          <cell r="E1172">
            <v>0</v>
          </cell>
          <cell r="F1172">
            <v>0</v>
          </cell>
        </row>
        <row r="1173">
          <cell r="B1173">
            <v>40056833</v>
          </cell>
          <cell r="C1173" t="str">
            <v>EZEE 36G SACHET (12UX18N) M10 P216 NF</v>
          </cell>
          <cell r="D1173">
            <v>0</v>
          </cell>
          <cell r="E1173">
            <v>0</v>
          </cell>
          <cell r="F1173">
            <v>0</v>
          </cell>
        </row>
        <row r="1174">
          <cell r="B1174">
            <v>40060339</v>
          </cell>
          <cell r="C1174" t="str">
            <v>EZEE 36G SACHT(12UX18N) M10 P216 NF 12X1</v>
          </cell>
          <cell r="D1174">
            <v>0</v>
          </cell>
          <cell r="E1174">
            <v>0</v>
          </cell>
          <cell r="F1174">
            <v>0</v>
          </cell>
        </row>
        <row r="1175">
          <cell r="B1175">
            <v>40014918</v>
          </cell>
          <cell r="C1175" t="str">
            <v>EZEE NGR SACHET 20G (12x3x18) Pk648 MRP5</v>
          </cell>
          <cell r="D1175">
            <v>0</v>
          </cell>
          <cell r="E1175">
            <v>0</v>
          </cell>
          <cell r="F1175">
            <v>0</v>
          </cell>
        </row>
        <row r="1176">
          <cell r="B1176">
            <v>40057228</v>
          </cell>
          <cell r="C1176" t="str">
            <v>EZEE SACHET 20G (12U X 54N) P648 M5 NF</v>
          </cell>
          <cell r="D1176">
            <v>0</v>
          </cell>
          <cell r="E1176">
            <v>0</v>
          </cell>
          <cell r="F1176">
            <v>0</v>
          </cell>
        </row>
        <row r="1177">
          <cell r="B1177">
            <v>40058051</v>
          </cell>
          <cell r="C1177" t="str">
            <v>GODREJ FAB 950ML POUCH PK12 M99.00</v>
          </cell>
          <cell r="D1177">
            <v>0</v>
          </cell>
          <cell r="E1177">
            <v>0</v>
          </cell>
          <cell r="F1177">
            <v>0</v>
          </cell>
        </row>
        <row r="1178">
          <cell r="B1178">
            <v>40058656</v>
          </cell>
          <cell r="C1178" t="str">
            <v>GODREJ FAB 950ML POUCH PK12 M99.00 ECOM</v>
          </cell>
          <cell r="D1178">
            <v>0</v>
          </cell>
          <cell r="E1178">
            <v>0</v>
          </cell>
          <cell r="F1178">
            <v>0</v>
          </cell>
        </row>
        <row r="1179">
          <cell r="B1179">
            <v>40058657</v>
          </cell>
          <cell r="C1179" t="str">
            <v>GODREJ FAB 950ML POUCH PK12 M99.00 MT</v>
          </cell>
          <cell r="D1179">
            <v>0</v>
          </cell>
          <cell r="E1179">
            <v>0</v>
          </cell>
          <cell r="F1179">
            <v>0</v>
          </cell>
        </row>
        <row r="1180">
          <cell r="B1180">
            <v>40057629</v>
          </cell>
          <cell r="C1180" t="str">
            <v>GODREJ FAB 2LTR POUCH M225 P6 – MT</v>
          </cell>
          <cell r="D1180">
            <v>0</v>
          </cell>
          <cell r="E1180">
            <v>0</v>
          </cell>
          <cell r="F1180">
            <v>0</v>
          </cell>
        </row>
        <row r="1181">
          <cell r="B1181">
            <v>40057580</v>
          </cell>
          <cell r="C1181" t="str">
            <v>GODREJ FAB 4LTR POUCH M400 P3 MT</v>
          </cell>
          <cell r="D1181">
            <v>0</v>
          </cell>
          <cell r="E1181">
            <v>0</v>
          </cell>
          <cell r="F1181">
            <v>0</v>
          </cell>
        </row>
        <row r="1182">
          <cell r="B1182">
            <v>40059157</v>
          </cell>
          <cell r="C1182" t="str">
            <v>GODREJ FAB 4LTR POUCH M400 P3 MTN</v>
          </cell>
          <cell r="D1182">
            <v>0</v>
          </cell>
          <cell r="E1182">
            <v>0</v>
          </cell>
          <cell r="F1182">
            <v>0</v>
          </cell>
        </row>
        <row r="1183">
          <cell r="B1183">
            <v>40059356</v>
          </cell>
          <cell r="C1183" t="str">
            <v>GODREJ FAB 4LTR POUCH M400 P3 GT</v>
          </cell>
          <cell r="D1183">
            <v>0</v>
          </cell>
          <cell r="E1183">
            <v>0</v>
          </cell>
          <cell r="F1183">
            <v>0</v>
          </cell>
        </row>
        <row r="1184">
          <cell r="B1184">
            <v>40059587</v>
          </cell>
          <cell r="C1184" t="str">
            <v>GODREJ FAB 4LTR POUCH NEW M425 P3 MT NF</v>
          </cell>
          <cell r="D1184">
            <v>0</v>
          </cell>
          <cell r="E1184">
            <v>0</v>
          </cell>
          <cell r="F1184">
            <v>0</v>
          </cell>
        </row>
        <row r="1185">
          <cell r="B1185">
            <v>40059594</v>
          </cell>
          <cell r="C1185" t="str">
            <v>GODREJ FAB 4LTR POUCH M425 P3 MT</v>
          </cell>
          <cell r="D1185">
            <v>0</v>
          </cell>
          <cell r="E1185">
            <v>0</v>
          </cell>
          <cell r="F1185">
            <v>0</v>
          </cell>
        </row>
        <row r="1186">
          <cell r="B1186">
            <v>40060281</v>
          </cell>
          <cell r="C1186" t="str">
            <v>GODREJ FAB 4LTR POUCH M425 P3 GT</v>
          </cell>
          <cell r="D1186">
            <v>0</v>
          </cell>
          <cell r="E1186">
            <v>0</v>
          </cell>
          <cell r="F1186">
            <v>0</v>
          </cell>
        </row>
        <row r="1187">
          <cell r="B1187">
            <v>40060342</v>
          </cell>
          <cell r="C1187" t="str">
            <v>GODREJ FAB 4LTR POUCH M425 P3 ECOM</v>
          </cell>
          <cell r="D1187">
            <v>0</v>
          </cell>
          <cell r="E1187">
            <v>0</v>
          </cell>
          <cell r="F1187">
            <v>0</v>
          </cell>
        </row>
        <row r="1188">
          <cell r="B1188">
            <v>40063569</v>
          </cell>
          <cell r="C1188" t="str">
            <v>GODREJ FAB 4LTR POUCH NEW M499 P3 MT NF</v>
          </cell>
          <cell r="D1188">
            <v>0</v>
          </cell>
          <cell r="E1188">
            <v>0</v>
          </cell>
          <cell r="F1188">
            <v>0</v>
          </cell>
        </row>
        <row r="1189">
          <cell r="B1189">
            <v>40063807</v>
          </cell>
          <cell r="C1189" t="str">
            <v>GODREJ FAB4LTR POUCH NEW M499P3 MT NF NW</v>
          </cell>
          <cell r="D1189">
            <v>0</v>
          </cell>
          <cell r="E1189">
            <v>0</v>
          </cell>
          <cell r="F1189">
            <v>0</v>
          </cell>
        </row>
        <row r="1190">
          <cell r="B1190">
            <v>40064259</v>
          </cell>
          <cell r="C1190" t="str">
            <v>GODREJ FAB 4KG POUCH M499 P3 GT</v>
          </cell>
          <cell r="D1190">
            <v>0</v>
          </cell>
          <cell r="E1190">
            <v>0</v>
          </cell>
          <cell r="F1190">
            <v>0</v>
          </cell>
        </row>
        <row r="1191">
          <cell r="B1191">
            <v>40060512</v>
          </cell>
          <cell r="C1191" t="str">
            <v>GODREJ FAB FRONT LOAD 4LTR POUCH P3 M525</v>
          </cell>
          <cell r="D1191">
            <v>0</v>
          </cell>
          <cell r="E1191">
            <v>0</v>
          </cell>
          <cell r="F1191">
            <v>0</v>
          </cell>
        </row>
        <row r="1192">
          <cell r="B1192">
            <v>40062379</v>
          </cell>
          <cell r="C1192" t="str">
            <v>FAB FRONT LOAD 4LTR NEW AW P3 M525</v>
          </cell>
          <cell r="D1192">
            <v>0</v>
          </cell>
          <cell r="E1192">
            <v>0</v>
          </cell>
          <cell r="F1192">
            <v>0</v>
          </cell>
        </row>
        <row r="1193">
          <cell r="B1193">
            <v>40065288</v>
          </cell>
          <cell r="C1193" t="str">
            <v>FAB FRONT LOAD 4LTR NEW AW P3 M660</v>
          </cell>
          <cell r="D1193">
            <v>0</v>
          </cell>
          <cell r="E1193">
            <v>0</v>
          </cell>
          <cell r="F1193">
            <v>0</v>
          </cell>
        </row>
        <row r="1194">
          <cell r="B1194">
            <v>40042929</v>
          </cell>
          <cell r="C1194" t="str">
            <v>Godrej Fab 100ml Sachet PK144 MRP10</v>
          </cell>
          <cell r="D1194">
            <v>0</v>
          </cell>
          <cell r="E1194">
            <v>0</v>
          </cell>
          <cell r="F1194">
            <v>0</v>
          </cell>
        </row>
        <row r="1195">
          <cell r="B1195">
            <v>40050001</v>
          </cell>
          <cell r="C1195" t="str">
            <v>Godrej Fab 100ml Sachet PK144 MRP10 – NF</v>
          </cell>
          <cell r="D1195">
            <v>0</v>
          </cell>
          <cell r="E1195">
            <v>0</v>
          </cell>
          <cell r="F1195">
            <v>0</v>
          </cell>
        </row>
        <row r="1196">
          <cell r="B1196">
            <v>40050885</v>
          </cell>
          <cell r="C1196" t="str">
            <v>GODREJ FAB 100ML SACHET M10 P72</v>
          </cell>
          <cell r="D1196">
            <v>0</v>
          </cell>
          <cell r="E1196">
            <v>0</v>
          </cell>
          <cell r="F1196">
            <v>0</v>
          </cell>
        </row>
        <row r="1197">
          <cell r="B1197">
            <v>40058068</v>
          </cell>
          <cell r="C1197" t="str">
            <v>GODREJ FAB 75ML SACHET M10.00 P96</v>
          </cell>
          <cell r="D1197">
            <v>0</v>
          </cell>
          <cell r="E1197">
            <v>0</v>
          </cell>
          <cell r="F1197">
            <v>0</v>
          </cell>
        </row>
        <row r="1198">
          <cell r="B1198">
            <v>40059604</v>
          </cell>
          <cell r="C1198" t="str">
            <v>GODREJ FAB 75ML SACHET M10P96 OFF NF</v>
          </cell>
          <cell r="D1198">
            <v>0</v>
          </cell>
          <cell r="E1198">
            <v>0</v>
          </cell>
          <cell r="F1198">
            <v>0</v>
          </cell>
        </row>
        <row r="1199">
          <cell r="B1199">
            <v>40060516</v>
          </cell>
          <cell r="C1199" t="str">
            <v>GODREJ FAB 75+15ML SACHET M10 P96</v>
          </cell>
          <cell r="D1199">
            <v>0</v>
          </cell>
          <cell r="E1199">
            <v>0</v>
          </cell>
          <cell r="F1199">
            <v>0</v>
          </cell>
        </row>
        <row r="1200">
          <cell r="B1200">
            <v>40064260</v>
          </cell>
          <cell r="C1200" t="str">
            <v>GODREJ FAB 90ML SACHET M10 P96</v>
          </cell>
          <cell r="D1200">
            <v>0</v>
          </cell>
          <cell r="E1200">
            <v>0</v>
          </cell>
          <cell r="F1200">
            <v>0</v>
          </cell>
        </row>
        <row r="1201">
          <cell r="B1201">
            <v>40064296</v>
          </cell>
          <cell r="C1201" t="str">
            <v>GODREJ FAB 75ML SACHET M10 P144 TT ONLY</v>
          </cell>
          <cell r="D1201">
            <v>0</v>
          </cell>
          <cell r="E1201">
            <v>0</v>
          </cell>
          <cell r="F1201">
            <v>0</v>
          </cell>
        </row>
        <row r="1202">
          <cell r="B1202">
            <v>40064486</v>
          </cell>
          <cell r="C1202" t="str">
            <v>FAB 75ML SACHT M10P96 NF LAM DOW CHEM TT</v>
          </cell>
          <cell r="D1202">
            <v>0</v>
          </cell>
          <cell r="E1202">
            <v>0</v>
          </cell>
          <cell r="F1202">
            <v>0</v>
          </cell>
        </row>
        <row r="1203">
          <cell r="B1203">
            <v>40065780</v>
          </cell>
          <cell r="C1203" t="str">
            <v>FAB 75GMS SACHET M10P96 TT SIX TRACK MC</v>
          </cell>
          <cell r="D1203">
            <v>0</v>
          </cell>
          <cell r="E1203">
            <v>0</v>
          </cell>
          <cell r="F1203">
            <v>0</v>
          </cell>
        </row>
        <row r="1204">
          <cell r="B1204">
            <v>40064293</v>
          </cell>
          <cell r="C1204" t="str">
            <v>GODREJ FAB 35GMS M5 P288 TT ONLY</v>
          </cell>
          <cell r="D1204">
            <v>0</v>
          </cell>
          <cell r="E1204">
            <v>0</v>
          </cell>
          <cell r="F1204">
            <v>0</v>
          </cell>
        </row>
        <row r="1205">
          <cell r="B1205">
            <v>40034847</v>
          </cell>
          <cell r="C1205" t="str">
            <v>GENTEEL 1KgB1G1 Free P6 MRP330</v>
          </cell>
          <cell r="D1205">
            <v>0</v>
          </cell>
          <cell r="E1205">
            <v>0</v>
          </cell>
          <cell r="F1205">
            <v>0</v>
          </cell>
        </row>
        <row r="1206">
          <cell r="B1206">
            <v>40059498</v>
          </cell>
          <cell r="C1206" t="str">
            <v>GENTEEL 500GM+500GM M175P12 CSD F</v>
          </cell>
          <cell r="D1206">
            <v>0</v>
          </cell>
          <cell r="E1206">
            <v>0</v>
          </cell>
          <cell r="F1206">
            <v>0</v>
          </cell>
        </row>
        <row r="1207">
          <cell r="B1207">
            <v>40027525</v>
          </cell>
          <cell r="C1207" t="str">
            <v>GENTEEL 2Kg Pouch PK6 MRP320</v>
          </cell>
          <cell r="D1207">
            <v>0</v>
          </cell>
          <cell r="E1207">
            <v>0</v>
          </cell>
          <cell r="F1207">
            <v>0</v>
          </cell>
        </row>
        <row r="1208">
          <cell r="B1208">
            <v>40033432</v>
          </cell>
          <cell r="C1208" t="str">
            <v>Genteel 2kg Pouch NF M320P6 Ecom</v>
          </cell>
          <cell r="D1208">
            <v>0</v>
          </cell>
          <cell r="E1208">
            <v>0</v>
          </cell>
          <cell r="F1208">
            <v>0</v>
          </cell>
        </row>
        <row r="1209">
          <cell r="B1209">
            <v>40039204</v>
          </cell>
          <cell r="C1209" t="str">
            <v>GENTEEL 2Kg Pouch PK6 MRP350MT</v>
          </cell>
          <cell r="D1209">
            <v>0</v>
          </cell>
          <cell r="E1209">
            <v>0</v>
          </cell>
          <cell r="F1209">
            <v>0</v>
          </cell>
        </row>
        <row r="1210">
          <cell r="B1210">
            <v>40039550</v>
          </cell>
          <cell r="C1210" t="str">
            <v>GENTEEL 2Kg Pouch PK6 MRP290 Ecom</v>
          </cell>
          <cell r="D1210">
            <v>0</v>
          </cell>
          <cell r="E1210">
            <v>0</v>
          </cell>
          <cell r="F1210">
            <v>0</v>
          </cell>
        </row>
        <row r="1211">
          <cell r="B1211">
            <v>40056894</v>
          </cell>
          <cell r="C1211" t="str">
            <v>GENTEEL 2KG POUCH M290 P6 GT</v>
          </cell>
          <cell r="D1211">
            <v>0</v>
          </cell>
          <cell r="E1211">
            <v>0</v>
          </cell>
          <cell r="F1211">
            <v>0</v>
          </cell>
        </row>
        <row r="1212">
          <cell r="B1212">
            <v>40058457</v>
          </cell>
          <cell r="C1212" t="str">
            <v>GENTEEL TL 2KG POUCH M320 P6 GT</v>
          </cell>
          <cell r="D1212">
            <v>0</v>
          </cell>
          <cell r="E1212">
            <v>0</v>
          </cell>
          <cell r="F1212">
            <v>0</v>
          </cell>
        </row>
        <row r="1213">
          <cell r="B1213">
            <v>40058878</v>
          </cell>
          <cell r="C1213" t="str">
            <v>GENTEEL TL 2KG POUCH M320 P6 MT</v>
          </cell>
          <cell r="D1213">
            <v>0</v>
          </cell>
          <cell r="E1213">
            <v>0</v>
          </cell>
          <cell r="F1213">
            <v>0</v>
          </cell>
        </row>
        <row r="1214">
          <cell r="B1214">
            <v>40058880</v>
          </cell>
          <cell r="C1214" t="str">
            <v>GENTEEL TL 2KG POUCH M320 P6 NEWF</v>
          </cell>
          <cell r="D1214">
            <v>0</v>
          </cell>
          <cell r="E1214">
            <v>0</v>
          </cell>
          <cell r="F1214">
            <v>0</v>
          </cell>
        </row>
        <row r="1215">
          <cell r="B1215">
            <v>40060373</v>
          </cell>
          <cell r="C1215" t="str">
            <v>GENTEEL TL 2KG POUCH M320 P6 NEWF ECOM</v>
          </cell>
          <cell r="D1215">
            <v>0</v>
          </cell>
          <cell r="E1215">
            <v>0</v>
          </cell>
          <cell r="F1215">
            <v>0</v>
          </cell>
        </row>
        <row r="1216">
          <cell r="B1216">
            <v>40060650</v>
          </cell>
          <cell r="C1216" t="str">
            <v>GENTEEL TL 2KG POUCH M320 P6 NEWPRF</v>
          </cell>
          <cell r="D1216">
            <v>0</v>
          </cell>
          <cell r="E1216">
            <v>0</v>
          </cell>
          <cell r="F1216">
            <v>0</v>
          </cell>
        </row>
        <row r="1217">
          <cell r="B1217">
            <v>40065429</v>
          </cell>
          <cell r="C1217" t="str">
            <v>GENTEEL 2Kg Pouch PK6 MRP290MT LIQ</v>
          </cell>
          <cell r="D1217">
            <v>0</v>
          </cell>
          <cell r="E1217">
            <v>0</v>
          </cell>
          <cell r="F1217">
            <v>0</v>
          </cell>
        </row>
        <row r="1218">
          <cell r="B1218">
            <v>40056878</v>
          </cell>
          <cell r="C1218" t="str">
            <v>GENTEEL 2KG POUCH M340 P6 FL GT</v>
          </cell>
          <cell r="D1218">
            <v>0</v>
          </cell>
          <cell r="E1218">
            <v>0</v>
          </cell>
          <cell r="F1218">
            <v>0</v>
          </cell>
        </row>
        <row r="1219">
          <cell r="B1219">
            <v>40058882</v>
          </cell>
          <cell r="C1219" t="str">
            <v>GENTEEL TL 3.2KG POUCH M480 P4 NEWF</v>
          </cell>
          <cell r="D1219">
            <v>0</v>
          </cell>
          <cell r="E1219">
            <v>0</v>
          </cell>
          <cell r="F1219">
            <v>0</v>
          </cell>
        </row>
        <row r="1220">
          <cell r="B1220">
            <v>40057606</v>
          </cell>
          <cell r="C1220" t="str">
            <v>GENTEEL 4KG POUCH M560 P3 TOP LOAD</v>
          </cell>
          <cell r="D1220">
            <v>0</v>
          </cell>
          <cell r="E1220">
            <v>0</v>
          </cell>
          <cell r="F1220">
            <v>0</v>
          </cell>
        </row>
        <row r="1221">
          <cell r="B1221">
            <v>40058881</v>
          </cell>
          <cell r="C1221" t="str">
            <v>GENTEEL 4KG POUCH M560 P3 TOP LOAD NEWF</v>
          </cell>
          <cell r="D1221">
            <v>0</v>
          </cell>
          <cell r="E1221">
            <v>0</v>
          </cell>
          <cell r="F1221">
            <v>0</v>
          </cell>
        </row>
        <row r="1222">
          <cell r="B1222">
            <v>40059161</v>
          </cell>
          <cell r="C1222" t="str">
            <v>GENTEEL 4KG POUCH M560 P3 TOP LOAD MT</v>
          </cell>
          <cell r="D1222">
            <v>0</v>
          </cell>
          <cell r="E1222">
            <v>0</v>
          </cell>
          <cell r="F1222">
            <v>0</v>
          </cell>
        </row>
        <row r="1223">
          <cell r="B1223">
            <v>40059599</v>
          </cell>
          <cell r="C1223" t="str">
            <v>GENTEEL 4KG POUCH M620 P3 TL</v>
          </cell>
          <cell r="D1223">
            <v>0</v>
          </cell>
          <cell r="E1223">
            <v>0</v>
          </cell>
          <cell r="F1223">
            <v>0</v>
          </cell>
        </row>
        <row r="1224">
          <cell r="B1224">
            <v>40060349</v>
          </cell>
          <cell r="C1224" t="str">
            <v>GENTEEL 4KG POUCH M620 P3 ECOM</v>
          </cell>
          <cell r="D1224">
            <v>0</v>
          </cell>
          <cell r="E1224">
            <v>0</v>
          </cell>
          <cell r="F1224">
            <v>0</v>
          </cell>
        </row>
        <row r="1225">
          <cell r="B1225">
            <v>40060654</v>
          </cell>
          <cell r="C1225" t="str">
            <v>GENTEEL 4KG POUCH M620 P3 TL PRF</v>
          </cell>
          <cell r="D1225">
            <v>0</v>
          </cell>
          <cell r="E1225">
            <v>0</v>
          </cell>
          <cell r="F1225">
            <v>0</v>
          </cell>
        </row>
        <row r="1226">
          <cell r="B1226">
            <v>40057605</v>
          </cell>
          <cell r="C1226" t="str">
            <v>GENTEEL 4KG POUCH M650 P3 FL</v>
          </cell>
          <cell r="D1226">
            <v>0</v>
          </cell>
          <cell r="E1226">
            <v>0</v>
          </cell>
          <cell r="F1226">
            <v>0</v>
          </cell>
        </row>
        <row r="1227">
          <cell r="B1227">
            <v>40060656</v>
          </cell>
          <cell r="C1227" t="str">
            <v>GENTEEL 4KG POUCH M650 P3 FL PRF</v>
          </cell>
          <cell r="D1227">
            <v>0</v>
          </cell>
          <cell r="E1227">
            <v>0</v>
          </cell>
          <cell r="F1227">
            <v>0</v>
          </cell>
        </row>
        <row r="1228">
          <cell r="B1228">
            <v>40029581</v>
          </cell>
          <cell r="C1228" t="str">
            <v>EZEE 2IN1 Fabcon 1KG 12 BOTTLES MRP 230</v>
          </cell>
          <cell r="D1228">
            <v>0</v>
          </cell>
          <cell r="E1228">
            <v>0</v>
          </cell>
          <cell r="F1228">
            <v>0</v>
          </cell>
        </row>
        <row r="1229">
          <cell r="B1229">
            <v>40034527</v>
          </cell>
          <cell r="C1229" t="str">
            <v>EZEE 2IN1 fabcon 1KG P12 MRP 230 MT CO</v>
          </cell>
          <cell r="D1229">
            <v>0</v>
          </cell>
          <cell r="E1229">
            <v>0</v>
          </cell>
          <cell r="F1229">
            <v>0</v>
          </cell>
        </row>
        <row r="1230">
          <cell r="B1230">
            <v>40029617</v>
          </cell>
          <cell r="C1230" t="str">
            <v>EZEE 2IN1 Fabcon 500g24 BOTTLES MRP 120</v>
          </cell>
          <cell r="D1230">
            <v>0</v>
          </cell>
          <cell r="E1230">
            <v>0</v>
          </cell>
          <cell r="F1230">
            <v>0</v>
          </cell>
        </row>
        <row r="1231">
          <cell r="B1231">
            <v>40029862</v>
          </cell>
          <cell r="C1231" t="str">
            <v>EZEE 2IN1 FabSan 1KG  12 BOTTLES  MRP230</v>
          </cell>
          <cell r="D1231">
            <v>0</v>
          </cell>
          <cell r="E1231">
            <v>0</v>
          </cell>
          <cell r="F1231">
            <v>0</v>
          </cell>
        </row>
        <row r="1232">
          <cell r="B1232">
            <v>40012978</v>
          </cell>
          <cell r="C1232" t="str">
            <v>ANOOP HERBAL OIL 50ML P24 MRP175</v>
          </cell>
          <cell r="D1232">
            <v>0</v>
          </cell>
          <cell r="E1232">
            <v>0</v>
          </cell>
          <cell r="F1232">
            <v>0</v>
          </cell>
        </row>
        <row r="1233">
          <cell r="B1233">
            <v>40000072</v>
          </cell>
          <cell r="C1233" t="str">
            <v>BC HYBRDZ HRGLWTLK SPHLD125gM 105 P 36</v>
          </cell>
          <cell r="D1233">
            <v>0</v>
          </cell>
          <cell r="E1233">
            <v>0</v>
          </cell>
          <cell r="F1233">
            <v>0</v>
          </cell>
        </row>
        <row r="1234">
          <cell r="B1234">
            <v>40000098</v>
          </cell>
          <cell r="C1234" t="str">
            <v>BC ULT.STRG HOLD GEL 300G MRP 130 PS 24</v>
          </cell>
          <cell r="D1234">
            <v>0</v>
          </cell>
          <cell r="E1234">
            <v>0</v>
          </cell>
          <cell r="F1234">
            <v>0</v>
          </cell>
        </row>
        <row r="1235">
          <cell r="B1235">
            <v>40001663</v>
          </cell>
          <cell r="C1235" t="str">
            <v>RENEW 20ML NAT BLK 36 PKS MRP49.00</v>
          </cell>
          <cell r="D1235">
            <v>0</v>
          </cell>
          <cell r="E1235">
            <v>0</v>
          </cell>
          <cell r="F1235">
            <v>0</v>
          </cell>
        </row>
        <row r="1236">
          <cell r="B1236">
            <v>40014875</v>
          </cell>
          <cell r="C1236" t="str">
            <v>Godrej Renew 50ml Nat Black P36 M155</v>
          </cell>
          <cell r="D1236">
            <v>0</v>
          </cell>
          <cell r="E1236">
            <v>0</v>
          </cell>
          <cell r="F1236">
            <v>0</v>
          </cell>
        </row>
        <row r="1237">
          <cell r="B1237">
            <v>40001696</v>
          </cell>
          <cell r="C1237" t="str">
            <v>RENEW 50ML CINNA RED NEW 36PKS RS99 SHAM</v>
          </cell>
          <cell r="D1237">
            <v>0</v>
          </cell>
          <cell r="E1237">
            <v>0</v>
          </cell>
          <cell r="F1237">
            <v>0</v>
          </cell>
        </row>
        <row r="1238">
          <cell r="B1238">
            <v>40001657</v>
          </cell>
          <cell r="C1238" t="str">
            <v>RENEW 20ML BURG 36PKS MRP49 SHAMPOO FREE</v>
          </cell>
          <cell r="D1238">
            <v>0</v>
          </cell>
          <cell r="E1238">
            <v>0</v>
          </cell>
          <cell r="F1238">
            <v>0</v>
          </cell>
        </row>
        <row r="1239">
          <cell r="B1239">
            <v>40001677</v>
          </cell>
          <cell r="C1239" t="str">
            <v>RENEW 50G BURG NEW 36 PKS MRP99 SHAMPOO</v>
          </cell>
          <cell r="D1239">
            <v>0</v>
          </cell>
          <cell r="E1239">
            <v>0</v>
          </cell>
          <cell r="F1239">
            <v>0</v>
          </cell>
        </row>
        <row r="1240">
          <cell r="B1240">
            <v>40050401</v>
          </cell>
          <cell r="C1240" t="str">
            <v>GOD SELFIE 5ML M15.00 P360 NBLCK SRPILOT</v>
          </cell>
          <cell r="D1240">
            <v>0</v>
          </cell>
          <cell r="E1240">
            <v>0</v>
          </cell>
          <cell r="F1240">
            <v>0</v>
          </cell>
        </row>
        <row r="1241">
          <cell r="B1241">
            <v>40026424</v>
          </cell>
          <cell r="C1241" t="str">
            <v>Exp Easy NBlk 5min Hair Col M25 P144</v>
          </cell>
          <cell r="D1241">
            <v>0</v>
          </cell>
          <cell r="E1241">
            <v>0</v>
          </cell>
          <cell r="F1241">
            <v>0</v>
          </cell>
        </row>
        <row r="1242">
          <cell r="B1242">
            <v>40032115</v>
          </cell>
          <cell r="C1242" t="str">
            <v>ExpEasy5Min2.0 NBlk 20ml PO12 M300 P12</v>
          </cell>
          <cell r="D1242">
            <v>0</v>
          </cell>
          <cell r="E1242">
            <v>0</v>
          </cell>
          <cell r="F1242">
            <v>0</v>
          </cell>
        </row>
        <row r="1243">
          <cell r="B1243">
            <v>40059717</v>
          </cell>
          <cell r="C1243" t="str">
            <v>GODREJ SELFIE SHC NTBLCK18MLPO4P36M120</v>
          </cell>
          <cell r="D1243">
            <v>0</v>
          </cell>
          <cell r="E1243">
            <v>0</v>
          </cell>
          <cell r="F1243">
            <v>0</v>
          </cell>
        </row>
        <row r="1244">
          <cell r="B1244">
            <v>40031787</v>
          </cell>
          <cell r="C1244" t="str">
            <v>ExpEasy5Min2.0 NBlk 20ml M25P144-6HGS</v>
          </cell>
          <cell r="D1244">
            <v>0</v>
          </cell>
          <cell r="E1244">
            <v>0</v>
          </cell>
          <cell r="F1244">
            <v>0</v>
          </cell>
        </row>
        <row r="1245">
          <cell r="B1245">
            <v>40032116</v>
          </cell>
          <cell r="C1245" t="str">
            <v>ExpEasy5Min2.0NBlk20mlPO12M300P12-6HGS</v>
          </cell>
          <cell r="D1245">
            <v>0</v>
          </cell>
          <cell r="E1245">
            <v>0</v>
          </cell>
          <cell r="F1245">
            <v>0</v>
          </cell>
        </row>
        <row r="1246">
          <cell r="B1246">
            <v>40036559</v>
          </cell>
          <cell r="C1246" t="str">
            <v>Godrej Self5min2.018mlNBlkPO12M25P144-NH</v>
          </cell>
          <cell r="D1246">
            <v>0</v>
          </cell>
          <cell r="E1246">
            <v>0</v>
          </cell>
          <cell r="F1246">
            <v>0</v>
          </cell>
        </row>
        <row r="1247">
          <cell r="B1247">
            <v>40032051</v>
          </cell>
          <cell r="C1247" t="str">
            <v>ExpEasy5min2.018mlNBlkPO12M300P12-6HGS</v>
          </cell>
          <cell r="D1247">
            <v>0</v>
          </cell>
          <cell r="E1247">
            <v>0</v>
          </cell>
          <cell r="F1247">
            <v>0</v>
          </cell>
        </row>
        <row r="1248">
          <cell r="B1248">
            <v>40038927</v>
          </cell>
          <cell r="C1248" t="str">
            <v>GodrejSelfieSHC 9ml+9ml P144 M30 NBlck</v>
          </cell>
          <cell r="D1248">
            <v>0</v>
          </cell>
          <cell r="E1248">
            <v>0</v>
          </cell>
          <cell r="F1248">
            <v>0</v>
          </cell>
        </row>
        <row r="1249">
          <cell r="B1249">
            <v>40042083</v>
          </cell>
          <cell r="C1249" t="str">
            <v>Godrej Selfie SHC NtBlck18mlPO8P144M30MT</v>
          </cell>
          <cell r="D1249">
            <v>0</v>
          </cell>
          <cell r="E1249">
            <v>0</v>
          </cell>
          <cell r="F1249">
            <v>0</v>
          </cell>
        </row>
        <row r="1250">
          <cell r="B1250">
            <v>40026423</v>
          </cell>
          <cell r="C1250" t="str">
            <v>Exp Easy NBrwn 5min Hair Col M25 P144</v>
          </cell>
          <cell r="D1250">
            <v>0</v>
          </cell>
          <cell r="E1250">
            <v>0</v>
          </cell>
          <cell r="F1250">
            <v>0</v>
          </cell>
        </row>
        <row r="1251">
          <cell r="B1251">
            <v>40035767</v>
          </cell>
          <cell r="C1251" t="str">
            <v>ExpEasy5min 2.0 18mlNBrwnM25P144</v>
          </cell>
          <cell r="D1251">
            <v>0</v>
          </cell>
          <cell r="E1251">
            <v>0</v>
          </cell>
          <cell r="F1251">
            <v>0</v>
          </cell>
        </row>
        <row r="1252">
          <cell r="B1252">
            <v>40027778</v>
          </cell>
          <cell r="C1252" t="str">
            <v>Exp Easy NBrwn 5min Hair Col M29 P144-N</v>
          </cell>
          <cell r="D1252">
            <v>0</v>
          </cell>
          <cell r="E1252">
            <v>0</v>
          </cell>
          <cell r="F1252">
            <v>0</v>
          </cell>
        </row>
        <row r="1253">
          <cell r="B1253">
            <v>40059700</v>
          </cell>
          <cell r="C1253" t="str">
            <v>GODREJ SELFIE SHC NBRWN18ML PO4 P36 M120</v>
          </cell>
          <cell r="D1253">
            <v>0</v>
          </cell>
          <cell r="E1253">
            <v>0</v>
          </cell>
          <cell r="F1253">
            <v>0</v>
          </cell>
        </row>
        <row r="1254">
          <cell r="B1254">
            <v>40031764</v>
          </cell>
          <cell r="C1254" t="str">
            <v>ExpEasy5Min2.0 NBrwn 25mlPO8 M40P96-MT</v>
          </cell>
          <cell r="D1254">
            <v>0</v>
          </cell>
          <cell r="E1254">
            <v>0</v>
          </cell>
          <cell r="F1254">
            <v>0</v>
          </cell>
        </row>
        <row r="1255">
          <cell r="B1255">
            <v>40014932</v>
          </cell>
          <cell r="C1255" t="str">
            <v>COLSOFT NAT BR 40ML 36 BOT MRP 159</v>
          </cell>
          <cell r="D1255">
            <v>0</v>
          </cell>
          <cell r="E1255">
            <v>0</v>
          </cell>
          <cell r="F1255">
            <v>0</v>
          </cell>
        </row>
        <row r="1256">
          <cell r="B1256">
            <v>40006768</v>
          </cell>
          <cell r="C1256" t="str">
            <v>COLSOFT SOFT 40BL 36 PACKS MRP140</v>
          </cell>
          <cell r="D1256">
            <v>0</v>
          </cell>
          <cell r="E1256">
            <v>0</v>
          </cell>
          <cell r="F1256">
            <v>0</v>
          </cell>
        </row>
        <row r="1257">
          <cell r="B1257">
            <v>40014937</v>
          </cell>
          <cell r="C1257" t="str">
            <v>EXPERT LHD REL NAT BL 20ML P48 MRP55</v>
          </cell>
          <cell r="D1257">
            <v>0</v>
          </cell>
          <cell r="E1257">
            <v>0</v>
          </cell>
          <cell r="F1257">
            <v>0</v>
          </cell>
        </row>
        <row r="1258">
          <cell r="B1258">
            <v>40000601</v>
          </cell>
          <cell r="C1258" t="str">
            <v>EXPERT LHD REL NAT BL 40ML36 MRP 65</v>
          </cell>
          <cell r="D1258">
            <v>0</v>
          </cell>
          <cell r="E1258">
            <v>0</v>
          </cell>
          <cell r="F1258">
            <v>0</v>
          </cell>
        </row>
        <row r="1259">
          <cell r="B1259">
            <v>40014938</v>
          </cell>
          <cell r="C1259" t="str">
            <v>EXPERT LHD REL NAT BL 40MLP36 MRP85</v>
          </cell>
          <cell r="D1259">
            <v>0</v>
          </cell>
          <cell r="E1259">
            <v>0</v>
          </cell>
          <cell r="F1259">
            <v>0</v>
          </cell>
        </row>
        <row r="1260">
          <cell r="B1260">
            <v>40001307</v>
          </cell>
          <cell r="C1260" t="str">
            <v>KK NAT BLK 40ML(GR PK) 72 BOT MRP25 REL</v>
          </cell>
          <cell r="D1260">
            <v>0</v>
          </cell>
          <cell r="E1260">
            <v>0</v>
          </cell>
          <cell r="F1260">
            <v>0</v>
          </cell>
        </row>
        <row r="1261">
          <cell r="B1261">
            <v>40040607</v>
          </cell>
          <cell r="C1261" t="str">
            <v>Tru Tone HaiDyeStick(Bl)7.5g(M69)RLP144</v>
          </cell>
          <cell r="D1261">
            <v>0</v>
          </cell>
          <cell r="E1261">
            <v>0</v>
          </cell>
          <cell r="F1261">
            <v>0</v>
          </cell>
        </row>
        <row r="1262">
          <cell r="B1262">
            <v>40041249</v>
          </cell>
          <cell r="C1262" t="str">
            <v>ExpCrm 12g Nat Blk WO CO P240 M20</v>
          </cell>
          <cell r="D1262">
            <v>0</v>
          </cell>
          <cell r="E1262">
            <v>0</v>
          </cell>
          <cell r="F1262">
            <v>0</v>
          </cell>
        </row>
        <row r="1263">
          <cell r="B1263">
            <v>40036072</v>
          </cell>
          <cell r="C1263" t="str">
            <v>ExpCrm 12g  NBlk P240 M15</v>
          </cell>
          <cell r="D1263">
            <v>0</v>
          </cell>
          <cell r="E1263">
            <v>0</v>
          </cell>
          <cell r="F1263">
            <v>0</v>
          </cell>
        </row>
        <row r="1264">
          <cell r="B1264">
            <v>40013640</v>
          </cell>
          <cell r="C1264" t="str">
            <v>ExpCreme 8Sac NBlk Streamr SB-H M240P24</v>
          </cell>
          <cell r="D1264">
            <v>0</v>
          </cell>
          <cell r="E1264">
            <v>0</v>
          </cell>
          <cell r="F1264">
            <v>0</v>
          </cell>
        </row>
        <row r="1265">
          <cell r="B1265">
            <v>40030464</v>
          </cell>
          <cell r="C1265" t="str">
            <v>ExpCrm P010 NBlk P24M300 (30*10)</v>
          </cell>
          <cell r="D1265">
            <v>0</v>
          </cell>
          <cell r="E1265">
            <v>0</v>
          </cell>
          <cell r="F1265">
            <v>0</v>
          </cell>
        </row>
        <row r="1266">
          <cell r="B1266">
            <v>40030808</v>
          </cell>
          <cell r="C1266" t="str">
            <v>ExpCrm 20g P010 NBlk P240M30</v>
          </cell>
          <cell r="D1266">
            <v>0</v>
          </cell>
          <cell r="E1266">
            <v>0</v>
          </cell>
          <cell r="F1266">
            <v>0</v>
          </cell>
        </row>
        <row r="1267">
          <cell r="B1267">
            <v>40037012</v>
          </cell>
          <cell r="C1267" t="str">
            <v>ExpCrm 20g P010 NBlk P240 M35</v>
          </cell>
          <cell r="D1267">
            <v>0</v>
          </cell>
          <cell r="E1267">
            <v>0</v>
          </cell>
          <cell r="F1267">
            <v>0</v>
          </cell>
        </row>
        <row r="1268">
          <cell r="B1268">
            <v>40042443</v>
          </cell>
          <cell r="C1268" t="str">
            <v>ExpCrm 20g P010 NBlk P240 M37</v>
          </cell>
          <cell r="D1268">
            <v>0</v>
          </cell>
          <cell r="E1268">
            <v>0</v>
          </cell>
          <cell r="F1268">
            <v>0</v>
          </cell>
        </row>
        <row r="1269">
          <cell r="B1269">
            <v>40050307</v>
          </cell>
          <cell r="C1269" t="str">
            <v>ExpCrm 20g P010 NBlk P240 M40 - 50Micr</v>
          </cell>
          <cell r="D1269">
            <v>0</v>
          </cell>
          <cell r="E1269">
            <v>0</v>
          </cell>
          <cell r="F1269">
            <v>0</v>
          </cell>
        </row>
        <row r="1270">
          <cell r="B1270">
            <v>40057698</v>
          </cell>
          <cell r="C1270" t="str">
            <v>EXPCRM 20G+20G+2ML P010 NBLK P240 M37</v>
          </cell>
          <cell r="D1270">
            <v>0</v>
          </cell>
          <cell r="E1270">
            <v>0</v>
          </cell>
          <cell r="F1270">
            <v>0</v>
          </cell>
        </row>
        <row r="1271">
          <cell r="B1271">
            <v>40061125</v>
          </cell>
          <cell r="C1271" t="str">
            <v>EXPCRM 20G+20G+2ML P010 NBLK P240 M40</v>
          </cell>
          <cell r="D1271">
            <v>0</v>
          </cell>
          <cell r="E1271">
            <v>0</v>
          </cell>
          <cell r="F1271">
            <v>0</v>
          </cell>
        </row>
        <row r="1272">
          <cell r="B1272">
            <v>40062061</v>
          </cell>
          <cell r="C1272" t="str">
            <v>EXPCRM 20G P010 NBLK P240M30 DPH</v>
          </cell>
          <cell r="D1272">
            <v>0</v>
          </cell>
          <cell r="E1272">
            <v>0</v>
          </cell>
          <cell r="F1272">
            <v>0</v>
          </cell>
        </row>
        <row r="1273">
          <cell r="B1273">
            <v>40063175</v>
          </cell>
          <cell r="C1273" t="str">
            <v>EXPCRM 20G+20G+2ML P010 NBLK P240 M30 ND</v>
          </cell>
          <cell r="D1273">
            <v>0</v>
          </cell>
          <cell r="E1273">
            <v>0</v>
          </cell>
          <cell r="F1273">
            <v>0</v>
          </cell>
        </row>
        <row r="1274">
          <cell r="B1274">
            <v>40034649</v>
          </cell>
          <cell r="C1274" t="str">
            <v>Expert Creme Nr Black  M33 P192-CSD</v>
          </cell>
          <cell r="D1274">
            <v>0</v>
          </cell>
          <cell r="E1274">
            <v>0</v>
          </cell>
          <cell r="F1274">
            <v>0</v>
          </cell>
        </row>
        <row r="1275">
          <cell r="B1275">
            <v>40056904</v>
          </cell>
          <cell r="C1275" t="str">
            <v>Expert GERC NAT BLK50G+50ML BOX M130 P36</v>
          </cell>
          <cell r="D1275">
            <v>0</v>
          </cell>
          <cell r="E1275">
            <v>0</v>
          </cell>
          <cell r="F1275">
            <v>0</v>
          </cell>
        </row>
        <row r="1276">
          <cell r="B1276">
            <v>40013635</v>
          </cell>
          <cell r="C1276" t="str">
            <v>ExpCreme 8SingleNBlk SB M30P192(24*8)MT</v>
          </cell>
          <cell r="D1276">
            <v>0</v>
          </cell>
          <cell r="E1276">
            <v>0</v>
          </cell>
          <cell r="F1276">
            <v>0</v>
          </cell>
        </row>
        <row r="1277">
          <cell r="B1277">
            <v>40037010</v>
          </cell>
          <cell r="C1277" t="str">
            <v>Expert crème Nt Blk PO8 M35 P240-MT</v>
          </cell>
          <cell r="D1277">
            <v>0</v>
          </cell>
          <cell r="E1277">
            <v>0</v>
          </cell>
          <cell r="F1277">
            <v>0</v>
          </cell>
        </row>
        <row r="1278">
          <cell r="B1278">
            <v>40043901</v>
          </cell>
          <cell r="C1278" t="str">
            <v>Expert Crème Nt Blk PO8 M40 P240 MT</v>
          </cell>
          <cell r="D1278">
            <v>0</v>
          </cell>
          <cell r="E1278">
            <v>0</v>
          </cell>
          <cell r="F1278">
            <v>0</v>
          </cell>
        </row>
        <row r="1279">
          <cell r="B1279">
            <v>40063501</v>
          </cell>
          <cell r="C1279" t="str">
            <v>EXPERT CRÈME NT BLK PO8 M40 P240 MT CSD</v>
          </cell>
          <cell r="D1279">
            <v>0</v>
          </cell>
          <cell r="E1279">
            <v>0</v>
          </cell>
          <cell r="F1279">
            <v>0</v>
          </cell>
        </row>
        <row r="1280">
          <cell r="B1280">
            <v>40028679</v>
          </cell>
          <cell r="C1280" t="str">
            <v>Expert CrèmePO4NatBlkM120P24 ECOM</v>
          </cell>
          <cell r="D1280">
            <v>0</v>
          </cell>
          <cell r="E1280">
            <v>0</v>
          </cell>
          <cell r="F1280">
            <v>0</v>
          </cell>
        </row>
        <row r="1281">
          <cell r="B1281">
            <v>40037169</v>
          </cell>
          <cell r="C1281" t="str">
            <v>Expert CrèmePO4NatBlkM128P24 MT</v>
          </cell>
          <cell r="D1281">
            <v>0</v>
          </cell>
          <cell r="E1281">
            <v>0</v>
          </cell>
          <cell r="F1281">
            <v>0</v>
          </cell>
        </row>
        <row r="1282">
          <cell r="B1282">
            <v>40037206</v>
          </cell>
          <cell r="C1282" t="str">
            <v>Expert CrèmePO4NatBlkM128P24 ECOM</v>
          </cell>
          <cell r="D1282">
            <v>0</v>
          </cell>
          <cell r="E1282">
            <v>0</v>
          </cell>
          <cell r="F1282">
            <v>0</v>
          </cell>
        </row>
        <row r="1283">
          <cell r="B1283">
            <v>40061821</v>
          </cell>
          <cell r="C1283" t="str">
            <v>EXPERT CRÈMEPO4NATBLKM148P24 ECOM</v>
          </cell>
          <cell r="D1283">
            <v>0</v>
          </cell>
          <cell r="E1283">
            <v>0</v>
          </cell>
          <cell r="F1283">
            <v>0</v>
          </cell>
        </row>
        <row r="1284">
          <cell r="B1284">
            <v>40042432</v>
          </cell>
          <cell r="C1284" t="str">
            <v>ExpCreme 20g DBrwn PO10 P240 M37</v>
          </cell>
          <cell r="D1284">
            <v>0</v>
          </cell>
          <cell r="E1284">
            <v>0</v>
          </cell>
          <cell r="F1284">
            <v>0</v>
          </cell>
        </row>
        <row r="1285">
          <cell r="B1285">
            <v>40043884</v>
          </cell>
          <cell r="C1285" t="str">
            <v>ExpCreme 20g DBrwn PO10 P240 M40</v>
          </cell>
          <cell r="D1285">
            <v>0</v>
          </cell>
          <cell r="E1285">
            <v>0</v>
          </cell>
          <cell r="F1285">
            <v>0</v>
          </cell>
        </row>
        <row r="1286">
          <cell r="B1286">
            <v>40056906</v>
          </cell>
          <cell r="C1286" t="str">
            <v>Expert GERC DBROWN 50G+50ML BOX M130 P36</v>
          </cell>
          <cell r="D1286">
            <v>0</v>
          </cell>
          <cell r="E1286">
            <v>0</v>
          </cell>
          <cell r="F1286">
            <v>0</v>
          </cell>
        </row>
        <row r="1287">
          <cell r="B1287">
            <v>40042658</v>
          </cell>
          <cell r="C1287" t="str">
            <v>Expert Crème Drk Bwn PO8 M37 P240-MT</v>
          </cell>
          <cell r="D1287">
            <v>0</v>
          </cell>
          <cell r="E1287">
            <v>0</v>
          </cell>
          <cell r="F1287">
            <v>0</v>
          </cell>
        </row>
        <row r="1288">
          <cell r="B1288">
            <v>40043895</v>
          </cell>
          <cell r="C1288" t="str">
            <v>Expert Crème Drk Bwn PO8 M40 P240-MT</v>
          </cell>
          <cell r="D1288">
            <v>0</v>
          </cell>
          <cell r="E1288">
            <v>0</v>
          </cell>
          <cell r="F1288">
            <v>0</v>
          </cell>
        </row>
        <row r="1289">
          <cell r="B1289">
            <v>40031674</v>
          </cell>
          <cell r="C1289" t="str">
            <v>ExpCreme 20g Blk Brwn PO10 P240 M33</v>
          </cell>
          <cell r="D1289">
            <v>0</v>
          </cell>
          <cell r="E1289">
            <v>0</v>
          </cell>
          <cell r="F1289">
            <v>0</v>
          </cell>
        </row>
        <row r="1290">
          <cell r="B1290">
            <v>40037011</v>
          </cell>
          <cell r="C1290" t="str">
            <v>ExpCreme 20g Blk Brwn PO10 P240 M35</v>
          </cell>
          <cell r="D1290">
            <v>0</v>
          </cell>
          <cell r="E1290">
            <v>0</v>
          </cell>
          <cell r="F1290">
            <v>0</v>
          </cell>
        </row>
        <row r="1291">
          <cell r="B1291">
            <v>40042449</v>
          </cell>
          <cell r="C1291" t="str">
            <v>ExpCreme 20g Blk Brwn PO10 P240 M37</v>
          </cell>
          <cell r="D1291">
            <v>0</v>
          </cell>
          <cell r="E1291">
            <v>0</v>
          </cell>
          <cell r="F1291">
            <v>0</v>
          </cell>
        </row>
        <row r="1292">
          <cell r="B1292">
            <v>40043878</v>
          </cell>
          <cell r="C1292" t="str">
            <v>ExpCreme 20g Blk Brwn PO10 P240 M40</v>
          </cell>
          <cell r="D1292">
            <v>0</v>
          </cell>
          <cell r="E1292">
            <v>0</v>
          </cell>
          <cell r="F1292">
            <v>0</v>
          </cell>
        </row>
        <row r="1293">
          <cell r="B1293">
            <v>40042651</v>
          </cell>
          <cell r="C1293" t="str">
            <v>Expert crème BlkBwn PO8 M37 P240-MT</v>
          </cell>
          <cell r="D1293">
            <v>0</v>
          </cell>
          <cell r="E1293">
            <v>0</v>
          </cell>
          <cell r="F1293">
            <v>0</v>
          </cell>
        </row>
        <row r="1294">
          <cell r="B1294">
            <v>40041247</v>
          </cell>
          <cell r="C1294" t="str">
            <v>ExpCrm 12g Nat Brown P240 M20</v>
          </cell>
          <cell r="D1294">
            <v>0</v>
          </cell>
          <cell r="E1294">
            <v>0</v>
          </cell>
          <cell r="F1294">
            <v>0</v>
          </cell>
        </row>
        <row r="1295">
          <cell r="B1295">
            <v>40036073</v>
          </cell>
          <cell r="C1295" t="str">
            <v>ExpCrm 12g Nat Brwn P240 M15</v>
          </cell>
          <cell r="D1295">
            <v>0</v>
          </cell>
          <cell r="E1295">
            <v>0</v>
          </cell>
          <cell r="F1295">
            <v>0</v>
          </cell>
        </row>
        <row r="1296">
          <cell r="B1296">
            <v>40030798</v>
          </cell>
          <cell r="C1296" t="str">
            <v>ExpCrm 20g P010 Nat Brwn P240M30</v>
          </cell>
          <cell r="D1296">
            <v>0</v>
          </cell>
          <cell r="E1296">
            <v>0</v>
          </cell>
          <cell r="F1296">
            <v>0</v>
          </cell>
        </row>
        <row r="1297">
          <cell r="B1297">
            <v>40031673</v>
          </cell>
          <cell r="C1297" t="str">
            <v>ExpCrm 20g P010 Nat Brwn P240 M33</v>
          </cell>
          <cell r="D1297">
            <v>0</v>
          </cell>
          <cell r="E1297">
            <v>0</v>
          </cell>
          <cell r="F1297">
            <v>0</v>
          </cell>
        </row>
        <row r="1298">
          <cell r="B1298">
            <v>40037024</v>
          </cell>
          <cell r="C1298" t="str">
            <v>ExpCrm 20g P010 Nat Brwn P240 M35</v>
          </cell>
          <cell r="D1298">
            <v>0</v>
          </cell>
          <cell r="E1298">
            <v>0</v>
          </cell>
          <cell r="F1298">
            <v>0</v>
          </cell>
        </row>
        <row r="1299">
          <cell r="B1299">
            <v>40042450</v>
          </cell>
          <cell r="C1299" t="str">
            <v>ExpCrm 20g P010 Nat Brwn P240 M37</v>
          </cell>
          <cell r="D1299">
            <v>0</v>
          </cell>
          <cell r="E1299">
            <v>0</v>
          </cell>
          <cell r="F1299">
            <v>0</v>
          </cell>
        </row>
        <row r="1300">
          <cell r="B1300">
            <v>40043889</v>
          </cell>
          <cell r="C1300" t="str">
            <v>ExpCrm 20g P010 Nat Brwn P240 M40</v>
          </cell>
          <cell r="D1300">
            <v>0</v>
          </cell>
          <cell r="E1300">
            <v>0</v>
          </cell>
          <cell r="F1300">
            <v>0</v>
          </cell>
        </row>
        <row r="1301">
          <cell r="B1301">
            <v>40013634</v>
          </cell>
          <cell r="C1301" t="str">
            <v>ExpCreme 8SingleNBrn SB M30P192(24*8)MT</v>
          </cell>
          <cell r="D1301">
            <v>0</v>
          </cell>
          <cell r="E1301">
            <v>0</v>
          </cell>
          <cell r="F1301">
            <v>0</v>
          </cell>
        </row>
        <row r="1302">
          <cell r="B1302">
            <v>40037022</v>
          </cell>
          <cell r="C1302" t="str">
            <v>Expert crème Nt Bwn PO8 M35 P240-MT</v>
          </cell>
          <cell r="D1302">
            <v>0</v>
          </cell>
          <cell r="E1302">
            <v>0</v>
          </cell>
          <cell r="F1302">
            <v>0</v>
          </cell>
        </row>
        <row r="1303">
          <cell r="B1303">
            <v>40042666</v>
          </cell>
          <cell r="C1303" t="str">
            <v>Expert crème Nat Bwn PO8 M37 P240-MT</v>
          </cell>
          <cell r="D1303">
            <v>0</v>
          </cell>
          <cell r="E1303">
            <v>0</v>
          </cell>
          <cell r="F1303">
            <v>0</v>
          </cell>
        </row>
        <row r="1304">
          <cell r="B1304">
            <v>40063502</v>
          </cell>
          <cell r="C1304" t="str">
            <v>EXPERT CRÈME NAT BWN PO8 M40 P240-MT CSD</v>
          </cell>
          <cell r="D1304">
            <v>0</v>
          </cell>
          <cell r="E1304">
            <v>0</v>
          </cell>
          <cell r="F1304">
            <v>0</v>
          </cell>
        </row>
        <row r="1305">
          <cell r="B1305">
            <v>40037136</v>
          </cell>
          <cell r="C1305" t="str">
            <v>Expert CrèmePO4NBrwnM128P24MT</v>
          </cell>
          <cell r="D1305">
            <v>0</v>
          </cell>
          <cell r="E1305">
            <v>0</v>
          </cell>
          <cell r="F1305">
            <v>0</v>
          </cell>
        </row>
        <row r="1306">
          <cell r="B1306">
            <v>40037227</v>
          </cell>
          <cell r="C1306" t="str">
            <v>Expert CrèmePO4NBrwnM128P24ECOM</v>
          </cell>
          <cell r="D1306">
            <v>0</v>
          </cell>
          <cell r="E1306">
            <v>0</v>
          </cell>
          <cell r="F1306">
            <v>0</v>
          </cell>
        </row>
        <row r="1307">
          <cell r="B1307">
            <v>40061822</v>
          </cell>
          <cell r="C1307" t="str">
            <v>EXPERT CRÈMEPO4NBRWNM148P24ECOM</v>
          </cell>
          <cell r="D1307">
            <v>0</v>
          </cell>
          <cell r="E1307">
            <v>0</v>
          </cell>
          <cell r="F1307">
            <v>0</v>
          </cell>
        </row>
        <row r="1308">
          <cell r="B1308">
            <v>40042726</v>
          </cell>
          <cell r="C1308" t="str">
            <v>ExpCrm 12g Burgundy P240 M15</v>
          </cell>
          <cell r="D1308">
            <v>0</v>
          </cell>
          <cell r="E1308">
            <v>0</v>
          </cell>
          <cell r="F1308">
            <v>0</v>
          </cell>
        </row>
        <row r="1309">
          <cell r="B1309">
            <v>40042442</v>
          </cell>
          <cell r="C1309" t="str">
            <v>ExpCreme 20g Bur PO10 P240 M37</v>
          </cell>
          <cell r="D1309">
            <v>0</v>
          </cell>
          <cell r="E1309">
            <v>0</v>
          </cell>
          <cell r="F1309">
            <v>0</v>
          </cell>
        </row>
        <row r="1310">
          <cell r="B1310">
            <v>40043883</v>
          </cell>
          <cell r="C1310" t="str">
            <v>ExpCreme 20g Bur PO10 P240 M40</v>
          </cell>
          <cell r="D1310">
            <v>0</v>
          </cell>
          <cell r="E1310">
            <v>0</v>
          </cell>
          <cell r="F1310">
            <v>0</v>
          </cell>
        </row>
        <row r="1311">
          <cell r="B1311">
            <v>40012987</v>
          </cell>
          <cell r="C1311" t="str">
            <v>Exp Creme 2-Sach NatBrn Streamer M60 P96</v>
          </cell>
          <cell r="D1311">
            <v>0</v>
          </cell>
          <cell r="E1311">
            <v>0</v>
          </cell>
          <cell r="F1311">
            <v>0</v>
          </cell>
        </row>
        <row r="1312">
          <cell r="B1312">
            <v>40017134</v>
          </cell>
          <cell r="C1312" t="str">
            <v>ExpCrm50ML MultiApplPk NatBlk M99 P36</v>
          </cell>
          <cell r="D1312">
            <v>0</v>
          </cell>
          <cell r="E1312">
            <v>0</v>
          </cell>
          <cell r="F1312">
            <v>0</v>
          </cell>
        </row>
        <row r="1313">
          <cell r="B1313">
            <v>40017160</v>
          </cell>
          <cell r="C1313" t="str">
            <v>ExpCrm50ML MultiApplPk NatBlkM99P36-MT</v>
          </cell>
          <cell r="D1313">
            <v>0</v>
          </cell>
          <cell r="E1313">
            <v>0</v>
          </cell>
          <cell r="F1313">
            <v>0</v>
          </cell>
        </row>
        <row r="1314">
          <cell r="B1314">
            <v>40017158</v>
          </cell>
          <cell r="C1314" t="str">
            <v>ExpCrm50ML MultiApplPk BlkBrnM99P36-MT</v>
          </cell>
          <cell r="D1314">
            <v>0</v>
          </cell>
          <cell r="E1314">
            <v>0</v>
          </cell>
          <cell r="F1314">
            <v>0</v>
          </cell>
        </row>
        <row r="1315">
          <cell r="B1315">
            <v>40012579</v>
          </cell>
          <cell r="C1315" t="str">
            <v>KALI MEHENDI 3G x8 SACHETS 45 PKS MRP96</v>
          </cell>
          <cell r="D1315">
            <v>0</v>
          </cell>
          <cell r="E1315">
            <v>0</v>
          </cell>
          <cell r="F1315">
            <v>0</v>
          </cell>
        </row>
        <row r="1316">
          <cell r="B1316">
            <v>40037293</v>
          </cell>
          <cell r="C1316" t="str">
            <v>GOD KALI MEHENDI 3Gx8SACHETS45PKS MRP120</v>
          </cell>
          <cell r="D1316">
            <v>0</v>
          </cell>
          <cell r="E1316">
            <v>0</v>
          </cell>
          <cell r="F1316">
            <v>0</v>
          </cell>
        </row>
        <row r="1317">
          <cell r="B1317">
            <v>40003508</v>
          </cell>
          <cell r="C1317" t="str">
            <v>Exp PHC Care G Bl MT Pack MRP 35PK24</v>
          </cell>
          <cell r="D1317">
            <v>0</v>
          </cell>
          <cell r="E1317">
            <v>0</v>
          </cell>
          <cell r="F1317">
            <v>0</v>
          </cell>
        </row>
        <row r="1318">
          <cell r="B1318">
            <v>40038706</v>
          </cell>
          <cell r="C1318" t="str">
            <v>EPHC Org P010 3gx90 M200 P90</v>
          </cell>
          <cell r="D1318">
            <v>0</v>
          </cell>
          <cell r="E1318">
            <v>0</v>
          </cell>
          <cell r="F1318">
            <v>0</v>
          </cell>
        </row>
        <row r="1319">
          <cell r="B1319">
            <v>40056431</v>
          </cell>
          <cell r="C1319" t="str">
            <v>EPHC ORG M220 P90 P010 3GX90 NEW</v>
          </cell>
          <cell r="D1319">
            <v>0</v>
          </cell>
          <cell r="E1319">
            <v>0</v>
          </cell>
          <cell r="F1319">
            <v>0</v>
          </cell>
        </row>
        <row r="1320">
          <cell r="B1320">
            <v>40060341</v>
          </cell>
          <cell r="C1320" t="str">
            <v>EPHC ORG P010 3GX90 M200 P90 NFR</v>
          </cell>
          <cell r="D1320">
            <v>0</v>
          </cell>
          <cell r="E1320">
            <v>0</v>
          </cell>
          <cell r="F1320">
            <v>0</v>
          </cell>
        </row>
        <row r="1321">
          <cell r="B1321">
            <v>40060670</v>
          </cell>
          <cell r="C1321" t="str">
            <v>EPHC ORG P010 3GX90 M150 P90 PLT</v>
          </cell>
          <cell r="D1321">
            <v>0</v>
          </cell>
          <cell r="E1321">
            <v>0</v>
          </cell>
          <cell r="F1321">
            <v>0</v>
          </cell>
        </row>
        <row r="1322">
          <cell r="B1322">
            <v>40063417</v>
          </cell>
          <cell r="C1322" t="str">
            <v>EPHC ORG P010 3GX90 M200 P90 NFR ND</v>
          </cell>
          <cell r="D1322">
            <v>0</v>
          </cell>
          <cell r="E1322">
            <v>0</v>
          </cell>
          <cell r="F1322">
            <v>0</v>
          </cell>
        </row>
        <row r="1323">
          <cell r="B1323">
            <v>40064301</v>
          </cell>
          <cell r="C1323" t="str">
            <v>EPHC ORG P010 3GX90 M150 P90 NFR ND</v>
          </cell>
          <cell r="D1323">
            <v>0</v>
          </cell>
          <cell r="E1323">
            <v>0</v>
          </cell>
          <cell r="F1323">
            <v>0</v>
          </cell>
        </row>
        <row r="1324">
          <cell r="B1324">
            <v>40043892</v>
          </cell>
          <cell r="C1324" t="str">
            <v>ExpOrg PO24 3gX30 M504P30</v>
          </cell>
          <cell r="D1324">
            <v>0</v>
          </cell>
          <cell r="E1324">
            <v>0</v>
          </cell>
          <cell r="F1324">
            <v>0</v>
          </cell>
        </row>
        <row r="1325">
          <cell r="B1325">
            <v>40003278</v>
          </cell>
          <cell r="C1325" t="str">
            <v>EPHC Ori. N. Black 6+1 Sachet Gen Blk Fr</v>
          </cell>
          <cell r="D1325">
            <v>0</v>
          </cell>
          <cell r="E1325">
            <v>0</v>
          </cell>
          <cell r="F1325">
            <v>0</v>
          </cell>
        </row>
        <row r="1326">
          <cell r="B1326">
            <v>40028655</v>
          </cell>
          <cell r="C1326" t="str">
            <v>EPHC Orig PO8 3gX90 M152P90</v>
          </cell>
          <cell r="D1326">
            <v>0</v>
          </cell>
          <cell r="E1326">
            <v>0</v>
          </cell>
          <cell r="F1326">
            <v>0</v>
          </cell>
        </row>
        <row r="1327">
          <cell r="B1327">
            <v>40032941</v>
          </cell>
          <cell r="C1327" t="str">
            <v>EPHC Orig PO8 3gX90 M160P90</v>
          </cell>
          <cell r="D1327">
            <v>0</v>
          </cell>
          <cell r="E1327">
            <v>0</v>
          </cell>
          <cell r="F1327">
            <v>0</v>
          </cell>
        </row>
        <row r="1328">
          <cell r="B1328">
            <v>40033025</v>
          </cell>
          <cell r="C1328" t="str">
            <v>EPHC Org 3gX90X(8+1GESHC Fr)M160P90-S</v>
          </cell>
          <cell r="D1328">
            <v>0</v>
          </cell>
          <cell r="E1328">
            <v>0</v>
          </cell>
          <cell r="F1328">
            <v>0</v>
          </cell>
        </row>
        <row r="1329">
          <cell r="B1329">
            <v>40034846</v>
          </cell>
          <cell r="C1329" t="str">
            <v>EPHC Org3gX90X(8+1GESHC18 Fr)M160P90</v>
          </cell>
          <cell r="D1329">
            <v>0</v>
          </cell>
          <cell r="E1329">
            <v>0</v>
          </cell>
          <cell r="F1329">
            <v>0</v>
          </cell>
        </row>
        <row r="1330">
          <cell r="B1330">
            <v>40037650</v>
          </cell>
          <cell r="C1330" t="str">
            <v>EPHC Org 3gX90X(8+1GERC 12mlFr)M160 P90</v>
          </cell>
          <cell r="D1330">
            <v>0</v>
          </cell>
          <cell r="E1330">
            <v>0</v>
          </cell>
          <cell r="F1330">
            <v>0</v>
          </cell>
        </row>
        <row r="1331">
          <cell r="B1331">
            <v>40038004</v>
          </cell>
          <cell r="C1331" t="str">
            <v>EPHC Org 3gx90x(10+1EPHC Fr)M200 P90</v>
          </cell>
          <cell r="D1331">
            <v>0</v>
          </cell>
          <cell r="E1331">
            <v>0</v>
          </cell>
          <cell r="F1331">
            <v>0</v>
          </cell>
        </row>
        <row r="1332">
          <cell r="B1332">
            <v>40041248</v>
          </cell>
          <cell r="C1332" t="str">
            <v>EPHCOrg 3gx90x(10+1GERC12mlFr) M200 P90</v>
          </cell>
          <cell r="D1332">
            <v>0</v>
          </cell>
          <cell r="E1332">
            <v>0</v>
          </cell>
          <cell r="F1332">
            <v>0</v>
          </cell>
        </row>
        <row r="1333">
          <cell r="B1333">
            <v>40043119</v>
          </cell>
          <cell r="C1333" t="str">
            <v>EPHC Org 3gx90x(10+2 EPHC Fr) M200 P90</v>
          </cell>
          <cell r="D1333">
            <v>0</v>
          </cell>
          <cell r="E1333">
            <v>0</v>
          </cell>
          <cell r="F1333">
            <v>0</v>
          </cell>
        </row>
        <row r="1334">
          <cell r="B1334">
            <v>40043833</v>
          </cell>
          <cell r="C1334" t="str">
            <v>EPHC Org 3gx90x(10+2 EPHC Fr) M210 P90</v>
          </cell>
          <cell r="D1334">
            <v>0</v>
          </cell>
          <cell r="E1334">
            <v>0</v>
          </cell>
          <cell r="F1334">
            <v>0</v>
          </cell>
        </row>
        <row r="1335">
          <cell r="B1335">
            <v>40050463</v>
          </cell>
          <cell r="C1335" t="str">
            <v>EPHC ORG M220.00 P90 3GX90(10+2 EPHC FR)</v>
          </cell>
          <cell r="D1335">
            <v>0</v>
          </cell>
          <cell r="E1335">
            <v>0</v>
          </cell>
          <cell r="F1335">
            <v>0</v>
          </cell>
        </row>
        <row r="1336">
          <cell r="B1336">
            <v>40002048</v>
          </cell>
          <cell r="C1336" t="str">
            <v>Expert PHC Adv G BL 96x4x5g MRP-60 PS-96</v>
          </cell>
          <cell r="D1336">
            <v>0</v>
          </cell>
          <cell r="E1336">
            <v>0</v>
          </cell>
          <cell r="F1336">
            <v>0</v>
          </cell>
        </row>
        <row r="1337">
          <cell r="B1337">
            <v>40006596</v>
          </cell>
          <cell r="C1337" t="str">
            <v>EPHC Adv GntlBlkHngrPO8(48X8X5gm)M120P48</v>
          </cell>
          <cell r="D1337">
            <v>0</v>
          </cell>
          <cell r="E1337">
            <v>0</v>
          </cell>
          <cell r="F1337">
            <v>0</v>
          </cell>
        </row>
        <row r="1338">
          <cell r="B1338">
            <v>40012129</v>
          </cell>
          <cell r="C1338" t="str">
            <v>EPHC Adv Blk Hgr NewPk(48x8x5g)M128P48</v>
          </cell>
          <cell r="D1338">
            <v>0</v>
          </cell>
          <cell r="E1338">
            <v>0</v>
          </cell>
          <cell r="F1338">
            <v>0</v>
          </cell>
        </row>
        <row r="1339">
          <cell r="B1339">
            <v>40012863</v>
          </cell>
          <cell r="C1339" t="str">
            <v>EPHC Adv Blk(Hgr)NwPkM16 P48 FRW(7ea+1)</v>
          </cell>
          <cell r="D1339">
            <v>0</v>
          </cell>
          <cell r="E1339">
            <v>0</v>
          </cell>
          <cell r="F1339">
            <v>0</v>
          </cell>
        </row>
        <row r="1340">
          <cell r="B1340">
            <v>40002049</v>
          </cell>
          <cell r="C1340" t="str">
            <v>Expert PHC Adv N BR 96x4x5g MRP-60 PS-96</v>
          </cell>
          <cell r="D1340">
            <v>0</v>
          </cell>
          <cell r="E1340">
            <v>0</v>
          </cell>
          <cell r="F1340">
            <v>0</v>
          </cell>
        </row>
        <row r="1341">
          <cell r="B1341">
            <v>40002047</v>
          </cell>
          <cell r="C1341" t="str">
            <v>Expert PHC Advanced Burg 96x4x5g MRP 60</v>
          </cell>
          <cell r="D1341">
            <v>0</v>
          </cell>
          <cell r="E1341">
            <v>0</v>
          </cell>
          <cell r="F1341">
            <v>0</v>
          </cell>
        </row>
        <row r="1342">
          <cell r="B1342">
            <v>40031855</v>
          </cell>
          <cell r="C1342" t="str">
            <v>Nupur Pure Henna 200g P60M120-RF</v>
          </cell>
          <cell r="D1342">
            <v>0</v>
          </cell>
          <cell r="E1342">
            <v>0</v>
          </cell>
          <cell r="F1342">
            <v>0</v>
          </cell>
        </row>
        <row r="1343">
          <cell r="B1343">
            <v>40025870</v>
          </cell>
          <cell r="C1343" t="str">
            <v>Nupur Pure Heena 12gHDPE BagP600M5</v>
          </cell>
          <cell r="D1343">
            <v>0</v>
          </cell>
          <cell r="E1343">
            <v>0</v>
          </cell>
          <cell r="F1343">
            <v>0</v>
          </cell>
        </row>
        <row r="1344">
          <cell r="B1344">
            <v>40029928</v>
          </cell>
          <cell r="C1344" t="str">
            <v>Nupur Pure Henna 500g-P24M219</v>
          </cell>
          <cell r="D1344">
            <v>0</v>
          </cell>
          <cell r="E1344">
            <v>0</v>
          </cell>
          <cell r="F1344">
            <v>0</v>
          </cell>
        </row>
        <row r="1345">
          <cell r="B1345">
            <v>40032597</v>
          </cell>
          <cell r="C1345" t="str">
            <v>Nupur Pure Henna 500g-P24M199</v>
          </cell>
          <cell r="D1345">
            <v>0</v>
          </cell>
          <cell r="E1345">
            <v>0</v>
          </cell>
          <cell r="F1345">
            <v>0</v>
          </cell>
        </row>
        <row r="1346">
          <cell r="B1346">
            <v>40037673</v>
          </cell>
          <cell r="C1346" t="str">
            <v>Nupur Pure Henna 500g-P24 M219 -Ecom</v>
          </cell>
          <cell r="D1346">
            <v>0</v>
          </cell>
          <cell r="E1346">
            <v>0</v>
          </cell>
          <cell r="F1346">
            <v>0</v>
          </cell>
        </row>
        <row r="1347">
          <cell r="B1347">
            <v>40042975</v>
          </cell>
          <cell r="C1347" t="str">
            <v>Nupur Pure Henna 500g-P24 M219 GT NEW</v>
          </cell>
          <cell r="D1347">
            <v>0</v>
          </cell>
          <cell r="E1347">
            <v>0</v>
          </cell>
          <cell r="F1347">
            <v>0</v>
          </cell>
        </row>
        <row r="1348">
          <cell r="B1348">
            <v>40050460</v>
          </cell>
          <cell r="C1348" t="str">
            <v>NUPUR PURE HENNA 500G M230.00 P24 GT NEW</v>
          </cell>
          <cell r="D1348">
            <v>0</v>
          </cell>
          <cell r="E1348">
            <v>0</v>
          </cell>
          <cell r="F1348">
            <v>0</v>
          </cell>
        </row>
        <row r="1349">
          <cell r="B1349">
            <v>40058893</v>
          </cell>
          <cell r="C1349" t="str">
            <v>NUPUR PURE HENNA 500G M250 P24 GT NEW</v>
          </cell>
          <cell r="D1349">
            <v>0</v>
          </cell>
          <cell r="E1349">
            <v>0</v>
          </cell>
          <cell r="F1349">
            <v>0</v>
          </cell>
        </row>
        <row r="1350">
          <cell r="B1350">
            <v>40031813</v>
          </cell>
          <cell r="C1350" t="str">
            <v>Nupur Heena25gHDPEBagP324M10 -CO</v>
          </cell>
          <cell r="D1350">
            <v>0</v>
          </cell>
          <cell r="E1350">
            <v>0</v>
          </cell>
          <cell r="F1350">
            <v>0</v>
          </cell>
        </row>
        <row r="1351">
          <cell r="B1351">
            <v>40050589</v>
          </cell>
          <cell r="C1351" t="str">
            <v>NUPUR HEENA 20G M10.00 HDPEBAG P324  -CO</v>
          </cell>
          <cell r="D1351">
            <v>0</v>
          </cell>
          <cell r="E1351">
            <v>0</v>
          </cell>
          <cell r="F1351">
            <v>0</v>
          </cell>
        </row>
        <row r="1352">
          <cell r="B1352">
            <v>40058894</v>
          </cell>
          <cell r="C1352" t="str">
            <v>NUPUR HEENA 20G M15 HDPEBAG P324  -CO</v>
          </cell>
          <cell r="D1352">
            <v>0</v>
          </cell>
          <cell r="E1352">
            <v>0</v>
          </cell>
          <cell r="F1352">
            <v>0</v>
          </cell>
        </row>
        <row r="1353">
          <cell r="B1353">
            <v>40018556</v>
          </cell>
          <cell r="C1353" t="str">
            <v>Nupur 100%Nat Heena 50g  P180 MRP30</v>
          </cell>
          <cell r="D1353">
            <v>0</v>
          </cell>
          <cell r="E1353">
            <v>0</v>
          </cell>
          <cell r="F1353">
            <v>0</v>
          </cell>
        </row>
        <row r="1354">
          <cell r="B1354">
            <v>40029927</v>
          </cell>
          <cell r="C1354" t="str">
            <v>Nupur Pure Henna 65g-P180M35</v>
          </cell>
          <cell r="D1354">
            <v>0</v>
          </cell>
          <cell r="E1354">
            <v>0</v>
          </cell>
          <cell r="F1354">
            <v>0</v>
          </cell>
        </row>
        <row r="1355">
          <cell r="B1355">
            <v>40034163</v>
          </cell>
          <cell r="C1355" t="str">
            <v>Nupur Pure Henna 75g-P180M35</v>
          </cell>
          <cell r="D1355">
            <v>0</v>
          </cell>
          <cell r="E1355">
            <v>0</v>
          </cell>
          <cell r="F1355">
            <v>0</v>
          </cell>
        </row>
        <row r="1356">
          <cell r="B1356">
            <v>40042991</v>
          </cell>
          <cell r="C1356" t="str">
            <v>Nupur Pure Henna 75g P180 M35 NEW</v>
          </cell>
          <cell r="D1356">
            <v>0</v>
          </cell>
          <cell r="E1356">
            <v>0</v>
          </cell>
          <cell r="F1356">
            <v>0</v>
          </cell>
        </row>
        <row r="1357">
          <cell r="B1357">
            <v>40050587</v>
          </cell>
          <cell r="C1357" t="str">
            <v>NUPUR PURE HENNA 75G M40.00 P180 NEW</v>
          </cell>
          <cell r="D1357">
            <v>0</v>
          </cell>
          <cell r="E1357">
            <v>0</v>
          </cell>
          <cell r="F1357">
            <v>0</v>
          </cell>
        </row>
        <row r="1358">
          <cell r="B1358">
            <v>40059358</v>
          </cell>
          <cell r="C1358" t="str">
            <v>NUPUR PURE HENNA 65G M40 P180 NEW</v>
          </cell>
          <cell r="D1358">
            <v>0</v>
          </cell>
          <cell r="E1358">
            <v>0</v>
          </cell>
          <cell r="F1358">
            <v>0</v>
          </cell>
        </row>
        <row r="1359">
          <cell r="B1359">
            <v>40063792</v>
          </cell>
          <cell r="C1359" t="str">
            <v>NUPUR PURE HENNA 100G M40 P144 NEW</v>
          </cell>
          <cell r="D1359">
            <v>0</v>
          </cell>
          <cell r="E1359">
            <v>0</v>
          </cell>
          <cell r="F1359">
            <v>0</v>
          </cell>
        </row>
        <row r="1360">
          <cell r="B1360">
            <v>40026312</v>
          </cell>
          <cell r="C1360" t="str">
            <v>Nupur Pure Heena 18gHDPE BagP420M10</v>
          </cell>
          <cell r="D1360">
            <v>0</v>
          </cell>
          <cell r="E1360">
            <v>0</v>
          </cell>
          <cell r="F1360">
            <v>0</v>
          </cell>
        </row>
        <row r="1361">
          <cell r="B1361">
            <v>40001597</v>
          </cell>
          <cell r="C1361" t="str">
            <v>NUPUR NAT MEH 150G 72 PKS MRP 40</v>
          </cell>
          <cell r="D1361">
            <v>0</v>
          </cell>
          <cell r="E1361">
            <v>0</v>
          </cell>
          <cell r="F1361">
            <v>0</v>
          </cell>
        </row>
        <row r="1362">
          <cell r="B1362">
            <v>40017740</v>
          </cell>
          <cell r="C1362" t="str">
            <v>Nupur Heena 120g Relaunch P72 MRP55</v>
          </cell>
          <cell r="D1362">
            <v>0</v>
          </cell>
          <cell r="E1362">
            <v>0</v>
          </cell>
          <cell r="F1362">
            <v>0</v>
          </cell>
        </row>
        <row r="1363">
          <cell r="B1363">
            <v>40018588</v>
          </cell>
          <cell r="C1363" t="str">
            <v>Nupur 100%Nat Heena 120g P72 MRP55</v>
          </cell>
          <cell r="D1363">
            <v>0</v>
          </cell>
          <cell r="E1363">
            <v>0</v>
          </cell>
          <cell r="F1363">
            <v>0</v>
          </cell>
        </row>
        <row r="1364">
          <cell r="B1364">
            <v>40029670</v>
          </cell>
          <cell r="C1364" t="str">
            <v>Nupur Pure Henna 150g-P72MRP75</v>
          </cell>
          <cell r="D1364">
            <v>0</v>
          </cell>
          <cell r="E1364">
            <v>0</v>
          </cell>
          <cell r="F1364">
            <v>0</v>
          </cell>
        </row>
        <row r="1365">
          <cell r="B1365">
            <v>40042990</v>
          </cell>
          <cell r="C1365" t="str">
            <v>Nupur Pure Henna 150g-P72 MRP75 NEW</v>
          </cell>
          <cell r="D1365">
            <v>0</v>
          </cell>
          <cell r="E1365">
            <v>0</v>
          </cell>
          <cell r="F1365">
            <v>0</v>
          </cell>
        </row>
        <row r="1366">
          <cell r="B1366">
            <v>40050461</v>
          </cell>
          <cell r="C1366" t="str">
            <v>NUPUR PURE HENNA 150G M80.00 P72 NEW</v>
          </cell>
          <cell r="D1366">
            <v>0</v>
          </cell>
          <cell r="E1366">
            <v>0</v>
          </cell>
          <cell r="F1366">
            <v>0</v>
          </cell>
        </row>
        <row r="1367">
          <cell r="B1367">
            <v>40015889</v>
          </cell>
          <cell r="C1367" t="str">
            <v>Nupur Heena 130g Relaunch P72 MRP55-MT</v>
          </cell>
          <cell r="D1367">
            <v>0</v>
          </cell>
          <cell r="E1367">
            <v>0</v>
          </cell>
          <cell r="F1367">
            <v>0</v>
          </cell>
        </row>
        <row r="1368">
          <cell r="B1368">
            <v>40002329</v>
          </cell>
          <cell r="C1368" t="str">
            <v>RENEW NATURAL BROWN 50ML 2 FAIRGLOW 90G</v>
          </cell>
          <cell r="D1368">
            <v>0</v>
          </cell>
          <cell r="E1368">
            <v>0</v>
          </cell>
          <cell r="F1368">
            <v>0</v>
          </cell>
        </row>
        <row r="1369">
          <cell r="B1369">
            <v>40001330</v>
          </cell>
          <cell r="C1369" t="str">
            <v xml:space="preserve"> LHD NAT BLK 40ML EXPORT NEW</v>
          </cell>
          <cell r="D1369">
            <v>0</v>
          </cell>
          <cell r="E1369">
            <v>0</v>
          </cell>
          <cell r="F1369">
            <v>0</v>
          </cell>
        </row>
        <row r="1370">
          <cell r="B1370">
            <v>40012144</v>
          </cell>
          <cell r="C1370" t="str">
            <v>GKADVFAS CARD PO10-PlyPch P480 M10</v>
          </cell>
          <cell r="D1370">
            <v>0</v>
          </cell>
          <cell r="E1370">
            <v>0</v>
          </cell>
          <cell r="F1370">
            <v>0</v>
          </cell>
        </row>
        <row r="1371">
          <cell r="B1371">
            <v>40018759</v>
          </cell>
          <cell r="C1371" t="str">
            <v>GK FAST CARD PO10-PlyPch P480 M10NEW</v>
          </cell>
          <cell r="D1371">
            <v>0</v>
          </cell>
          <cell r="E1371">
            <v>0</v>
          </cell>
          <cell r="F1371">
            <v>0</v>
          </cell>
        </row>
        <row r="1372">
          <cell r="B1372">
            <v>40019311</v>
          </cell>
          <cell r="C1372" t="str">
            <v>GK ADV FAST CARD PO10 P480 M10 CSD</v>
          </cell>
          <cell r="D1372">
            <v>0</v>
          </cell>
          <cell r="E1372">
            <v>0</v>
          </cell>
          <cell r="F1372">
            <v>0</v>
          </cell>
        </row>
        <row r="1373">
          <cell r="B1373">
            <v>40063015</v>
          </cell>
          <cell r="C1373" t="str">
            <v>GK FAST CARD PO10-PLYPCH P480 M10NEW DQR</v>
          </cell>
          <cell r="D1373">
            <v>0</v>
          </cell>
          <cell r="E1373">
            <v>0</v>
          </cell>
          <cell r="F1373">
            <v>0</v>
          </cell>
        </row>
        <row r="1374">
          <cell r="B1374">
            <v>40015350</v>
          </cell>
          <cell r="C1374" t="str">
            <v>*GK AdvFastCardPO3 P720 FRW CSR 75gm</v>
          </cell>
          <cell r="D1374">
            <v>0</v>
          </cell>
          <cell r="E1374">
            <v>0</v>
          </cell>
          <cell r="F1374">
            <v>0</v>
          </cell>
        </row>
        <row r="1375">
          <cell r="B1375">
            <v>40012955</v>
          </cell>
          <cell r="C1375" t="str">
            <v>GKADVFAS CARD PO10-PlyPch P480 M10-MT</v>
          </cell>
          <cell r="D1375">
            <v>0</v>
          </cell>
          <cell r="E1375">
            <v>0</v>
          </cell>
          <cell r="F1375">
            <v>0</v>
          </cell>
        </row>
        <row r="1376">
          <cell r="B1376">
            <v>40025291</v>
          </cell>
          <cell r="C1376" t="str">
            <v>GK Naturals Agarbati MRP15 CS288 South</v>
          </cell>
          <cell r="D1376">
            <v>0</v>
          </cell>
          <cell r="E1376">
            <v>0</v>
          </cell>
          <cell r="F1376">
            <v>0</v>
          </cell>
        </row>
        <row r="1377">
          <cell r="B1377">
            <v>40031497</v>
          </cell>
          <cell r="C1377" t="str">
            <v>GK Naturals Agarbati MRP15 P288South NEW</v>
          </cell>
          <cell r="D1377">
            <v>0</v>
          </cell>
          <cell r="E1377">
            <v>0</v>
          </cell>
          <cell r="F1377">
            <v>0</v>
          </cell>
        </row>
        <row r="1378">
          <cell r="B1378">
            <v>40056444</v>
          </cell>
          <cell r="C1378" t="str">
            <v>GK MAHA JUMBO BULK COIL M175 P12</v>
          </cell>
          <cell r="D1378">
            <v>0</v>
          </cell>
          <cell r="E1378">
            <v>0</v>
          </cell>
          <cell r="F1378">
            <v>0</v>
          </cell>
        </row>
        <row r="1379">
          <cell r="B1379">
            <v>40056475</v>
          </cell>
          <cell r="C1379" t="str">
            <v>GK MINI JUMBO 4FR M35 P60 RNF</v>
          </cell>
          <cell r="D1379">
            <v>0</v>
          </cell>
          <cell r="E1379">
            <v>0</v>
          </cell>
          <cell r="F1379">
            <v>0</v>
          </cell>
        </row>
        <row r="1380">
          <cell r="B1380">
            <v>40056651</v>
          </cell>
          <cell r="C1380" t="str">
            <v>GK CHAUKAPO4 GREENSHAKTI LSC8H M12 P144</v>
          </cell>
          <cell r="D1380">
            <v>0</v>
          </cell>
          <cell r="E1380">
            <v>0</v>
          </cell>
          <cell r="F1380">
            <v>0</v>
          </cell>
        </row>
        <row r="1381">
          <cell r="B1381">
            <v>40056493</v>
          </cell>
          <cell r="C1381" t="str">
            <v>JET CHANDAN 2 FR M43 P36</v>
          </cell>
          <cell r="D1381">
            <v>0</v>
          </cell>
          <cell r="E1381">
            <v>0</v>
          </cell>
          <cell r="F1381">
            <v>0</v>
          </cell>
        </row>
        <row r="1382">
          <cell r="B1382">
            <v>40036681</v>
          </cell>
          <cell r="C1382" t="str">
            <v>JET COIL JUMBO BULK 30 MRP90 P18</v>
          </cell>
          <cell r="D1382">
            <v>0</v>
          </cell>
          <cell r="E1382">
            <v>0</v>
          </cell>
          <cell r="F1382">
            <v>0</v>
          </cell>
        </row>
        <row r="1383">
          <cell r="B1383">
            <v>40035103</v>
          </cell>
          <cell r="C1383" t="str">
            <v>JET COIL 10HR RED BULK 30 MRP76 PS18</v>
          </cell>
          <cell r="D1383">
            <v>0</v>
          </cell>
          <cell r="E1383">
            <v>0</v>
          </cell>
          <cell r="F1383">
            <v>0</v>
          </cell>
        </row>
        <row r="1384">
          <cell r="B1384">
            <v>40041222</v>
          </cell>
          <cell r="C1384" t="str">
            <v>JET COIL 10HR RED BULK 30 MRP85 PS18</v>
          </cell>
          <cell r="D1384">
            <v>0</v>
          </cell>
          <cell r="E1384">
            <v>0</v>
          </cell>
          <cell r="F1384">
            <v>0</v>
          </cell>
        </row>
        <row r="1385">
          <cell r="B1385">
            <v>40044098</v>
          </cell>
          <cell r="C1385" t="str">
            <v>JET COIL 10HR RED BULK 30 MRP90 PS18</v>
          </cell>
          <cell r="D1385">
            <v>0</v>
          </cell>
          <cell r="E1385">
            <v>0</v>
          </cell>
          <cell r="F1385">
            <v>0</v>
          </cell>
        </row>
        <row r="1386">
          <cell r="B1386">
            <v>40050415</v>
          </cell>
          <cell r="C1386" t="str">
            <v>JET COIL 10HR RED BULK 30 MRP95.00 P18</v>
          </cell>
          <cell r="D1386">
            <v>0</v>
          </cell>
          <cell r="E1386">
            <v>0</v>
          </cell>
          <cell r="F1386">
            <v>0</v>
          </cell>
        </row>
        <row r="1387">
          <cell r="B1387">
            <v>40037210</v>
          </cell>
          <cell r="C1387" t="str">
            <v>HIT Rat Glue 25g MRP60 P100</v>
          </cell>
          <cell r="D1387">
            <v>0</v>
          </cell>
          <cell r="E1387">
            <v>0</v>
          </cell>
          <cell r="F1387">
            <v>0</v>
          </cell>
        </row>
        <row r="1388">
          <cell r="B1388">
            <v>40064462</v>
          </cell>
          <cell r="C1388" t="str">
            <v>HIT RAT GLUE 25G M60 P100 BLUE ART</v>
          </cell>
          <cell r="D1388">
            <v>0</v>
          </cell>
          <cell r="E1388">
            <v>0</v>
          </cell>
          <cell r="F1388">
            <v>0</v>
          </cell>
        </row>
        <row r="1389">
          <cell r="B1389">
            <v>40026998</v>
          </cell>
          <cell r="C1389" t="str">
            <v>HIT Rat Glue Pad 50g MRP100 P50</v>
          </cell>
          <cell r="D1389">
            <v>0</v>
          </cell>
          <cell r="E1389">
            <v>0</v>
          </cell>
          <cell r="F1389">
            <v>0</v>
          </cell>
        </row>
        <row r="1390">
          <cell r="B1390">
            <v>40037209</v>
          </cell>
          <cell r="C1390" t="str">
            <v>HIT Rat Glue 50g MRP120 P50</v>
          </cell>
          <cell r="D1390">
            <v>0</v>
          </cell>
          <cell r="E1390">
            <v>0</v>
          </cell>
          <cell r="F1390">
            <v>0</v>
          </cell>
        </row>
        <row r="1391">
          <cell r="B1391">
            <v>40064461</v>
          </cell>
          <cell r="C1391" t="str">
            <v>HIT RAT GLUE 50G M120 P50 BLUE ART</v>
          </cell>
          <cell r="D1391">
            <v>0</v>
          </cell>
          <cell r="E1391">
            <v>0</v>
          </cell>
          <cell r="F1391">
            <v>0</v>
          </cell>
        </row>
        <row r="1392">
          <cell r="B1392">
            <v>40058711</v>
          </cell>
          <cell r="C1392" t="str">
            <v>GK FLASH REFILL 45ML M85 P240 RNF 50%PCR</v>
          </cell>
          <cell r="D1392">
            <v>0</v>
          </cell>
          <cell r="E1392">
            <v>0</v>
          </cell>
          <cell r="F1392">
            <v>0</v>
          </cell>
        </row>
        <row r="1393">
          <cell r="B1393">
            <v>40050408</v>
          </cell>
          <cell r="C1393" t="str">
            <v>GK FLASH REFILL 45ML M85.00 P240 TFT</v>
          </cell>
          <cell r="D1393">
            <v>0</v>
          </cell>
          <cell r="E1393">
            <v>0</v>
          </cell>
          <cell r="F1393">
            <v>0</v>
          </cell>
        </row>
        <row r="1394">
          <cell r="B1394">
            <v>40056541</v>
          </cell>
          <cell r="C1394" t="str">
            <v>GK FLASH REFILL PO2 M165 P120 MT TFT HP</v>
          </cell>
          <cell r="D1394">
            <v>0</v>
          </cell>
          <cell r="E1394">
            <v>0</v>
          </cell>
          <cell r="F1394">
            <v>0</v>
          </cell>
        </row>
        <row r="1395">
          <cell r="B1395">
            <v>40057693</v>
          </cell>
          <cell r="C1395" t="str">
            <v>GK FLASH REFILL PO6 M495 P40 E-COM CAF</v>
          </cell>
          <cell r="D1395">
            <v>0</v>
          </cell>
          <cell r="E1395">
            <v>0</v>
          </cell>
          <cell r="F1395">
            <v>0</v>
          </cell>
        </row>
        <row r="1396">
          <cell r="B1396">
            <v>40065418</v>
          </cell>
          <cell r="C1396" t="str">
            <v>GK FLASH REFILL PO6 M495 P40E-COMCAF LIQ</v>
          </cell>
          <cell r="D1396">
            <v>0</v>
          </cell>
          <cell r="E1396">
            <v>0</v>
          </cell>
          <cell r="F1396">
            <v>0</v>
          </cell>
        </row>
        <row r="1397">
          <cell r="B1397">
            <v>40050494</v>
          </cell>
          <cell r="C1397" t="str">
            <v>GK FLASH LAV REFILL 45ML M85.00 P240 RNF</v>
          </cell>
          <cell r="D1397">
            <v>0</v>
          </cell>
          <cell r="E1397">
            <v>0</v>
          </cell>
          <cell r="F1397">
            <v>0</v>
          </cell>
        </row>
        <row r="1398">
          <cell r="B1398">
            <v>40026076</v>
          </cell>
          <cell r="C1398" t="str">
            <v>GK XPRESS CART M89 P120 45ml NEW-CSD</v>
          </cell>
          <cell r="D1398">
            <v>0</v>
          </cell>
          <cell r="E1398">
            <v>0</v>
          </cell>
          <cell r="F1398">
            <v>0</v>
          </cell>
        </row>
        <row r="1399">
          <cell r="B1399">
            <v>40057368</v>
          </cell>
          <cell r="C1399" t="str">
            <v>HIT CIK 625ML M350 P25 0.18 NW HT 25%</v>
          </cell>
          <cell r="D1399">
            <v>0</v>
          </cell>
          <cell r="E1399">
            <v>0</v>
          </cell>
          <cell r="F1399">
            <v>0</v>
          </cell>
        </row>
        <row r="1400">
          <cell r="B1400">
            <v>40043126</v>
          </cell>
          <cell r="C1400" t="str">
            <v>HIT FIK 320ML M210 P50 thk new</v>
          </cell>
          <cell r="D1400">
            <v>0</v>
          </cell>
          <cell r="E1400">
            <v>0</v>
          </cell>
          <cell r="F1400">
            <v>0</v>
          </cell>
        </row>
        <row r="1401">
          <cell r="B1401">
            <v>40043609</v>
          </cell>
          <cell r="C1401" t="str">
            <v>HIT FIK 320ML M210 P50 New L</v>
          </cell>
          <cell r="D1401">
            <v>0</v>
          </cell>
          <cell r="E1401">
            <v>0</v>
          </cell>
          <cell r="F1401">
            <v>0</v>
          </cell>
        </row>
        <row r="1402">
          <cell r="B1402">
            <v>40049609</v>
          </cell>
          <cell r="C1402" t="str">
            <v>HIT FIK 320ML M210 P50 New L HT20%T0.18</v>
          </cell>
          <cell r="D1402">
            <v>0</v>
          </cell>
          <cell r="E1402">
            <v>0</v>
          </cell>
          <cell r="F1402">
            <v>0</v>
          </cell>
        </row>
        <row r="1403">
          <cell r="B1403">
            <v>40065363</v>
          </cell>
          <cell r="C1403" t="str">
            <v>HIT FIK 320MLM210P50NEW L HT20%T0.18 LIQ</v>
          </cell>
          <cell r="D1403">
            <v>0</v>
          </cell>
          <cell r="E1403">
            <v>0</v>
          </cell>
          <cell r="F1403">
            <v>0</v>
          </cell>
        </row>
        <row r="1404">
          <cell r="B1404">
            <v>40063536</v>
          </cell>
          <cell r="C1404" t="str">
            <v>GK FLASH COMBI 60ML M105 P48 RNF P+H</v>
          </cell>
          <cell r="D1404">
            <v>0</v>
          </cell>
          <cell r="E1404">
            <v>0</v>
          </cell>
          <cell r="F1404">
            <v>0</v>
          </cell>
        </row>
        <row r="1405">
          <cell r="B1405">
            <v>40044096</v>
          </cell>
          <cell r="C1405" t="str">
            <v>GK Flash combi M90 P60 North</v>
          </cell>
          <cell r="D1405">
            <v>0</v>
          </cell>
          <cell r="E1405">
            <v>0</v>
          </cell>
          <cell r="F1405">
            <v>0</v>
          </cell>
        </row>
        <row r="1406">
          <cell r="B1406">
            <v>40050618</v>
          </cell>
          <cell r="C1406" t="str">
            <v>GK FLASH COMBI M100.00 P60 NORTH RNF</v>
          </cell>
          <cell r="D1406">
            <v>0</v>
          </cell>
          <cell r="E1406">
            <v>0</v>
          </cell>
          <cell r="F1406">
            <v>0</v>
          </cell>
        </row>
        <row r="1407">
          <cell r="B1407">
            <v>40065528</v>
          </cell>
          <cell r="C1407" t="str">
            <v>GK FLASH COMBI M110 P60 RNF PCB NORTH</v>
          </cell>
          <cell r="D1407">
            <v>0</v>
          </cell>
          <cell r="E1407">
            <v>0</v>
          </cell>
          <cell r="F1407">
            <v>0</v>
          </cell>
        </row>
        <row r="1408">
          <cell r="B1408">
            <v>40044103</v>
          </cell>
          <cell r="C1408" t="str">
            <v>GK Flash 2LV+LMD M175 P60 MT LC</v>
          </cell>
          <cell r="D1408">
            <v>0</v>
          </cell>
          <cell r="E1408">
            <v>0</v>
          </cell>
          <cell r="F1408">
            <v>0</v>
          </cell>
        </row>
        <row r="1409">
          <cell r="B1409">
            <v>40056492</v>
          </cell>
          <cell r="C1409" t="str">
            <v>GK FLASH 2LV+LMD M190 P60 MT _RNF</v>
          </cell>
          <cell r="D1409">
            <v>0</v>
          </cell>
          <cell r="E1409">
            <v>0</v>
          </cell>
          <cell r="F1409">
            <v>0</v>
          </cell>
        </row>
        <row r="1410">
          <cell r="B1410">
            <v>40060093</v>
          </cell>
          <cell r="C1410" t="str">
            <v>GK FLASH 2LV+LMD M190 P60 MT RNF PCB</v>
          </cell>
          <cell r="D1410">
            <v>0</v>
          </cell>
          <cell r="E1410">
            <v>0</v>
          </cell>
          <cell r="F1410">
            <v>0</v>
          </cell>
        </row>
        <row r="1411">
          <cell r="B1411">
            <v>40065916</v>
          </cell>
          <cell r="C1411" t="str">
            <v>GK FLASH 2LV+LMD M209 P60 MT RNF PCB</v>
          </cell>
          <cell r="D1411">
            <v>0</v>
          </cell>
          <cell r="E1411">
            <v>0</v>
          </cell>
          <cell r="F1411">
            <v>0</v>
          </cell>
        </row>
        <row r="1412">
          <cell r="B1412">
            <v>40056542</v>
          </cell>
          <cell r="C1412" t="str">
            <v>GK FLASH 2LV+LMD M190 P60 MT TFT HP</v>
          </cell>
          <cell r="D1412">
            <v>0</v>
          </cell>
          <cell r="E1412">
            <v>0</v>
          </cell>
          <cell r="F1412">
            <v>0</v>
          </cell>
        </row>
        <row r="1413">
          <cell r="B1413">
            <v>40056489</v>
          </cell>
          <cell r="C1413" t="str">
            <v>GK FLASH 3LV+LMD M275 P36 ECOM_RNF</v>
          </cell>
          <cell r="D1413">
            <v>0</v>
          </cell>
          <cell r="E1413">
            <v>0</v>
          </cell>
          <cell r="F1413">
            <v>0</v>
          </cell>
        </row>
        <row r="1414">
          <cell r="B1414">
            <v>40056528</v>
          </cell>
          <cell r="C1414" t="str">
            <v>GK FLASH 3LV+LMD M275 P36 ECOM TFT HP</v>
          </cell>
          <cell r="D1414">
            <v>0</v>
          </cell>
          <cell r="E1414">
            <v>0</v>
          </cell>
          <cell r="F1414">
            <v>0</v>
          </cell>
        </row>
        <row r="1415">
          <cell r="B1415">
            <v>40065398</v>
          </cell>
          <cell r="C1415" t="str">
            <v>GK FLASH 3LV+LMD M275 P36 ECOM TFTHP LIQ</v>
          </cell>
          <cell r="D1415">
            <v>0</v>
          </cell>
          <cell r="E1415">
            <v>0</v>
          </cell>
          <cell r="F1415">
            <v>0</v>
          </cell>
        </row>
        <row r="1416">
          <cell r="B1416">
            <v>40032809</v>
          </cell>
          <cell r="C1416" t="str">
            <v>GK XPRESS COMBIPACK M109 PS48 CSD</v>
          </cell>
          <cell r="D1416">
            <v>0</v>
          </cell>
          <cell r="E1416">
            <v>0</v>
          </cell>
          <cell r="F1416">
            <v>0</v>
          </cell>
        </row>
        <row r="1417">
          <cell r="B1417">
            <v>40025490</v>
          </cell>
          <cell r="C1417" t="str">
            <v>GK PWRACTV+45ml COMBIPK MRP85 PS48-NEP</v>
          </cell>
          <cell r="D1417">
            <v>0</v>
          </cell>
          <cell r="E1417">
            <v>0</v>
          </cell>
          <cell r="F1417">
            <v>0</v>
          </cell>
        </row>
        <row r="1418">
          <cell r="B1418">
            <v>40027793</v>
          </cell>
          <cell r="C1418" t="str">
            <v>AER Spray FRESLUSHGRN300mlLiqM149P24INST</v>
          </cell>
          <cell r="D1418">
            <v>0</v>
          </cell>
          <cell r="E1418">
            <v>0</v>
          </cell>
          <cell r="F1418">
            <v>0</v>
          </cell>
        </row>
        <row r="1419">
          <cell r="B1419">
            <v>40001233</v>
          </cell>
          <cell r="C1419" t="str">
            <v>KIWI PSP 40G BLACK CSD MRP 34 PS 240</v>
          </cell>
          <cell r="D1419">
            <v>0</v>
          </cell>
          <cell r="E1419">
            <v>0</v>
          </cell>
          <cell r="F1419">
            <v>0</v>
          </cell>
        </row>
        <row r="1420">
          <cell r="B1420">
            <v>40000015</v>
          </cell>
          <cell r="C1420" t="str">
            <v>A.PUR AEROSOL A.THR MRP 110 PS 24</v>
          </cell>
          <cell r="D1420">
            <v>0</v>
          </cell>
          <cell r="E1420">
            <v>0</v>
          </cell>
          <cell r="F1420">
            <v>0</v>
          </cell>
        </row>
        <row r="1421">
          <cell r="B1421">
            <v>40000016</v>
          </cell>
          <cell r="C1421" t="str">
            <v>A.PUR AEROSOL A.THR MRP 99 PS 24</v>
          </cell>
          <cell r="D1421">
            <v>0</v>
          </cell>
          <cell r="E1421">
            <v>0</v>
          </cell>
          <cell r="F1421">
            <v>0</v>
          </cell>
        </row>
        <row r="1422">
          <cell r="B1422">
            <v>40000023</v>
          </cell>
          <cell r="C1422" t="str">
            <v>A.PUR REF C2 AQUA MRP 99 PS 24</v>
          </cell>
          <cell r="D1422">
            <v>0</v>
          </cell>
          <cell r="E1422">
            <v>0</v>
          </cell>
          <cell r="F1422">
            <v>0</v>
          </cell>
        </row>
        <row r="1423">
          <cell r="B1423">
            <v>40000024</v>
          </cell>
          <cell r="C1423" t="str">
            <v>A.PUR REF C2 TROP  MRP 99 PS 24</v>
          </cell>
          <cell r="D1423">
            <v>0</v>
          </cell>
          <cell r="E1423">
            <v>0</v>
          </cell>
          <cell r="F1423">
            <v>0</v>
          </cell>
        </row>
        <row r="1424">
          <cell r="B1424">
            <v>40000028</v>
          </cell>
          <cell r="C1424" t="str">
            <v>A.PUR REF C2 WAVES  MRP 99 PS 24</v>
          </cell>
          <cell r="D1424">
            <v>0</v>
          </cell>
          <cell r="E1424">
            <v>0</v>
          </cell>
          <cell r="F1424">
            <v>0</v>
          </cell>
        </row>
        <row r="1425">
          <cell r="B1425">
            <v>40000029</v>
          </cell>
          <cell r="C1425" t="str">
            <v>A.PUR REF ELEGANCE MRP 99 PS 24</v>
          </cell>
          <cell r="D1425">
            <v>0</v>
          </cell>
          <cell r="E1425">
            <v>0</v>
          </cell>
          <cell r="F1425">
            <v>0</v>
          </cell>
        </row>
        <row r="1426">
          <cell r="B1426">
            <v>40000030</v>
          </cell>
          <cell r="C1426" t="str">
            <v>A.PUR REF SKY MRP 99 PS 24</v>
          </cell>
          <cell r="D1426">
            <v>0</v>
          </cell>
          <cell r="E1426">
            <v>0</v>
          </cell>
          <cell r="F1426">
            <v>0</v>
          </cell>
        </row>
        <row r="1427">
          <cell r="B1427">
            <v>40000032</v>
          </cell>
          <cell r="C1427" t="str">
            <v>A.PUR S.KIT C2 AQUA MRP 175 PS 24</v>
          </cell>
          <cell r="D1427">
            <v>0</v>
          </cell>
          <cell r="E1427">
            <v>0</v>
          </cell>
          <cell r="F1427">
            <v>0</v>
          </cell>
        </row>
        <row r="1428">
          <cell r="B1428">
            <v>40000033</v>
          </cell>
          <cell r="C1428" t="str">
            <v>A.PUR S.KIT C2 G.PACK MRP 275 PS 12</v>
          </cell>
          <cell r="D1428">
            <v>0</v>
          </cell>
          <cell r="E1428">
            <v>0</v>
          </cell>
          <cell r="F1428">
            <v>0</v>
          </cell>
        </row>
        <row r="1429">
          <cell r="B1429">
            <v>40000035</v>
          </cell>
          <cell r="C1429" t="str">
            <v>A.PUR S.KIT C2 TROP MRP 175 PS 24</v>
          </cell>
          <cell r="D1429">
            <v>0</v>
          </cell>
          <cell r="E1429">
            <v>0</v>
          </cell>
          <cell r="F1429">
            <v>0</v>
          </cell>
        </row>
        <row r="1430">
          <cell r="B1430">
            <v>40000037</v>
          </cell>
          <cell r="C1430" t="str">
            <v>A.PUR S.KIT C2 WAVE MRP 175 PS 24</v>
          </cell>
          <cell r="D1430">
            <v>0</v>
          </cell>
          <cell r="E1430">
            <v>0</v>
          </cell>
          <cell r="F1430">
            <v>0</v>
          </cell>
        </row>
        <row r="1431">
          <cell r="B1431">
            <v>40000039</v>
          </cell>
          <cell r="C1431" t="str">
            <v>A.PUR S.KIT SKY MRP 149 PS 24</v>
          </cell>
          <cell r="D1431">
            <v>0</v>
          </cell>
          <cell r="E1431">
            <v>0</v>
          </cell>
          <cell r="F1431">
            <v>0</v>
          </cell>
        </row>
        <row r="1432">
          <cell r="B1432">
            <v>40000044</v>
          </cell>
          <cell r="C1432" t="str">
            <v>AMBIPUR A.THR WHT LIL CSKIT MRP 175PS 24</v>
          </cell>
          <cell r="D1432">
            <v>0</v>
          </cell>
          <cell r="E1432">
            <v>0</v>
          </cell>
          <cell r="F1432">
            <v>0</v>
          </cell>
        </row>
        <row r="1433">
          <cell r="B1433">
            <v>40000045</v>
          </cell>
          <cell r="C1433" t="str">
            <v>AMBIPUR A.THR WHT LIL CSKIT MRP 180PS 24</v>
          </cell>
          <cell r="D1433">
            <v>0</v>
          </cell>
          <cell r="E1433">
            <v>0</v>
          </cell>
          <cell r="F1433">
            <v>0</v>
          </cell>
        </row>
        <row r="1434">
          <cell r="B1434">
            <v>40000046</v>
          </cell>
          <cell r="C1434" t="str">
            <v>AMBIPUR A.THR WHT LIL HARSL MRP 99PS 24</v>
          </cell>
          <cell r="D1434">
            <v>0</v>
          </cell>
          <cell r="E1434">
            <v>0</v>
          </cell>
          <cell r="F1434">
            <v>0</v>
          </cell>
        </row>
        <row r="1435">
          <cell r="B1435">
            <v>40000047</v>
          </cell>
          <cell r="C1435" t="str">
            <v>AMBIPUR A.THR WHT LIL HREF MRP 110PS 24</v>
          </cell>
          <cell r="D1435">
            <v>0</v>
          </cell>
          <cell r="E1435">
            <v>0</v>
          </cell>
          <cell r="F1435">
            <v>0</v>
          </cell>
        </row>
        <row r="1436">
          <cell r="B1436">
            <v>40000048</v>
          </cell>
          <cell r="C1436" t="str">
            <v>AMBIPUR A.THR WHT LIL HSKIT MRP 195PS 24</v>
          </cell>
          <cell r="D1436">
            <v>0</v>
          </cell>
          <cell r="E1436">
            <v>0</v>
          </cell>
          <cell r="F1436">
            <v>0</v>
          </cell>
        </row>
        <row r="1437">
          <cell r="B1437">
            <v>40000050</v>
          </cell>
          <cell r="C1437" t="str">
            <v>AMBIPUR CAR SKIT TROPIC MRP  180 PS 24</v>
          </cell>
          <cell r="D1437">
            <v>0</v>
          </cell>
          <cell r="E1437">
            <v>0</v>
          </cell>
          <cell r="F1437">
            <v>0</v>
          </cell>
        </row>
        <row r="1438">
          <cell r="B1438">
            <v>40000051</v>
          </cell>
          <cell r="C1438" t="str">
            <v>AMBIPUR CAR SKIT VANILLA MRP  180 PS 24</v>
          </cell>
          <cell r="D1438">
            <v>0</v>
          </cell>
          <cell r="E1438">
            <v>0</v>
          </cell>
          <cell r="F1438">
            <v>0</v>
          </cell>
        </row>
        <row r="1439">
          <cell r="B1439">
            <v>40029888</v>
          </cell>
          <cell r="C1439" t="str">
            <v>ProClean Bathrm Clnr 500ml B2G1 C12 M182</v>
          </cell>
          <cell r="D1439">
            <v>0</v>
          </cell>
          <cell r="E1439">
            <v>0</v>
          </cell>
          <cell r="F1439">
            <v>0</v>
          </cell>
        </row>
        <row r="1440">
          <cell r="B1440">
            <v>40030330</v>
          </cell>
          <cell r="C1440" t="str">
            <v>ProClean BathrmCln 500mlB2G1 C12 M182 NC</v>
          </cell>
          <cell r="D1440">
            <v>0</v>
          </cell>
          <cell r="E1440">
            <v>0</v>
          </cell>
          <cell r="F1440">
            <v>0</v>
          </cell>
        </row>
        <row r="1441">
          <cell r="B1441">
            <v>40029849</v>
          </cell>
          <cell r="C1441" t="str">
            <v>ProClean ToiltCln 500mlB2G1 C12M172</v>
          </cell>
          <cell r="D1441">
            <v>0</v>
          </cell>
          <cell r="E1441">
            <v>0</v>
          </cell>
          <cell r="F1441">
            <v>0</v>
          </cell>
        </row>
        <row r="1442">
          <cell r="B1442">
            <v>40030218</v>
          </cell>
          <cell r="C1442" t="str">
            <v>ProCleanToiletClnr 500mlB2G1 C12 M172 MT</v>
          </cell>
          <cell r="D1442">
            <v>0</v>
          </cell>
          <cell r="E1442">
            <v>0</v>
          </cell>
          <cell r="F1442">
            <v>0</v>
          </cell>
        </row>
        <row r="1443">
          <cell r="B1443">
            <v>40030130</v>
          </cell>
          <cell r="C1443" t="str">
            <v>Cinth Health+ HW Refill 175ml M45 P24</v>
          </cell>
          <cell r="D1443">
            <v>0</v>
          </cell>
          <cell r="E1443">
            <v>0</v>
          </cell>
          <cell r="F1443">
            <v>0</v>
          </cell>
        </row>
        <row r="1444">
          <cell r="B1444">
            <v>40033808</v>
          </cell>
          <cell r="C1444" t="str">
            <v>*CinHealth+HWRef175mlM45P24FRWCSR150gm</v>
          </cell>
          <cell r="D1444">
            <v>0</v>
          </cell>
          <cell r="E1444">
            <v>0</v>
          </cell>
          <cell r="F1444">
            <v>0</v>
          </cell>
        </row>
        <row r="1445">
          <cell r="B1445">
            <v>40033803</v>
          </cell>
          <cell r="C1445" t="str">
            <v>*CinHealth+Bottle200mlM79P24FRWCSR150gm</v>
          </cell>
          <cell r="D1445">
            <v>0</v>
          </cell>
          <cell r="E1445">
            <v>0</v>
          </cell>
          <cell r="F1445">
            <v>0</v>
          </cell>
        </row>
        <row r="1446">
          <cell r="B1446">
            <v>40030888</v>
          </cell>
          <cell r="C1446" t="str">
            <v>Cinthol H+ HW Refill 750ml M218 P12</v>
          </cell>
          <cell r="D1446">
            <v>0</v>
          </cell>
          <cell r="E1446">
            <v>0</v>
          </cell>
          <cell r="F1446">
            <v>0</v>
          </cell>
        </row>
        <row r="1447">
          <cell r="B1447">
            <v>40039419</v>
          </cell>
          <cell r="C1447" t="str">
            <v>GodMagic RTM FlrClnrLavdrRef55ml M40P128</v>
          </cell>
          <cell r="D1447">
            <v>0</v>
          </cell>
          <cell r="E1447">
            <v>0</v>
          </cell>
          <cell r="F1447">
            <v>0</v>
          </cell>
        </row>
        <row r="1448">
          <cell r="B1448">
            <v>40036856</v>
          </cell>
          <cell r="C1448" t="str">
            <v>GodMagic RTMBodyWash LavdrCombi37gM65P48</v>
          </cell>
          <cell r="D1448">
            <v>0</v>
          </cell>
          <cell r="E1448">
            <v>0</v>
          </cell>
          <cell r="F1448">
            <v>0</v>
          </cell>
        </row>
        <row r="1449">
          <cell r="B1449">
            <v>40036857</v>
          </cell>
          <cell r="C1449" t="str">
            <v>GodMagic RTMBodyWash HoneyJas 37gM45P128</v>
          </cell>
          <cell r="D1449">
            <v>0</v>
          </cell>
          <cell r="E1449">
            <v>0</v>
          </cell>
          <cell r="F1449">
            <v>0</v>
          </cell>
        </row>
        <row r="1450">
          <cell r="B1450">
            <v>40036862</v>
          </cell>
          <cell r="C1450" t="str">
            <v>GodMagic RTMBodyWash Lavender 37gM45P128</v>
          </cell>
          <cell r="D1450">
            <v>0</v>
          </cell>
          <cell r="E1450">
            <v>0</v>
          </cell>
          <cell r="F1450">
            <v>0</v>
          </cell>
        </row>
        <row r="1451">
          <cell r="B1451">
            <v>40000894</v>
          </cell>
          <cell r="C1451" t="str">
            <v>GJ PROT HAN SANIT BLOSSOM 50ML MRP35PK72</v>
          </cell>
          <cell r="D1451">
            <v>0</v>
          </cell>
          <cell r="E1451">
            <v>0</v>
          </cell>
          <cell r="F1451">
            <v>0</v>
          </cell>
        </row>
        <row r="1452">
          <cell r="B1452">
            <v>40000918</v>
          </cell>
          <cell r="C1452" t="str">
            <v>GODREJ PROTT H SANIT BLOSSOM 100ML MRP70</v>
          </cell>
          <cell r="D1452">
            <v>0</v>
          </cell>
          <cell r="E1452">
            <v>0</v>
          </cell>
          <cell r="F1452">
            <v>0</v>
          </cell>
        </row>
        <row r="1453">
          <cell r="B1453">
            <v>40000897</v>
          </cell>
          <cell r="C1453" t="str">
            <v>GJ PROTEK HAND SANIT BLOS250MLMRP149PK24</v>
          </cell>
          <cell r="D1453">
            <v>0</v>
          </cell>
          <cell r="E1453">
            <v>0</v>
          </cell>
          <cell r="F1453">
            <v>0</v>
          </cell>
        </row>
        <row r="1454">
          <cell r="B1454">
            <v>40000893</v>
          </cell>
          <cell r="C1454" t="str">
            <v>GJ PROT H SANIT ORIGINAL 50ML MRP 35PK72</v>
          </cell>
          <cell r="D1454">
            <v>0</v>
          </cell>
          <cell r="E1454">
            <v>0</v>
          </cell>
          <cell r="F1454">
            <v>0</v>
          </cell>
        </row>
        <row r="1455">
          <cell r="B1455">
            <v>40029825</v>
          </cell>
          <cell r="C1455" t="str">
            <v>Protkt OnTheGo Dsnfspray 85ml M100P24 MT</v>
          </cell>
          <cell r="D1455">
            <v>0</v>
          </cell>
          <cell r="E1455">
            <v>0</v>
          </cell>
          <cell r="F1455">
            <v>0</v>
          </cell>
        </row>
        <row r="1456">
          <cell r="B1456">
            <v>40031246</v>
          </cell>
          <cell r="C1456" t="str">
            <v>ProtAir&amp;SurfcDisinftSpryAqua240mlM160P24</v>
          </cell>
          <cell r="D1456">
            <v>0</v>
          </cell>
          <cell r="E1456">
            <v>0</v>
          </cell>
          <cell r="F1456">
            <v>0</v>
          </cell>
        </row>
        <row r="1457">
          <cell r="B1457">
            <v>40029813</v>
          </cell>
          <cell r="C1457" t="str">
            <v>Protkt Dishwash Refill 1L M199 P12 MT</v>
          </cell>
          <cell r="D1457">
            <v>0</v>
          </cell>
          <cell r="E1457">
            <v>0</v>
          </cell>
          <cell r="F1457">
            <v>0</v>
          </cell>
        </row>
        <row r="1458">
          <cell r="B1458">
            <v>40031646</v>
          </cell>
          <cell r="C1458" t="str">
            <v>Prot Dshwsh250ml M45 P36 FrScotchbrite</v>
          </cell>
          <cell r="D1458">
            <v>0</v>
          </cell>
          <cell r="E1458">
            <v>0</v>
          </cell>
          <cell r="F1458">
            <v>0</v>
          </cell>
        </row>
        <row r="1459">
          <cell r="B1459">
            <v>40029715</v>
          </cell>
          <cell r="C1459" t="str">
            <v>Prot Dshwsh Germ 500ml M105 P24</v>
          </cell>
          <cell r="D1459">
            <v>0</v>
          </cell>
          <cell r="E1459">
            <v>0</v>
          </cell>
          <cell r="F1459">
            <v>0</v>
          </cell>
        </row>
        <row r="1460">
          <cell r="B1460">
            <v>40031923</v>
          </cell>
          <cell r="C1460" t="str">
            <v>Prot Dshwsh500mlM105P15 fr200ml dishwNew</v>
          </cell>
          <cell r="D1460">
            <v>0</v>
          </cell>
          <cell r="E1460">
            <v>0</v>
          </cell>
          <cell r="F1460">
            <v>0</v>
          </cell>
        </row>
        <row r="1461">
          <cell r="B1461">
            <v>40031913</v>
          </cell>
          <cell r="C1461" t="str">
            <v>Prot Dshwsh750mlM155P12 Fr350mlDishw New</v>
          </cell>
          <cell r="D1461">
            <v>0</v>
          </cell>
          <cell r="E1461">
            <v>0</v>
          </cell>
          <cell r="F1461">
            <v>0</v>
          </cell>
        </row>
        <row r="1462">
          <cell r="B1462">
            <v>40014600</v>
          </cell>
          <cell r="C1462" t="str">
            <v>Protekt Handwash Blue 300ml M89P24-MT</v>
          </cell>
          <cell r="D1462">
            <v>0</v>
          </cell>
          <cell r="E1462">
            <v>0</v>
          </cell>
          <cell r="F1462">
            <v>0</v>
          </cell>
        </row>
        <row r="1463">
          <cell r="B1463">
            <v>40033807</v>
          </cell>
          <cell r="C1463" t="str">
            <v>ProtGrmftrAqHW200ml MRP79P24(B1G180mlFR)</v>
          </cell>
          <cell r="D1463">
            <v>0</v>
          </cell>
          <cell r="E1463">
            <v>0</v>
          </cell>
          <cell r="F1463">
            <v>0</v>
          </cell>
        </row>
        <row r="1464">
          <cell r="B1464">
            <v>40011730</v>
          </cell>
          <cell r="C1464" t="str">
            <v>Protekt Handwash Green 300ml MRP81P24</v>
          </cell>
          <cell r="D1464">
            <v>0</v>
          </cell>
          <cell r="E1464">
            <v>0</v>
          </cell>
          <cell r="F1464">
            <v>0</v>
          </cell>
        </row>
        <row r="1465">
          <cell r="B1465">
            <v>40014598</v>
          </cell>
          <cell r="C1465" t="str">
            <v>Protekt Handwash Green 300ml M89P24-MT</v>
          </cell>
          <cell r="D1465">
            <v>0</v>
          </cell>
          <cell r="E1465">
            <v>0</v>
          </cell>
          <cell r="F1465">
            <v>0</v>
          </cell>
        </row>
        <row r="1466">
          <cell r="B1466">
            <v>40030344</v>
          </cell>
          <cell r="C1466" t="str">
            <v>Protekt Handwash Green 200ml MRP79P24</v>
          </cell>
          <cell r="D1466">
            <v>0</v>
          </cell>
          <cell r="E1466">
            <v>0</v>
          </cell>
          <cell r="F1466">
            <v>0</v>
          </cell>
        </row>
        <row r="1467">
          <cell r="B1467">
            <v>40011723</v>
          </cell>
          <cell r="C1467" t="str">
            <v>Protekt Ref PchHndwshFoamer 200ml M49P24</v>
          </cell>
          <cell r="D1467">
            <v>0</v>
          </cell>
          <cell r="E1467">
            <v>0</v>
          </cell>
          <cell r="F1467">
            <v>0</v>
          </cell>
        </row>
        <row r="1468">
          <cell r="B1468">
            <v>40017808</v>
          </cell>
          <cell r="C1468" t="str">
            <v>protekt refil(B3G1)Blu180ml M132 P6 - MT</v>
          </cell>
          <cell r="D1468">
            <v>0</v>
          </cell>
          <cell r="E1468">
            <v>0</v>
          </cell>
          <cell r="F1468">
            <v>0</v>
          </cell>
        </row>
        <row r="1469">
          <cell r="B1469">
            <v>40017854</v>
          </cell>
          <cell r="C1469" t="str">
            <v>protekt ref(single)Blu180ml Mrp44 P24 MT</v>
          </cell>
          <cell r="D1469">
            <v>0</v>
          </cell>
          <cell r="E1469">
            <v>0</v>
          </cell>
          <cell r="F1469">
            <v>0</v>
          </cell>
        </row>
        <row r="1470">
          <cell r="B1470">
            <v>40023496</v>
          </cell>
          <cell r="C1470" t="str">
            <v>protekt ref(single)Blu180ml Mrp49 P24 GT</v>
          </cell>
          <cell r="D1470">
            <v>0</v>
          </cell>
          <cell r="E1470">
            <v>0</v>
          </cell>
          <cell r="F1470">
            <v>0</v>
          </cell>
        </row>
        <row r="1471">
          <cell r="B1471">
            <v>40029305</v>
          </cell>
          <cell r="C1471" t="str">
            <v>protekt ref(single)Blu180ml M49P24 GT-NM</v>
          </cell>
          <cell r="D1471">
            <v>0</v>
          </cell>
          <cell r="E1471">
            <v>0</v>
          </cell>
          <cell r="F1471">
            <v>0</v>
          </cell>
        </row>
        <row r="1472">
          <cell r="B1472">
            <v>40031361</v>
          </cell>
          <cell r="C1472" t="str">
            <v>protekt ref(single)Blu180ml M49P24 GT-RM</v>
          </cell>
          <cell r="D1472">
            <v>0</v>
          </cell>
          <cell r="E1472">
            <v>0</v>
          </cell>
          <cell r="F1472">
            <v>0</v>
          </cell>
        </row>
        <row r="1473">
          <cell r="B1473">
            <v>40024211</v>
          </cell>
          <cell r="C1473" t="str">
            <v>Protekt HW Ref 1500ml Blue M220 P6</v>
          </cell>
          <cell r="D1473">
            <v>0</v>
          </cell>
          <cell r="E1473">
            <v>0</v>
          </cell>
          <cell r="F1473">
            <v>0</v>
          </cell>
        </row>
        <row r="1474">
          <cell r="B1474">
            <v>40033193</v>
          </cell>
          <cell r="C1474" t="str">
            <v>Prt GrmFight Ref HW Aqua1500ml M199P6</v>
          </cell>
          <cell r="D1474">
            <v>0</v>
          </cell>
          <cell r="E1474">
            <v>0</v>
          </cell>
          <cell r="F1474">
            <v>0</v>
          </cell>
        </row>
        <row r="1475">
          <cell r="B1475">
            <v>40034311</v>
          </cell>
          <cell r="C1475" t="str">
            <v>Pkt GrmFighterHW AquaRef725mlM150P12-MT</v>
          </cell>
          <cell r="D1475">
            <v>0</v>
          </cell>
          <cell r="E1475">
            <v>0</v>
          </cell>
          <cell r="F1475">
            <v>0</v>
          </cell>
        </row>
        <row r="1476">
          <cell r="B1476">
            <v>40034320</v>
          </cell>
          <cell r="C1476" t="str">
            <v>PktGrmFightHWAquaRef725mlM189P12-MT</v>
          </cell>
          <cell r="D1476">
            <v>0</v>
          </cell>
          <cell r="E1476">
            <v>0</v>
          </cell>
          <cell r="F1476">
            <v>0</v>
          </cell>
        </row>
        <row r="1477">
          <cell r="B1477">
            <v>40041670</v>
          </cell>
          <cell r="C1477" t="str">
            <v>Prt GrmFighterHW AquaRef725ml M189P18-MT</v>
          </cell>
          <cell r="D1477">
            <v>0</v>
          </cell>
          <cell r="E1477">
            <v>0</v>
          </cell>
          <cell r="F1477">
            <v>0</v>
          </cell>
        </row>
        <row r="1478">
          <cell r="B1478">
            <v>40042191</v>
          </cell>
          <cell r="C1478" t="str">
            <v>PrtGrmfghtHWAquaR725mlM189P18-MT1+1free</v>
          </cell>
          <cell r="D1478">
            <v>0</v>
          </cell>
          <cell r="E1478">
            <v>0</v>
          </cell>
          <cell r="F1478">
            <v>0</v>
          </cell>
        </row>
        <row r="1479">
          <cell r="B1479">
            <v>40017777</v>
          </cell>
          <cell r="C1479" t="str">
            <v>Protekt HW Ref Blue 800ml MT M115 P12</v>
          </cell>
          <cell r="D1479">
            <v>0</v>
          </cell>
          <cell r="E1479">
            <v>0</v>
          </cell>
          <cell r="F1479">
            <v>0</v>
          </cell>
        </row>
        <row r="1480">
          <cell r="B1480">
            <v>40029835</v>
          </cell>
          <cell r="C1480" t="str">
            <v>Protekt HW Refill Blu 750ml M140P6 (1+1)</v>
          </cell>
          <cell r="D1480">
            <v>0</v>
          </cell>
          <cell r="E1480">
            <v>0</v>
          </cell>
          <cell r="F1480">
            <v>0</v>
          </cell>
        </row>
        <row r="1481">
          <cell r="B1481">
            <v>40029290</v>
          </cell>
          <cell r="C1481" t="str">
            <v>protekt Refill (B3G1)Blu180ml M147 P6-NM</v>
          </cell>
          <cell r="D1481">
            <v>0</v>
          </cell>
          <cell r="E1481">
            <v>0</v>
          </cell>
          <cell r="F1481">
            <v>0</v>
          </cell>
        </row>
        <row r="1482">
          <cell r="B1482">
            <v>40019203</v>
          </cell>
          <cell r="C1482" t="str">
            <v>Protekt HW Ref Blue 800ml GT M115 P12</v>
          </cell>
          <cell r="D1482">
            <v>0</v>
          </cell>
          <cell r="E1482">
            <v>0</v>
          </cell>
          <cell r="F1482">
            <v>0</v>
          </cell>
        </row>
        <row r="1483">
          <cell r="B1483">
            <v>40033745</v>
          </cell>
          <cell r="C1483" t="str">
            <v>Pkt GrmFighterHW AquaRef725ml M99P12</v>
          </cell>
          <cell r="D1483">
            <v>0</v>
          </cell>
          <cell r="E1483">
            <v>0</v>
          </cell>
          <cell r="F1483">
            <v>0</v>
          </cell>
        </row>
        <row r="1484">
          <cell r="B1484">
            <v>40034252</v>
          </cell>
          <cell r="C1484" t="str">
            <v>Pkt GrmFghHWAquaRef725ml M99P12 Ecom</v>
          </cell>
          <cell r="D1484">
            <v>0</v>
          </cell>
          <cell r="E1484">
            <v>0</v>
          </cell>
          <cell r="F1484">
            <v>0</v>
          </cell>
        </row>
        <row r="1485">
          <cell r="B1485">
            <v>40037609</v>
          </cell>
          <cell r="C1485" t="str">
            <v>Pkt GrmFighterHW AquaRef725ml M99P12mt</v>
          </cell>
          <cell r="D1485">
            <v>0</v>
          </cell>
          <cell r="E1485">
            <v>0</v>
          </cell>
          <cell r="F1485">
            <v>0</v>
          </cell>
        </row>
        <row r="1486">
          <cell r="B1486">
            <v>40041447</v>
          </cell>
          <cell r="C1486" t="str">
            <v>Protekt GrmFighterHW AquaRef725ml M99P18</v>
          </cell>
          <cell r="D1486">
            <v>0</v>
          </cell>
          <cell r="E1486">
            <v>0</v>
          </cell>
          <cell r="F1486">
            <v>0</v>
          </cell>
        </row>
        <row r="1487">
          <cell r="B1487">
            <v>40060122</v>
          </cell>
          <cell r="C1487" t="str">
            <v>PROTKT GRMFIGHTERHW AQUAREF725ML M109P18</v>
          </cell>
          <cell r="D1487">
            <v>0</v>
          </cell>
          <cell r="E1487">
            <v>0</v>
          </cell>
          <cell r="F1487">
            <v>0</v>
          </cell>
        </row>
        <row r="1488">
          <cell r="B1488">
            <v>40060539</v>
          </cell>
          <cell r="C1488" t="str">
            <v>PROTETGRMFIGHTERHW AQUAREF675ML M109P18</v>
          </cell>
          <cell r="D1488">
            <v>0</v>
          </cell>
          <cell r="E1488">
            <v>0</v>
          </cell>
          <cell r="F1488">
            <v>0</v>
          </cell>
        </row>
        <row r="1489">
          <cell r="B1489">
            <v>40062383</v>
          </cell>
          <cell r="C1489" t="str">
            <v>PROTKTGRMFGHTRHW AQUAREF725MLM109P18CSD</v>
          </cell>
          <cell r="D1489">
            <v>0</v>
          </cell>
          <cell r="E1489">
            <v>0</v>
          </cell>
          <cell r="F1489">
            <v>0</v>
          </cell>
        </row>
        <row r="1490">
          <cell r="B1490">
            <v>40062880</v>
          </cell>
          <cell r="C1490" t="str">
            <v>PRTGRMFGHTERHW AQUAREF725ML M109P18 STKR</v>
          </cell>
          <cell r="D1490">
            <v>0</v>
          </cell>
          <cell r="E1490">
            <v>0</v>
          </cell>
          <cell r="F1490">
            <v>0</v>
          </cell>
        </row>
        <row r="1491">
          <cell r="B1491">
            <v>40031408</v>
          </cell>
          <cell r="C1491" t="str">
            <v>GodProtektMagicHwLime99.9%9gCombi M40P48</v>
          </cell>
          <cell r="D1491">
            <v>0</v>
          </cell>
          <cell r="E1491">
            <v>0</v>
          </cell>
          <cell r="F1491">
            <v>0</v>
          </cell>
        </row>
        <row r="1492">
          <cell r="B1492">
            <v>40030164</v>
          </cell>
          <cell r="C1492" t="str">
            <v>GodprotektMagicHwNEEM combi 9gM40P48</v>
          </cell>
          <cell r="D1492">
            <v>0</v>
          </cell>
          <cell r="E1492">
            <v>0</v>
          </cell>
          <cell r="F1492">
            <v>0</v>
          </cell>
        </row>
        <row r="1493">
          <cell r="B1493">
            <v>40056714</v>
          </cell>
          <cell r="C1493" t="str">
            <v>GODPROTEKTMGHWNEEM99.9%9GCOMBIM40P48_LIQ</v>
          </cell>
          <cell r="D1493">
            <v>0</v>
          </cell>
          <cell r="E1493">
            <v>0</v>
          </cell>
          <cell r="F1493">
            <v>0</v>
          </cell>
        </row>
        <row r="1494">
          <cell r="B1494">
            <v>40037451</v>
          </cell>
          <cell r="C1494" t="str">
            <v>PrtMagicHW NeemComb1B1R M25P48 D2Dstk</v>
          </cell>
          <cell r="D1494">
            <v>0</v>
          </cell>
          <cell r="E1494">
            <v>0</v>
          </cell>
          <cell r="F1494">
            <v>0</v>
          </cell>
        </row>
        <row r="1495">
          <cell r="B1495">
            <v>40037486</v>
          </cell>
          <cell r="C1495" t="str">
            <v>PktMagicHW NeemComb1B3R M50x50P48D2D stk</v>
          </cell>
          <cell r="D1495">
            <v>0</v>
          </cell>
          <cell r="E1495">
            <v>0</v>
          </cell>
          <cell r="F1495">
            <v>0</v>
          </cell>
        </row>
        <row r="1496">
          <cell r="B1496">
            <v>40033207</v>
          </cell>
          <cell r="C1496" t="str">
            <v>Pkt GrmFightHWLime Ref 1500ml M199P6</v>
          </cell>
          <cell r="D1496">
            <v>0</v>
          </cell>
          <cell r="E1496">
            <v>0</v>
          </cell>
          <cell r="F1496">
            <v>0</v>
          </cell>
        </row>
        <row r="1497">
          <cell r="B1497">
            <v>40034335</v>
          </cell>
          <cell r="C1497" t="str">
            <v>Pkt GrmFightHW Lim&amp;EuRef725mlM150P12 -MT</v>
          </cell>
          <cell r="D1497">
            <v>0</v>
          </cell>
          <cell r="E1497">
            <v>0</v>
          </cell>
          <cell r="F1497">
            <v>0</v>
          </cell>
        </row>
        <row r="1498">
          <cell r="B1498">
            <v>40034364</v>
          </cell>
          <cell r="C1498" t="str">
            <v>Protekt GrmFightHWLime Ref 750ml M150P12</v>
          </cell>
          <cell r="D1498">
            <v>0</v>
          </cell>
          <cell r="E1498">
            <v>0</v>
          </cell>
          <cell r="F1498">
            <v>0</v>
          </cell>
        </row>
        <row r="1499">
          <cell r="B1499">
            <v>40034303</v>
          </cell>
          <cell r="C1499" t="str">
            <v>PktGrmFightHW Lim&amp;EuRef725mlM189P12 -MT</v>
          </cell>
          <cell r="D1499">
            <v>0</v>
          </cell>
          <cell r="E1499">
            <v>0</v>
          </cell>
          <cell r="F1499">
            <v>0</v>
          </cell>
        </row>
        <row r="1500">
          <cell r="B1500">
            <v>40041632</v>
          </cell>
          <cell r="C1500" t="str">
            <v>Prt GrmFightHW Lim&amp;EuRef725ml M189P18-MT</v>
          </cell>
          <cell r="D1500">
            <v>0</v>
          </cell>
          <cell r="E1500">
            <v>0</v>
          </cell>
          <cell r="F1500">
            <v>0</v>
          </cell>
        </row>
        <row r="1501">
          <cell r="B1501">
            <v>40042089</v>
          </cell>
          <cell r="C1501" t="str">
            <v>PrtGrmFightHWLim&amp;EuRef725mlM189P18-MT1+1</v>
          </cell>
          <cell r="D1501">
            <v>0</v>
          </cell>
          <cell r="E1501">
            <v>0</v>
          </cell>
          <cell r="F1501">
            <v>0</v>
          </cell>
        </row>
        <row r="1502">
          <cell r="B1502">
            <v>40042257</v>
          </cell>
          <cell r="C1502" t="str">
            <v>PrtGrmFgtHWLm&amp;EuR725mlM189P18-MT1+1free</v>
          </cell>
          <cell r="D1502">
            <v>0</v>
          </cell>
          <cell r="E1502">
            <v>0</v>
          </cell>
          <cell r="F1502">
            <v>0</v>
          </cell>
        </row>
        <row r="1503">
          <cell r="B1503">
            <v>40017776</v>
          </cell>
          <cell r="C1503" t="str">
            <v>Protekt HW Ref Green 800ml MT M115 P12</v>
          </cell>
          <cell r="D1503">
            <v>0</v>
          </cell>
          <cell r="E1503">
            <v>0</v>
          </cell>
          <cell r="F1503">
            <v>0</v>
          </cell>
        </row>
        <row r="1504">
          <cell r="B1504">
            <v>40017778</v>
          </cell>
          <cell r="C1504" t="str">
            <v>protekt refil(B3G1)HdwshGrn180ml M132 P6</v>
          </cell>
          <cell r="D1504">
            <v>0</v>
          </cell>
          <cell r="E1504">
            <v>0</v>
          </cell>
          <cell r="F1504">
            <v>0</v>
          </cell>
        </row>
        <row r="1505">
          <cell r="B1505">
            <v>40021785</v>
          </cell>
          <cell r="C1505" t="str">
            <v>protekt Refills (B3G1)Gren 180ml M147 P6</v>
          </cell>
          <cell r="D1505">
            <v>0</v>
          </cell>
          <cell r="E1505">
            <v>0</v>
          </cell>
          <cell r="F1505">
            <v>0</v>
          </cell>
        </row>
        <row r="1506">
          <cell r="B1506">
            <v>40029289</v>
          </cell>
          <cell r="C1506" t="str">
            <v>protektRefills (B3G1)Grn180ml M147 P6-NM</v>
          </cell>
          <cell r="D1506">
            <v>0</v>
          </cell>
          <cell r="E1506">
            <v>0</v>
          </cell>
          <cell r="F1506">
            <v>0</v>
          </cell>
        </row>
        <row r="1507">
          <cell r="B1507">
            <v>40031609</v>
          </cell>
          <cell r="C1507" t="str">
            <v>Prot HW Refill Green 750ml M99 P12 GT</v>
          </cell>
          <cell r="D1507">
            <v>0</v>
          </cell>
          <cell r="E1507">
            <v>0</v>
          </cell>
          <cell r="F1507">
            <v>0</v>
          </cell>
        </row>
        <row r="1508">
          <cell r="B1508">
            <v>40033756</v>
          </cell>
          <cell r="C1508" t="str">
            <v>Pkt GrmFightHW Lim&amp;EuRef725ml M99P12</v>
          </cell>
          <cell r="D1508">
            <v>0</v>
          </cell>
          <cell r="E1508">
            <v>0</v>
          </cell>
          <cell r="F1508">
            <v>0</v>
          </cell>
        </row>
        <row r="1509">
          <cell r="B1509">
            <v>40041418</v>
          </cell>
          <cell r="C1509" t="str">
            <v>Protekt GrmFightHW Lim&amp;EuRef725ml M99P18</v>
          </cell>
          <cell r="D1509">
            <v>0</v>
          </cell>
          <cell r="E1509">
            <v>0</v>
          </cell>
          <cell r="F1509">
            <v>0</v>
          </cell>
        </row>
        <row r="1510">
          <cell r="B1510">
            <v>40060076</v>
          </cell>
          <cell r="C1510" t="str">
            <v>PROTET GRMFIGHTHW LIM&amp;EUREF725ML M109P18</v>
          </cell>
          <cell r="D1510">
            <v>0</v>
          </cell>
          <cell r="E1510">
            <v>0</v>
          </cell>
          <cell r="F1510">
            <v>0</v>
          </cell>
        </row>
        <row r="1511">
          <cell r="B1511">
            <v>40060538</v>
          </cell>
          <cell r="C1511" t="str">
            <v>PROTKT GRMFIGHTHW LIM&amp;EUREF675ML M109P18</v>
          </cell>
          <cell r="D1511">
            <v>0</v>
          </cell>
          <cell r="E1511">
            <v>0</v>
          </cell>
          <cell r="F1511">
            <v>0</v>
          </cell>
        </row>
        <row r="1512">
          <cell r="B1512">
            <v>40062879</v>
          </cell>
          <cell r="C1512" t="str">
            <v>PRTGRMFGHTHW LIM&amp;EUREF725ML M109P18 STKR</v>
          </cell>
          <cell r="D1512">
            <v>0</v>
          </cell>
          <cell r="E1512">
            <v>0</v>
          </cell>
          <cell r="F1512">
            <v>0</v>
          </cell>
        </row>
        <row r="1513">
          <cell r="B1513">
            <v>40033755</v>
          </cell>
          <cell r="C1513" t="str">
            <v>Pkt GrmFightHW LavndrRef725ml M99P12</v>
          </cell>
          <cell r="D1513">
            <v>0</v>
          </cell>
          <cell r="E1513">
            <v>0</v>
          </cell>
          <cell r="F1513">
            <v>0</v>
          </cell>
        </row>
        <row r="1514">
          <cell r="B1514">
            <v>40037593</v>
          </cell>
          <cell r="C1514" t="str">
            <v>Pkt GrmFightHW LavndrRef725mlM99P12mt</v>
          </cell>
          <cell r="D1514">
            <v>0</v>
          </cell>
          <cell r="E1514">
            <v>0</v>
          </cell>
          <cell r="F1514">
            <v>0</v>
          </cell>
        </row>
        <row r="1515">
          <cell r="B1515">
            <v>40024507</v>
          </cell>
          <cell r="C1515" t="str">
            <v>Protekt Mr Magic Ref 9g P360 M15</v>
          </cell>
          <cell r="D1515">
            <v>0</v>
          </cell>
          <cell r="E1515">
            <v>0</v>
          </cell>
          <cell r="F1515">
            <v>0</v>
          </cell>
        </row>
        <row r="1516">
          <cell r="B1516">
            <v>40029124</v>
          </cell>
          <cell r="C1516" t="str">
            <v>Godrej Protekt Mr Magic Ref 9g M15 P360</v>
          </cell>
          <cell r="D1516">
            <v>0</v>
          </cell>
          <cell r="E1516">
            <v>0</v>
          </cell>
          <cell r="F1516">
            <v>0</v>
          </cell>
        </row>
        <row r="1517">
          <cell r="B1517">
            <v>40029012</v>
          </cell>
          <cell r="C1517" t="str">
            <v>GodProtektMr.MagicRef Po4 M80P72</v>
          </cell>
          <cell r="D1517">
            <v>0</v>
          </cell>
          <cell r="E1517">
            <v>0</v>
          </cell>
          <cell r="F1517">
            <v>0</v>
          </cell>
        </row>
        <row r="1518">
          <cell r="B1518">
            <v>40043120</v>
          </cell>
          <cell r="C1518" t="str">
            <v>GodMagic HW NeemRef PO5 SRP 45gM49P72 MT</v>
          </cell>
          <cell r="D1518">
            <v>0</v>
          </cell>
          <cell r="E1518">
            <v>0</v>
          </cell>
          <cell r="F1518">
            <v>0</v>
          </cell>
        </row>
        <row r="1519">
          <cell r="B1519">
            <v>40031421</v>
          </cell>
          <cell r="C1519" t="str">
            <v>GodProtektMagicHw99.9%LimeRef 9g M15P360</v>
          </cell>
          <cell r="D1519">
            <v>0</v>
          </cell>
          <cell r="E1519">
            <v>0</v>
          </cell>
          <cell r="F1519">
            <v>0</v>
          </cell>
        </row>
        <row r="1520">
          <cell r="B1520">
            <v>40038287</v>
          </cell>
          <cell r="C1520" t="str">
            <v>GodMagic RTM HandWash LimeRef 9g M10P360</v>
          </cell>
          <cell r="D1520">
            <v>0</v>
          </cell>
          <cell r="E1520">
            <v>0</v>
          </cell>
          <cell r="F1520">
            <v>0</v>
          </cell>
        </row>
        <row r="1521">
          <cell r="B1521">
            <v>40038377</v>
          </cell>
          <cell r="C1521" t="str">
            <v>GodMagic HW Lime Ref 9g M10P360 (stk)</v>
          </cell>
          <cell r="D1521">
            <v>0</v>
          </cell>
          <cell r="E1521">
            <v>0</v>
          </cell>
          <cell r="F1521">
            <v>0</v>
          </cell>
        </row>
        <row r="1522">
          <cell r="B1522">
            <v>40050207</v>
          </cell>
          <cell r="C1522" t="str">
            <v>God MagicHW LimeRef 9gFrwHinHgr M10P360</v>
          </cell>
          <cell r="D1522">
            <v>0</v>
          </cell>
          <cell r="E1522">
            <v>0</v>
          </cell>
          <cell r="F1522">
            <v>0</v>
          </cell>
        </row>
        <row r="1523">
          <cell r="B1523">
            <v>40063822</v>
          </cell>
          <cell r="C1523" t="str">
            <v>GODMAGIC RTM HW LIME 9G M10P360 (11+1)</v>
          </cell>
          <cell r="D1523">
            <v>0</v>
          </cell>
          <cell r="E1523">
            <v>0</v>
          </cell>
          <cell r="F1523">
            <v>0</v>
          </cell>
        </row>
        <row r="1524">
          <cell r="B1524">
            <v>40064219</v>
          </cell>
          <cell r="C1524" t="str">
            <v>GODMAGIC RTMHW LIME9G PO12(11+1)M110 P30</v>
          </cell>
          <cell r="D1524">
            <v>0</v>
          </cell>
          <cell r="E1524">
            <v>0</v>
          </cell>
          <cell r="F1524">
            <v>0</v>
          </cell>
        </row>
        <row r="1525">
          <cell r="B1525">
            <v>40032788</v>
          </cell>
          <cell r="C1525" t="str">
            <v>GodProtektM99.9%NeemRef9gFrHinHgrM15P360</v>
          </cell>
          <cell r="D1525">
            <v>0</v>
          </cell>
          <cell r="E1525">
            <v>0</v>
          </cell>
          <cell r="F1525">
            <v>0</v>
          </cell>
        </row>
        <row r="1526">
          <cell r="B1526">
            <v>40036126</v>
          </cell>
          <cell r="C1526" t="str">
            <v>PrtMagicHw NeemRef9gM10P360(15cros10)stk</v>
          </cell>
          <cell r="D1526">
            <v>0</v>
          </cell>
          <cell r="E1526">
            <v>0</v>
          </cell>
          <cell r="F1526">
            <v>0</v>
          </cell>
        </row>
        <row r="1527">
          <cell r="B1527">
            <v>40038254</v>
          </cell>
          <cell r="C1527" t="str">
            <v>GodMagic RTM HandWash NeemRef 9g M10P360</v>
          </cell>
          <cell r="D1527">
            <v>0</v>
          </cell>
          <cell r="E1527">
            <v>0</v>
          </cell>
          <cell r="F1527">
            <v>0</v>
          </cell>
        </row>
        <row r="1528">
          <cell r="B1528">
            <v>40038395</v>
          </cell>
          <cell r="C1528" t="str">
            <v>GodMagic HW Neem Ref 9g M10P360 (stk)</v>
          </cell>
          <cell r="D1528">
            <v>0</v>
          </cell>
          <cell r="E1528">
            <v>0</v>
          </cell>
          <cell r="F1528">
            <v>0</v>
          </cell>
        </row>
        <row r="1529">
          <cell r="B1529">
            <v>40050174</v>
          </cell>
          <cell r="C1529" t="str">
            <v>GodMagicHW NeemRef 9gFrw HinHgr M10P360</v>
          </cell>
          <cell r="D1529">
            <v>0</v>
          </cell>
          <cell r="E1529">
            <v>0</v>
          </cell>
          <cell r="F1529">
            <v>0</v>
          </cell>
        </row>
        <row r="1530">
          <cell r="B1530">
            <v>40063848</v>
          </cell>
          <cell r="C1530" t="str">
            <v>GODPROTEKTNEEM9GM10P360 (11+1)</v>
          </cell>
          <cell r="D1530">
            <v>0</v>
          </cell>
          <cell r="E1530">
            <v>0</v>
          </cell>
          <cell r="F1530">
            <v>0</v>
          </cell>
        </row>
        <row r="1531">
          <cell r="B1531">
            <v>40064220</v>
          </cell>
          <cell r="C1531" t="str">
            <v>GODPROTEKTNEEM9G M110 PO12(11+1) P30</v>
          </cell>
          <cell r="D1531">
            <v>0</v>
          </cell>
          <cell r="E1531">
            <v>0</v>
          </cell>
          <cell r="F1531">
            <v>0</v>
          </cell>
        </row>
        <row r="1532">
          <cell r="B1532">
            <v>40029641</v>
          </cell>
          <cell r="C1532" t="str">
            <v>GodrjProtFaceMask Small GT NavyM220P100</v>
          </cell>
          <cell r="D1532">
            <v>0</v>
          </cell>
          <cell r="E1532">
            <v>0</v>
          </cell>
          <cell r="F1532">
            <v>0</v>
          </cell>
        </row>
        <row r="1533">
          <cell r="B1533">
            <v>40029623</v>
          </cell>
          <cell r="C1533" t="str">
            <v>Protekt Skin Wipes PO30 M120 P72</v>
          </cell>
          <cell r="D1533">
            <v>0</v>
          </cell>
          <cell r="E1533">
            <v>0</v>
          </cell>
          <cell r="F1533">
            <v>0</v>
          </cell>
        </row>
        <row r="1534">
          <cell r="B1534">
            <v>40000910</v>
          </cell>
          <cell r="C1534" t="str">
            <v>GODREJ PROTEKT HAND WASH CITRUS 250ML</v>
          </cell>
          <cell r="D1534">
            <v>0</v>
          </cell>
          <cell r="E1534">
            <v>0</v>
          </cell>
          <cell r="F1534">
            <v>0</v>
          </cell>
        </row>
        <row r="1535">
          <cell r="B1535">
            <v>40000909</v>
          </cell>
          <cell r="C1535" t="str">
            <v>GODREJ PROTEKT HAND WASH CITRUS 185ML</v>
          </cell>
          <cell r="D1535">
            <v>0</v>
          </cell>
          <cell r="E1535">
            <v>0</v>
          </cell>
          <cell r="F1535">
            <v>0</v>
          </cell>
        </row>
        <row r="1536">
          <cell r="B1536">
            <v>40002019</v>
          </cell>
          <cell r="C1536" t="str">
            <v>PROTECT HWASH ORIGN250ML CITRUS 100ML FR</v>
          </cell>
          <cell r="D1536">
            <v>0</v>
          </cell>
          <cell r="E1536">
            <v>0</v>
          </cell>
          <cell r="F1536">
            <v>0</v>
          </cell>
        </row>
        <row r="1537">
          <cell r="B1537">
            <v>40002470</v>
          </cell>
          <cell r="C1537" t="str">
            <v>GODREJ PROTEKT SANIT ORIGINAL100ML TESTE</v>
          </cell>
          <cell r="D1537">
            <v>0</v>
          </cell>
          <cell r="E1537">
            <v>0</v>
          </cell>
          <cell r="F1537">
            <v>0</v>
          </cell>
        </row>
        <row r="1538">
          <cell r="B1538">
            <v>40018610</v>
          </cell>
          <cell r="C1538" t="str">
            <v>*Cin Cool 125g PO3 75g Free M123P30-MT</v>
          </cell>
          <cell r="D1538">
            <v>0</v>
          </cell>
          <cell r="E1538">
            <v>0</v>
          </cell>
          <cell r="F1538">
            <v>0</v>
          </cell>
        </row>
        <row r="1539">
          <cell r="B1539">
            <v>40019586</v>
          </cell>
          <cell r="C1539" t="str">
            <v>*CintholCool125gPO375gFreM129P30-MT</v>
          </cell>
          <cell r="D1539">
            <v>0</v>
          </cell>
          <cell r="E1539">
            <v>0</v>
          </cell>
          <cell r="F1539">
            <v>0</v>
          </cell>
        </row>
        <row r="1540">
          <cell r="B1540">
            <v>40057132</v>
          </cell>
          <cell r="C1540" t="str">
            <v>*CINCOOL125GPO3P40M168MTBANDEDNEWLIQ_S</v>
          </cell>
          <cell r="D1540">
            <v>0</v>
          </cell>
          <cell r="E1540">
            <v>0</v>
          </cell>
          <cell r="F1540">
            <v>0</v>
          </cell>
        </row>
        <row r="1541">
          <cell r="B1541">
            <v>40018854</v>
          </cell>
          <cell r="C1541" t="str">
            <v>*CinCool100gSingles M34 P150</v>
          </cell>
          <cell r="D1541">
            <v>0</v>
          </cell>
          <cell r="E1541">
            <v>0</v>
          </cell>
          <cell r="F1541">
            <v>0</v>
          </cell>
        </row>
        <row r="1542">
          <cell r="B1542">
            <v>40019496</v>
          </cell>
          <cell r="C1542" t="str">
            <v>*Cin 100gSingles Cool M35P150</v>
          </cell>
          <cell r="D1542">
            <v>0</v>
          </cell>
          <cell r="E1542">
            <v>0</v>
          </cell>
          <cell r="F1542">
            <v>0</v>
          </cell>
        </row>
        <row r="1543">
          <cell r="B1543">
            <v>40032860</v>
          </cell>
          <cell r="C1543" t="str">
            <v>*Cin Cool 100g Singles M38 P150</v>
          </cell>
          <cell r="D1543">
            <v>0</v>
          </cell>
          <cell r="E1543">
            <v>0</v>
          </cell>
          <cell r="F1543">
            <v>0</v>
          </cell>
        </row>
        <row r="1544">
          <cell r="B1544">
            <v>40035213</v>
          </cell>
          <cell r="C1544" t="str">
            <v>*Cin Cool 100g Singles M39 P150</v>
          </cell>
          <cell r="D1544">
            <v>0</v>
          </cell>
          <cell r="E1544">
            <v>0</v>
          </cell>
          <cell r="F1544">
            <v>0</v>
          </cell>
        </row>
        <row r="1545">
          <cell r="B1545">
            <v>40036790</v>
          </cell>
          <cell r="C1545" t="str">
            <v>*Cin Cool 100g Singles M45 P150 New</v>
          </cell>
          <cell r="D1545">
            <v>0</v>
          </cell>
          <cell r="E1545">
            <v>0</v>
          </cell>
          <cell r="F1545">
            <v>0</v>
          </cell>
        </row>
        <row r="1546">
          <cell r="B1546">
            <v>40039575</v>
          </cell>
          <cell r="C1546" t="str">
            <v>*Cin Cool 100g Singles M50 P150 New</v>
          </cell>
          <cell r="D1546">
            <v>0</v>
          </cell>
          <cell r="E1546">
            <v>0</v>
          </cell>
          <cell r="F1546">
            <v>0</v>
          </cell>
        </row>
        <row r="1547">
          <cell r="B1547">
            <v>40058251</v>
          </cell>
          <cell r="C1547" t="str">
            <v>*CIN COOL 100G SINGLES M50 P150 N AF STF</v>
          </cell>
          <cell r="D1547">
            <v>0</v>
          </cell>
          <cell r="E1547">
            <v>0</v>
          </cell>
          <cell r="F1547">
            <v>0</v>
          </cell>
        </row>
        <row r="1548">
          <cell r="B1548">
            <v>40063578</v>
          </cell>
          <cell r="C1548" t="str">
            <v>CIN COOL 100G SINGLES M42 P150 NEW</v>
          </cell>
          <cell r="D1548">
            <v>0</v>
          </cell>
          <cell r="E1548">
            <v>0</v>
          </cell>
          <cell r="F1548">
            <v>0</v>
          </cell>
        </row>
        <row r="1549">
          <cell r="B1549">
            <v>40019534</v>
          </cell>
          <cell r="C1549" t="str">
            <v>*Cin Po3 100g Cool M99 P50</v>
          </cell>
          <cell r="D1549">
            <v>0</v>
          </cell>
          <cell r="E1549">
            <v>0</v>
          </cell>
          <cell r="F1549">
            <v>0</v>
          </cell>
        </row>
        <row r="1550">
          <cell r="B1550">
            <v>40039534</v>
          </cell>
          <cell r="C1550" t="str">
            <v>*Cin Cool 100g PO3 M142 P50 New</v>
          </cell>
          <cell r="D1550">
            <v>0</v>
          </cell>
          <cell r="E1550">
            <v>0</v>
          </cell>
          <cell r="F1550">
            <v>0</v>
          </cell>
        </row>
        <row r="1551">
          <cell r="B1551">
            <v>40043948</v>
          </cell>
          <cell r="C1551" t="str">
            <v>*Cin Cool 100g PO4 M145 P36 New</v>
          </cell>
          <cell r="D1551">
            <v>0</v>
          </cell>
          <cell r="E1551">
            <v>0</v>
          </cell>
          <cell r="F1551">
            <v>0</v>
          </cell>
        </row>
        <row r="1552">
          <cell r="B1552">
            <v>40056215</v>
          </cell>
          <cell r="C1552" t="str">
            <v>*CIN COOL 100G PO4 M150 P36 NEW</v>
          </cell>
          <cell r="D1552">
            <v>0</v>
          </cell>
          <cell r="E1552">
            <v>0</v>
          </cell>
          <cell r="F1552">
            <v>0</v>
          </cell>
        </row>
        <row r="1553">
          <cell r="B1553">
            <v>40057008</v>
          </cell>
          <cell r="C1553" t="str">
            <v>*CIN COOL 100G PO4 M160 P36 NEW</v>
          </cell>
          <cell r="D1553">
            <v>0</v>
          </cell>
          <cell r="E1553">
            <v>0</v>
          </cell>
          <cell r="F1553">
            <v>0</v>
          </cell>
        </row>
        <row r="1554">
          <cell r="B1554">
            <v>40060244</v>
          </cell>
          <cell r="C1554" t="str">
            <v>CIN COOL 100G PO4 M140 P36 NEW</v>
          </cell>
          <cell r="D1554">
            <v>0</v>
          </cell>
          <cell r="E1554">
            <v>0</v>
          </cell>
          <cell r="F1554">
            <v>0</v>
          </cell>
        </row>
        <row r="1555">
          <cell r="B1555">
            <v>40063691</v>
          </cell>
          <cell r="C1555" t="str">
            <v>CIN COOL 100G PO4M145 P36 NEW RSTRD</v>
          </cell>
          <cell r="D1555">
            <v>0</v>
          </cell>
          <cell r="E1555">
            <v>0</v>
          </cell>
          <cell r="F1555">
            <v>0</v>
          </cell>
        </row>
        <row r="1556">
          <cell r="B1556">
            <v>40013812</v>
          </cell>
          <cell r="C1556" t="str">
            <v>*Cinthol 50g cool+ hanger M10P216</v>
          </cell>
          <cell r="D1556">
            <v>0</v>
          </cell>
          <cell r="E1556">
            <v>0</v>
          </cell>
          <cell r="F1556">
            <v>0</v>
          </cell>
        </row>
        <row r="1557">
          <cell r="B1557">
            <v>40013954</v>
          </cell>
          <cell r="C1557" t="str">
            <v>*Cin 50g cool polybag M10PK 216</v>
          </cell>
          <cell r="D1557">
            <v>0</v>
          </cell>
          <cell r="E1557">
            <v>0</v>
          </cell>
          <cell r="F1557">
            <v>0</v>
          </cell>
        </row>
        <row r="1558">
          <cell r="B1558">
            <v>40025907</v>
          </cell>
          <cell r="C1558" t="str">
            <v>*Cin 50g Cool singlesM10P216(Sleevewrap)</v>
          </cell>
          <cell r="D1558">
            <v>0</v>
          </cell>
          <cell r="E1558">
            <v>0</v>
          </cell>
          <cell r="F1558">
            <v>0</v>
          </cell>
        </row>
        <row r="1559">
          <cell r="B1559">
            <v>40034213</v>
          </cell>
          <cell r="C1559" t="str">
            <v>*Cinthol 45g cool polybag M10 P216</v>
          </cell>
          <cell r="D1559">
            <v>0</v>
          </cell>
          <cell r="E1559">
            <v>0</v>
          </cell>
          <cell r="F1559">
            <v>0</v>
          </cell>
        </row>
        <row r="1560">
          <cell r="B1560">
            <v>40034347</v>
          </cell>
          <cell r="C1560" t="str">
            <v>*Cinthol 45g cool sleevewrap M10 P216</v>
          </cell>
          <cell r="D1560">
            <v>0</v>
          </cell>
          <cell r="E1560">
            <v>0</v>
          </cell>
          <cell r="F1560">
            <v>0</v>
          </cell>
        </row>
        <row r="1561">
          <cell r="B1561">
            <v>40036526</v>
          </cell>
          <cell r="C1561" t="str">
            <v>*Cin Cool 40g sleevewrap M10 P216</v>
          </cell>
          <cell r="D1561">
            <v>0</v>
          </cell>
          <cell r="E1561">
            <v>0</v>
          </cell>
          <cell r="F1561">
            <v>0</v>
          </cell>
        </row>
        <row r="1562">
          <cell r="B1562">
            <v>40036679</v>
          </cell>
          <cell r="C1562" t="str">
            <v>*Cinthol 40g cool Polybag M10 P216</v>
          </cell>
          <cell r="D1562">
            <v>0</v>
          </cell>
          <cell r="E1562">
            <v>0</v>
          </cell>
          <cell r="F1562">
            <v>0</v>
          </cell>
        </row>
        <row r="1563">
          <cell r="B1563">
            <v>40043009</v>
          </cell>
          <cell r="C1563" t="str">
            <v>*CinCool45gcoolsleevewrapM10P216(N)</v>
          </cell>
          <cell r="D1563">
            <v>0</v>
          </cell>
          <cell r="E1563">
            <v>0</v>
          </cell>
          <cell r="F1563">
            <v>0</v>
          </cell>
        </row>
        <row r="1564">
          <cell r="B1564">
            <v>40049921</v>
          </cell>
          <cell r="C1564" t="str">
            <v>*Cin Cool  42g sleevewrap M10 P216 (N)</v>
          </cell>
          <cell r="D1564">
            <v>0</v>
          </cell>
          <cell r="E1564">
            <v>0</v>
          </cell>
          <cell r="F1564">
            <v>0</v>
          </cell>
        </row>
        <row r="1565">
          <cell r="B1565">
            <v>40049940</v>
          </cell>
          <cell r="C1565" t="str">
            <v>*Cinthol 42g cool polybag M10 P216 N</v>
          </cell>
          <cell r="D1565">
            <v>0</v>
          </cell>
          <cell r="E1565">
            <v>0</v>
          </cell>
          <cell r="F1565">
            <v>0</v>
          </cell>
        </row>
        <row r="1566">
          <cell r="B1566">
            <v>40050720</v>
          </cell>
          <cell r="C1566" t="str">
            <v>*CINTHOL 40G COOL POLYBAG M10 P216 TEMP</v>
          </cell>
          <cell r="D1566">
            <v>0</v>
          </cell>
          <cell r="E1566">
            <v>0</v>
          </cell>
          <cell r="F1566">
            <v>0</v>
          </cell>
        </row>
        <row r="1567">
          <cell r="B1567">
            <v>40056964</v>
          </cell>
          <cell r="C1567" t="str">
            <v>*CIN COOL 40G M10 P216</v>
          </cell>
          <cell r="D1567">
            <v>0</v>
          </cell>
          <cell r="E1567">
            <v>0</v>
          </cell>
          <cell r="F1567">
            <v>0</v>
          </cell>
        </row>
        <row r="1568">
          <cell r="B1568">
            <v>40060680</v>
          </cell>
          <cell r="C1568" t="str">
            <v>CIN COOL 42G M10 P216</v>
          </cell>
          <cell r="D1568">
            <v>0</v>
          </cell>
          <cell r="E1568">
            <v>0</v>
          </cell>
          <cell r="F1568">
            <v>0</v>
          </cell>
        </row>
        <row r="1569">
          <cell r="B1569">
            <v>40062513</v>
          </cell>
          <cell r="C1569" t="str">
            <v>CIN COOL 40G M10 P216 RSTRD</v>
          </cell>
          <cell r="D1569">
            <v>0</v>
          </cell>
          <cell r="E1569">
            <v>0</v>
          </cell>
          <cell r="F1569">
            <v>0</v>
          </cell>
        </row>
        <row r="1570">
          <cell r="B1570">
            <v>40063758</v>
          </cell>
          <cell r="C1570" t="str">
            <v>CIN COOL 38G M10 P216 RSTRD</v>
          </cell>
          <cell r="D1570">
            <v>0</v>
          </cell>
          <cell r="E1570">
            <v>0</v>
          </cell>
          <cell r="F1570">
            <v>0</v>
          </cell>
        </row>
        <row r="1571">
          <cell r="B1571">
            <v>40065381</v>
          </cell>
          <cell r="C1571" t="str">
            <v>CIN COOL 38G M10 P216 RSTRDNF2</v>
          </cell>
          <cell r="D1571">
            <v>0</v>
          </cell>
          <cell r="E1571">
            <v>0</v>
          </cell>
          <cell r="F1571">
            <v>0</v>
          </cell>
        </row>
        <row r="1572">
          <cell r="B1572">
            <v>40017073</v>
          </cell>
          <cell r="C1572" t="str">
            <v>*Cin Cool 50g FRW CnOrg100g2Sng M10 P240</v>
          </cell>
          <cell r="D1572">
            <v>0</v>
          </cell>
          <cell r="E1572">
            <v>0</v>
          </cell>
          <cell r="F1572">
            <v>0</v>
          </cell>
        </row>
        <row r="1573">
          <cell r="B1573">
            <v>40050062</v>
          </cell>
          <cell r="C1573" t="str">
            <v>*Cinthol42gcoolslve/PolyM10P216INST</v>
          </cell>
          <cell r="D1573">
            <v>0</v>
          </cell>
          <cell r="E1573">
            <v>0</v>
          </cell>
          <cell r="F1573">
            <v>0</v>
          </cell>
        </row>
        <row r="1574">
          <cell r="B1574">
            <v>40050528</v>
          </cell>
          <cell r="C1574" t="str">
            <v>*CIN COOL 40G SLEEVE M10.00 P216 INST</v>
          </cell>
          <cell r="D1574">
            <v>0</v>
          </cell>
          <cell r="E1574">
            <v>0</v>
          </cell>
          <cell r="F1574">
            <v>0</v>
          </cell>
        </row>
        <row r="1575">
          <cell r="B1575">
            <v>40013899</v>
          </cell>
          <cell r="C1575" t="str">
            <v>*Cin Cool soap 100g B4G1 M128 P30-MT</v>
          </cell>
          <cell r="D1575">
            <v>0</v>
          </cell>
          <cell r="E1575">
            <v>0</v>
          </cell>
          <cell r="F1575">
            <v>0</v>
          </cell>
        </row>
        <row r="1576">
          <cell r="B1576">
            <v>40023189</v>
          </cell>
          <cell r="C1576" t="str">
            <v>*CinCoolsoap100gB4G1M140MCRTP30-MT</v>
          </cell>
          <cell r="D1576">
            <v>0</v>
          </cell>
          <cell r="E1576">
            <v>0</v>
          </cell>
          <cell r="F1576">
            <v>0</v>
          </cell>
        </row>
        <row r="1577">
          <cell r="B1577">
            <v>40031506</v>
          </cell>
          <cell r="C1577" t="str">
            <v>*Cin Cool 100g B4G1 M140 P36 GT banded</v>
          </cell>
          <cell r="D1577">
            <v>0</v>
          </cell>
          <cell r="E1577">
            <v>0</v>
          </cell>
          <cell r="F1577">
            <v>0</v>
          </cell>
        </row>
        <row r="1578">
          <cell r="B1578">
            <v>40033335</v>
          </cell>
          <cell r="C1578" t="str">
            <v>*Cin Cool 100g B4G1 M152 P30-GT Banded</v>
          </cell>
          <cell r="D1578">
            <v>0</v>
          </cell>
          <cell r="E1578">
            <v>0</v>
          </cell>
          <cell r="F1578">
            <v>0</v>
          </cell>
        </row>
        <row r="1579">
          <cell r="B1579">
            <v>40036882</v>
          </cell>
          <cell r="C1579" t="str">
            <v>*Cin Cool 100g B4G1 M224MCRT P30-MT</v>
          </cell>
          <cell r="D1579">
            <v>0</v>
          </cell>
          <cell r="E1579">
            <v>0</v>
          </cell>
          <cell r="F1579">
            <v>0</v>
          </cell>
        </row>
        <row r="1580">
          <cell r="B1580">
            <v>40037887</v>
          </cell>
          <cell r="C1580" t="str">
            <v>*Cin Cool 100g B4G1 M224MCRT P30-GT</v>
          </cell>
          <cell r="D1580">
            <v>0</v>
          </cell>
          <cell r="E1580">
            <v>0</v>
          </cell>
          <cell r="F1580">
            <v>0</v>
          </cell>
        </row>
        <row r="1581">
          <cell r="B1581">
            <v>40060242</v>
          </cell>
          <cell r="C1581" t="str">
            <v>CIN COOL 100G B4G1 M200MCRT P30-MT</v>
          </cell>
          <cell r="D1581">
            <v>0</v>
          </cell>
          <cell r="E1581">
            <v>0</v>
          </cell>
          <cell r="F1581">
            <v>0</v>
          </cell>
        </row>
        <row r="1582">
          <cell r="B1582">
            <v>40063579</v>
          </cell>
          <cell r="C1582" t="str">
            <v>CIN COOL 100G B4G1 M210MCRT P30 MT RSTRD</v>
          </cell>
          <cell r="D1582">
            <v>0</v>
          </cell>
          <cell r="E1582">
            <v>0</v>
          </cell>
          <cell r="F1582">
            <v>0</v>
          </cell>
        </row>
        <row r="1583">
          <cell r="B1583">
            <v>40063965</v>
          </cell>
          <cell r="C1583" t="str">
            <v>CIN COOL 100G PO5M185 BANDED P36MT RSTRD</v>
          </cell>
          <cell r="D1583">
            <v>0</v>
          </cell>
          <cell r="E1583">
            <v>0</v>
          </cell>
          <cell r="F1583">
            <v>0</v>
          </cell>
        </row>
        <row r="1584">
          <cell r="B1584">
            <v>40016120</v>
          </cell>
          <cell r="C1584" t="str">
            <v>*CinCool75gPO3 M68P60+Conf+50gFR</v>
          </cell>
          <cell r="D1584">
            <v>0</v>
          </cell>
          <cell r="E1584">
            <v>0</v>
          </cell>
          <cell r="F1584">
            <v>0</v>
          </cell>
        </row>
        <row r="1585">
          <cell r="B1585">
            <v>40017388</v>
          </cell>
          <cell r="C1585" t="str">
            <v>*CinCool75gPO3Banded M68P60+Conf+50gFR</v>
          </cell>
          <cell r="D1585">
            <v>0</v>
          </cell>
          <cell r="E1585">
            <v>0</v>
          </cell>
          <cell r="F1585">
            <v>0</v>
          </cell>
        </row>
        <row r="1586">
          <cell r="B1586">
            <v>40032662</v>
          </cell>
          <cell r="C1586" t="str">
            <v>*Cin Cool 75g PO3 M81 P60</v>
          </cell>
          <cell r="D1586">
            <v>0</v>
          </cell>
          <cell r="E1586">
            <v>0</v>
          </cell>
          <cell r="F1586">
            <v>0</v>
          </cell>
        </row>
        <row r="1587">
          <cell r="B1587">
            <v>40035611</v>
          </cell>
          <cell r="C1587" t="str">
            <v>*Cin Cool 75g PO3 M93 P60 New</v>
          </cell>
          <cell r="D1587">
            <v>0</v>
          </cell>
          <cell r="E1587">
            <v>0</v>
          </cell>
          <cell r="F1587">
            <v>0</v>
          </cell>
        </row>
        <row r="1588">
          <cell r="B1588">
            <v>40036509</v>
          </cell>
          <cell r="C1588" t="str">
            <v>*Cin Cool 75g PO3 M99 P60 New</v>
          </cell>
          <cell r="D1588">
            <v>0</v>
          </cell>
          <cell r="E1588">
            <v>0</v>
          </cell>
          <cell r="F1588">
            <v>0</v>
          </cell>
        </row>
        <row r="1589">
          <cell r="B1589">
            <v>40036791</v>
          </cell>
          <cell r="C1589" t="str">
            <v>*Cin Cool 75g PO3 M102 P60 New</v>
          </cell>
          <cell r="D1589">
            <v>0</v>
          </cell>
          <cell r="E1589">
            <v>0</v>
          </cell>
          <cell r="F1589">
            <v>0</v>
          </cell>
        </row>
        <row r="1590">
          <cell r="B1590">
            <v>40041237</v>
          </cell>
          <cell r="C1590" t="str">
            <v>*Cin Cool 75g PO3 M107 P60 New</v>
          </cell>
          <cell r="D1590">
            <v>0</v>
          </cell>
          <cell r="E1590">
            <v>0</v>
          </cell>
          <cell r="F1590">
            <v>0</v>
          </cell>
        </row>
        <row r="1591">
          <cell r="B1591">
            <v>40043924</v>
          </cell>
          <cell r="C1591" t="str">
            <v>*Cin Cool 75g PO4 M110 P50 New</v>
          </cell>
          <cell r="D1591">
            <v>0</v>
          </cell>
          <cell r="E1591">
            <v>0</v>
          </cell>
          <cell r="F1591">
            <v>0</v>
          </cell>
        </row>
        <row r="1592">
          <cell r="B1592">
            <v>40057009</v>
          </cell>
          <cell r="C1592" t="str">
            <v>*CIN COOL 75G PO4 M120 P50 NEW</v>
          </cell>
          <cell r="D1592">
            <v>0</v>
          </cell>
          <cell r="E1592">
            <v>0</v>
          </cell>
          <cell r="F1592">
            <v>0</v>
          </cell>
        </row>
        <row r="1593">
          <cell r="B1593">
            <v>40060234</v>
          </cell>
          <cell r="C1593" t="str">
            <v>CIN COOL 75G PO4 M105 P50 NEW</v>
          </cell>
          <cell r="D1593">
            <v>0</v>
          </cell>
          <cell r="E1593">
            <v>0</v>
          </cell>
          <cell r="F1593">
            <v>0</v>
          </cell>
        </row>
        <row r="1594">
          <cell r="B1594">
            <v>40050752</v>
          </cell>
          <cell r="C1594" t="str">
            <v>*CIN COOL 75G SING M31 P144 N POLY</v>
          </cell>
          <cell r="D1594">
            <v>0</v>
          </cell>
          <cell r="E1594">
            <v>0</v>
          </cell>
          <cell r="F1594">
            <v>0</v>
          </cell>
        </row>
        <row r="1595">
          <cell r="B1595">
            <v>40032833</v>
          </cell>
          <cell r="C1595" t="str">
            <v>*Cin Cool 100g PO8 M320P18 Ecom</v>
          </cell>
          <cell r="D1595">
            <v>0</v>
          </cell>
          <cell r="E1595">
            <v>0</v>
          </cell>
          <cell r="F1595">
            <v>0</v>
          </cell>
        </row>
        <row r="1596">
          <cell r="B1596">
            <v>40037688</v>
          </cell>
          <cell r="C1596" t="str">
            <v>*Cin Cool 100g PO8 M405P18 Ecom</v>
          </cell>
          <cell r="D1596">
            <v>0</v>
          </cell>
          <cell r="E1596">
            <v>0</v>
          </cell>
          <cell r="F1596">
            <v>0</v>
          </cell>
        </row>
        <row r="1597">
          <cell r="B1597">
            <v>40044121</v>
          </cell>
          <cell r="C1597" t="str">
            <v>*Cin Cool 150g PO4 M275 P12 Carton New</v>
          </cell>
          <cell r="D1597">
            <v>0</v>
          </cell>
          <cell r="E1597">
            <v>0</v>
          </cell>
          <cell r="F1597">
            <v>0</v>
          </cell>
        </row>
        <row r="1598">
          <cell r="B1598">
            <v>40056134</v>
          </cell>
          <cell r="C1598" t="str">
            <v>*CIN COOL 150G PO4 M275 P24 CARTON NEW</v>
          </cell>
          <cell r="D1598">
            <v>0</v>
          </cell>
          <cell r="E1598">
            <v>0</v>
          </cell>
          <cell r="F1598">
            <v>0</v>
          </cell>
        </row>
        <row r="1599">
          <cell r="B1599">
            <v>40060225</v>
          </cell>
          <cell r="C1599" t="str">
            <v>CIN COOL 150G PO4 M215 P24 CARTON NEW</v>
          </cell>
          <cell r="D1599">
            <v>0</v>
          </cell>
          <cell r="E1599">
            <v>0</v>
          </cell>
          <cell r="F1599">
            <v>0</v>
          </cell>
        </row>
        <row r="1600">
          <cell r="B1600">
            <v>40063590</v>
          </cell>
          <cell r="C1600" t="str">
            <v>CIN COOL 150G PO4 M225 P24 CRTN NEWRSTRD</v>
          </cell>
          <cell r="D1600">
            <v>0</v>
          </cell>
          <cell r="E1600">
            <v>0</v>
          </cell>
          <cell r="F1600">
            <v>0</v>
          </cell>
        </row>
        <row r="1601">
          <cell r="B1601">
            <v>40063591</v>
          </cell>
          <cell r="C1601" t="str">
            <v>CIN COOL 150G PO4 M225 P24 CARTON NEW</v>
          </cell>
          <cell r="D1601">
            <v>0</v>
          </cell>
          <cell r="E1601">
            <v>0</v>
          </cell>
          <cell r="F1601">
            <v>0</v>
          </cell>
        </row>
        <row r="1602">
          <cell r="B1602">
            <v>40063803</v>
          </cell>
          <cell r="C1602" t="str">
            <v>CIN COOL 150G PO4 M210 P24 BANDED RSTRD</v>
          </cell>
          <cell r="D1602">
            <v>0</v>
          </cell>
          <cell r="E1602">
            <v>0</v>
          </cell>
          <cell r="F1602">
            <v>0</v>
          </cell>
        </row>
        <row r="1603">
          <cell r="B1603">
            <v>40000213</v>
          </cell>
          <cell r="C1603" t="str">
            <v>CIN DEO COL 90G 160 CAKES MRP 18</v>
          </cell>
          <cell r="D1603">
            <v>0</v>
          </cell>
          <cell r="E1603">
            <v>0</v>
          </cell>
          <cell r="F1603">
            <v>0</v>
          </cell>
        </row>
        <row r="1604">
          <cell r="B1604">
            <v>40017762</v>
          </cell>
          <cell r="C1604" t="str">
            <v>Cin Deo 100g PO3 Banded M88P50-MT</v>
          </cell>
          <cell r="D1604">
            <v>0</v>
          </cell>
          <cell r="E1604">
            <v>0</v>
          </cell>
          <cell r="F1604">
            <v>0</v>
          </cell>
        </row>
        <row r="1605">
          <cell r="B1605">
            <v>40010464</v>
          </cell>
          <cell r="C1605" t="str">
            <v>Cin Deo 100gmSingls P150 M32 NewShape</v>
          </cell>
          <cell r="D1605">
            <v>0</v>
          </cell>
          <cell r="E1605">
            <v>0</v>
          </cell>
          <cell r="F1605">
            <v>0</v>
          </cell>
        </row>
        <row r="1606">
          <cell r="B1606">
            <v>40018713</v>
          </cell>
          <cell r="C1606" t="str">
            <v>CinDeo75gPO3 M72 P60</v>
          </cell>
          <cell r="D1606">
            <v>0</v>
          </cell>
          <cell r="E1606">
            <v>0</v>
          </cell>
          <cell r="F1606">
            <v>0</v>
          </cell>
        </row>
        <row r="1607">
          <cell r="B1607">
            <v>40010671</v>
          </cell>
          <cell r="C1607" t="str">
            <v>*Cin Lime 30g PK240 MRP 5</v>
          </cell>
          <cell r="D1607">
            <v>0</v>
          </cell>
          <cell r="E1607">
            <v>0</v>
          </cell>
          <cell r="F1607">
            <v>0</v>
          </cell>
        </row>
        <row r="1608">
          <cell r="B1608">
            <v>40016295</v>
          </cell>
          <cell r="C1608" t="str">
            <v>*CintholLime30gFlowwrap M5 P240</v>
          </cell>
          <cell r="D1608">
            <v>0</v>
          </cell>
          <cell r="E1608">
            <v>0</v>
          </cell>
          <cell r="F1608">
            <v>0</v>
          </cell>
        </row>
        <row r="1609">
          <cell r="B1609">
            <v>40009961</v>
          </cell>
          <cell r="C1609" t="str">
            <v>*CinFreshLime75gPO4(NewShape)P50M69</v>
          </cell>
          <cell r="D1609">
            <v>0</v>
          </cell>
          <cell r="E1609">
            <v>0</v>
          </cell>
          <cell r="F1609">
            <v>0</v>
          </cell>
        </row>
        <row r="1610">
          <cell r="B1610">
            <v>40012017</v>
          </cell>
          <cell r="C1610" t="str">
            <v>*Cin FreshLime 75g PO4(Banded) P50M69</v>
          </cell>
          <cell r="D1610">
            <v>0</v>
          </cell>
          <cell r="E1610">
            <v>0</v>
          </cell>
          <cell r="F1610">
            <v>0</v>
          </cell>
        </row>
        <row r="1611">
          <cell r="B1611">
            <v>40014438</v>
          </cell>
          <cell r="C1611" t="str">
            <v>*CinLime75gPO4P50M69+50gdeosoapfre</v>
          </cell>
          <cell r="D1611">
            <v>0</v>
          </cell>
          <cell r="E1611">
            <v>0</v>
          </cell>
          <cell r="F1611">
            <v>0</v>
          </cell>
        </row>
        <row r="1612">
          <cell r="B1612">
            <v>40041252</v>
          </cell>
          <cell r="C1612" t="str">
            <v>*Cin Lime 75g PO4 M110 P50</v>
          </cell>
          <cell r="D1612">
            <v>0</v>
          </cell>
          <cell r="E1612">
            <v>0</v>
          </cell>
          <cell r="F1612">
            <v>0</v>
          </cell>
        </row>
        <row r="1613">
          <cell r="B1613">
            <v>40043998</v>
          </cell>
          <cell r="C1613" t="str">
            <v>*Cin Lime 75g PO4 M115 P50</v>
          </cell>
          <cell r="D1613">
            <v>0</v>
          </cell>
          <cell r="E1613">
            <v>0</v>
          </cell>
          <cell r="F1613">
            <v>0</v>
          </cell>
        </row>
        <row r="1614">
          <cell r="B1614">
            <v>40050472</v>
          </cell>
          <cell r="C1614" t="str">
            <v>*CIN LIME 75G PO4 M96.00 P50</v>
          </cell>
          <cell r="D1614">
            <v>0</v>
          </cell>
          <cell r="E1614">
            <v>0</v>
          </cell>
          <cell r="F1614">
            <v>0</v>
          </cell>
        </row>
        <row r="1615">
          <cell r="B1615">
            <v>40057436</v>
          </cell>
          <cell r="C1615" t="str">
            <v>*CIN LIME 75G PO4 M100 P50</v>
          </cell>
          <cell r="D1615">
            <v>0</v>
          </cell>
          <cell r="E1615">
            <v>0</v>
          </cell>
          <cell r="F1615">
            <v>0</v>
          </cell>
        </row>
        <row r="1616">
          <cell r="B1616">
            <v>40060240</v>
          </cell>
          <cell r="C1616" t="str">
            <v>CIN LIME 75G PO4 M90 P50</v>
          </cell>
          <cell r="D1616">
            <v>0</v>
          </cell>
          <cell r="E1616">
            <v>0</v>
          </cell>
          <cell r="F1616">
            <v>0</v>
          </cell>
        </row>
        <row r="1617">
          <cell r="B1617">
            <v>40063000</v>
          </cell>
          <cell r="C1617" t="str">
            <v>CIN LIME 75G PO4M90 P50 RSTRD</v>
          </cell>
          <cell r="D1617">
            <v>0</v>
          </cell>
          <cell r="E1617">
            <v>0</v>
          </cell>
          <cell r="F1617">
            <v>0</v>
          </cell>
        </row>
        <row r="1618">
          <cell r="B1618">
            <v>40063450</v>
          </cell>
          <cell r="C1618" t="str">
            <v>CIN LIME 75G PO4M95 P50 RSTRD</v>
          </cell>
          <cell r="D1618">
            <v>0</v>
          </cell>
          <cell r="E1618">
            <v>0</v>
          </cell>
          <cell r="F1618">
            <v>0</v>
          </cell>
        </row>
        <row r="1619">
          <cell r="B1619">
            <v>40037094</v>
          </cell>
          <cell r="C1619" t="str">
            <v>*Cin Lime 75g Singles M31 P144 INST</v>
          </cell>
          <cell r="D1619">
            <v>0</v>
          </cell>
          <cell r="E1619">
            <v>0</v>
          </cell>
          <cell r="F1619">
            <v>0</v>
          </cell>
        </row>
        <row r="1620">
          <cell r="B1620">
            <v>40050215</v>
          </cell>
          <cell r="C1620" t="str">
            <v>*Cin Lime 75g Singles M31 P200INSTI</v>
          </cell>
          <cell r="D1620">
            <v>0</v>
          </cell>
          <cell r="E1620">
            <v>0</v>
          </cell>
          <cell r="F1620">
            <v>0</v>
          </cell>
        </row>
        <row r="1621">
          <cell r="B1621">
            <v>40059269</v>
          </cell>
          <cell r="C1621" t="str">
            <v>*CIN LIME 75G SINGLES M31 P144 INST TEMP</v>
          </cell>
          <cell r="D1621">
            <v>0</v>
          </cell>
          <cell r="E1621">
            <v>0</v>
          </cell>
          <cell r="F1621">
            <v>0</v>
          </cell>
        </row>
        <row r="1622">
          <cell r="B1622">
            <v>40050632</v>
          </cell>
          <cell r="C1622" t="str">
            <v>*CIN LIME 75G PO4 M115.00 P50ROI</v>
          </cell>
          <cell r="D1622">
            <v>0</v>
          </cell>
          <cell r="E1622">
            <v>0</v>
          </cell>
          <cell r="F1622">
            <v>0</v>
          </cell>
        </row>
        <row r="1623">
          <cell r="B1623">
            <v>40060236</v>
          </cell>
          <cell r="C1623" t="str">
            <v>CIN LIME 75G PO4 M100 P50ROI</v>
          </cell>
          <cell r="D1623">
            <v>0</v>
          </cell>
          <cell r="E1623">
            <v>0</v>
          </cell>
          <cell r="F1623">
            <v>0</v>
          </cell>
        </row>
        <row r="1624">
          <cell r="B1624">
            <v>40063001</v>
          </cell>
          <cell r="C1624" t="str">
            <v>CIN LIME 75G PO4M100 P50ROI RSTRD</v>
          </cell>
          <cell r="D1624">
            <v>0</v>
          </cell>
          <cell r="E1624">
            <v>0</v>
          </cell>
          <cell r="F1624">
            <v>0</v>
          </cell>
        </row>
        <row r="1625">
          <cell r="B1625">
            <v>40063503</v>
          </cell>
          <cell r="C1625" t="str">
            <v>CIN LIME 75G PO4M105 P50ROI RSTRD</v>
          </cell>
          <cell r="D1625">
            <v>0</v>
          </cell>
          <cell r="E1625">
            <v>0</v>
          </cell>
          <cell r="F1625">
            <v>0</v>
          </cell>
        </row>
        <row r="1626">
          <cell r="B1626">
            <v>40041575</v>
          </cell>
          <cell r="C1626" t="str">
            <v>*Cin Lime 75g PO5 M110 P50</v>
          </cell>
          <cell r="D1626">
            <v>0</v>
          </cell>
          <cell r="E1626">
            <v>0</v>
          </cell>
          <cell r="F1626">
            <v>0</v>
          </cell>
        </row>
        <row r="1627">
          <cell r="B1627">
            <v>40017833</v>
          </cell>
          <cell r="C1627" t="str">
            <v>*CinLime100gPO4M94P36+60gdeosoapFree</v>
          </cell>
          <cell r="D1627">
            <v>0</v>
          </cell>
          <cell r="E1627">
            <v>0</v>
          </cell>
          <cell r="F1627">
            <v>0</v>
          </cell>
        </row>
        <row r="1628">
          <cell r="B1628">
            <v>40019524</v>
          </cell>
          <cell r="C1628" t="str">
            <v>*CinLime100gPO4M100P36+60gDeoSoapFree</v>
          </cell>
          <cell r="D1628">
            <v>0</v>
          </cell>
          <cell r="E1628">
            <v>0</v>
          </cell>
          <cell r="F1628">
            <v>0</v>
          </cell>
        </row>
        <row r="1629">
          <cell r="B1629">
            <v>40000468</v>
          </cell>
          <cell r="C1629" t="str">
            <v>*CINTHOL FRESH LIME 100 G X 5 PS-30</v>
          </cell>
          <cell r="D1629">
            <v>0</v>
          </cell>
          <cell r="E1629">
            <v>0</v>
          </cell>
          <cell r="F1629">
            <v>0</v>
          </cell>
        </row>
        <row r="1630">
          <cell r="B1630">
            <v>40003163</v>
          </cell>
          <cell r="C1630" t="str">
            <v>*CIN FRESH LIME 100GX 5 PS-30 MRP 80(MT)</v>
          </cell>
          <cell r="D1630">
            <v>0</v>
          </cell>
          <cell r="E1630">
            <v>0</v>
          </cell>
          <cell r="F1630">
            <v>0</v>
          </cell>
        </row>
        <row r="1631">
          <cell r="B1631">
            <v>40012820</v>
          </cell>
          <cell r="C1631" t="str">
            <v>*Cin Lime 100g B4G1F1 PK30 MRP108-MT</v>
          </cell>
          <cell r="D1631">
            <v>0</v>
          </cell>
          <cell r="E1631">
            <v>0</v>
          </cell>
          <cell r="F1631">
            <v>0</v>
          </cell>
        </row>
        <row r="1632">
          <cell r="B1632">
            <v>40033773</v>
          </cell>
          <cell r="C1632" t="str">
            <v>*Cin Lime 100g B4G1 P30 M148 GT NEW</v>
          </cell>
          <cell r="D1632">
            <v>0</v>
          </cell>
          <cell r="E1632">
            <v>0</v>
          </cell>
          <cell r="F1632">
            <v>0</v>
          </cell>
        </row>
        <row r="1633">
          <cell r="B1633">
            <v>40034203</v>
          </cell>
          <cell r="C1633" t="str">
            <v>*Cin Lime 100g B4G1 P30 M176 MT NEW</v>
          </cell>
          <cell r="D1633">
            <v>0</v>
          </cell>
          <cell r="E1633">
            <v>0</v>
          </cell>
          <cell r="F1633">
            <v>0</v>
          </cell>
        </row>
        <row r="1634">
          <cell r="B1634">
            <v>40036109</v>
          </cell>
          <cell r="C1634" t="str">
            <v>*Cin Lime 100g B4G1 P30 M196 MT NEW</v>
          </cell>
          <cell r="D1634">
            <v>0</v>
          </cell>
          <cell r="E1634">
            <v>0</v>
          </cell>
          <cell r="F1634">
            <v>0</v>
          </cell>
        </row>
        <row r="1635">
          <cell r="B1635">
            <v>40036162</v>
          </cell>
          <cell r="C1635" t="str">
            <v>*Cin Lime 100g B4G1 P30 M184 GT NEW</v>
          </cell>
          <cell r="D1635">
            <v>0</v>
          </cell>
          <cell r="E1635">
            <v>0</v>
          </cell>
          <cell r="F1635">
            <v>0</v>
          </cell>
        </row>
        <row r="1636">
          <cell r="B1636">
            <v>40036408</v>
          </cell>
          <cell r="C1636" t="str">
            <v>*Cin Lime 100g B4G1 P30 M196 GT NEW</v>
          </cell>
          <cell r="D1636">
            <v>0</v>
          </cell>
          <cell r="E1636">
            <v>0</v>
          </cell>
          <cell r="F1636">
            <v>0</v>
          </cell>
        </row>
        <row r="1637">
          <cell r="B1637">
            <v>40037464</v>
          </cell>
          <cell r="C1637" t="str">
            <v>*Cin Lime 100gm B4G1 P30 M204 GT NEW</v>
          </cell>
          <cell r="D1637">
            <v>0</v>
          </cell>
          <cell r="E1637">
            <v>0</v>
          </cell>
          <cell r="F1637">
            <v>0</v>
          </cell>
        </row>
        <row r="1638">
          <cell r="B1638">
            <v>40037879</v>
          </cell>
          <cell r="C1638" t="str">
            <v>*Cin Lime 100g B4G1 P30 M208 GT NEW</v>
          </cell>
          <cell r="D1638">
            <v>0</v>
          </cell>
          <cell r="E1638">
            <v>0</v>
          </cell>
          <cell r="F1638">
            <v>0</v>
          </cell>
        </row>
        <row r="1639">
          <cell r="B1639">
            <v>40041250</v>
          </cell>
          <cell r="C1639" t="str">
            <v>*Cin Lime 100g B4G1 P30 M200 MT NEW</v>
          </cell>
          <cell r="D1639">
            <v>0</v>
          </cell>
          <cell r="E1639">
            <v>0</v>
          </cell>
          <cell r="F1639">
            <v>0</v>
          </cell>
        </row>
        <row r="1640">
          <cell r="B1640">
            <v>40049874</v>
          </cell>
          <cell r="C1640" t="str">
            <v>*Cin Lime 100g B4G1 P30 M205 MT NEW</v>
          </cell>
          <cell r="D1640">
            <v>0</v>
          </cell>
          <cell r="E1640">
            <v>0</v>
          </cell>
          <cell r="F1640">
            <v>0</v>
          </cell>
        </row>
        <row r="1641">
          <cell r="B1641">
            <v>40063183</v>
          </cell>
          <cell r="C1641" t="str">
            <v>CIN LIME 100G B4G1 P30M185 MT NEW RSTRD</v>
          </cell>
          <cell r="D1641">
            <v>0</v>
          </cell>
          <cell r="E1641">
            <v>0</v>
          </cell>
          <cell r="F1641">
            <v>0</v>
          </cell>
        </row>
        <row r="1642">
          <cell r="B1642">
            <v>40039561</v>
          </cell>
          <cell r="C1642" t="str">
            <v>*Cin Lime 125g PO3 (banded) M150 P40-MT</v>
          </cell>
          <cell r="D1642">
            <v>0</v>
          </cell>
          <cell r="E1642">
            <v>0</v>
          </cell>
          <cell r="F1642">
            <v>0</v>
          </cell>
        </row>
        <row r="1643">
          <cell r="B1643">
            <v>40041861</v>
          </cell>
          <cell r="C1643" t="str">
            <v>*CinLime125gPO3(banded)M150P40GTNw</v>
          </cell>
          <cell r="D1643">
            <v>0</v>
          </cell>
          <cell r="E1643">
            <v>0</v>
          </cell>
          <cell r="F1643">
            <v>0</v>
          </cell>
        </row>
        <row r="1644">
          <cell r="B1644">
            <v>40062995</v>
          </cell>
          <cell r="C1644" t="str">
            <v>CIN LIME 125G PO3 (BANDED) M135 P40-MT</v>
          </cell>
          <cell r="D1644">
            <v>0</v>
          </cell>
          <cell r="E1644">
            <v>0</v>
          </cell>
          <cell r="F1644">
            <v>0</v>
          </cell>
        </row>
        <row r="1645">
          <cell r="B1645">
            <v>40065150</v>
          </cell>
          <cell r="C1645" t="str">
            <v>CIN LIME 125G PO3 (BANDED) M140 P40 NLC</v>
          </cell>
          <cell r="D1645">
            <v>0</v>
          </cell>
          <cell r="E1645">
            <v>0</v>
          </cell>
          <cell r="F1645">
            <v>0</v>
          </cell>
        </row>
        <row r="1646">
          <cell r="B1646">
            <v>40065151</v>
          </cell>
          <cell r="C1646" t="str">
            <v>CIN LIME 125G PO3 (BAND) M140 P40 NLC FR</v>
          </cell>
          <cell r="D1646">
            <v>0</v>
          </cell>
          <cell r="E1646">
            <v>0</v>
          </cell>
          <cell r="F1646">
            <v>0</v>
          </cell>
        </row>
        <row r="1647">
          <cell r="B1647">
            <v>40032816</v>
          </cell>
          <cell r="C1647" t="str">
            <v>*Cin Health+ NEW 100g Singles M38 P150</v>
          </cell>
          <cell r="D1647">
            <v>0</v>
          </cell>
          <cell r="E1647">
            <v>0</v>
          </cell>
          <cell r="F1647">
            <v>0</v>
          </cell>
        </row>
        <row r="1648">
          <cell r="B1648">
            <v>40036806</v>
          </cell>
          <cell r="C1648" t="str">
            <v>*Cin Health+ 100g Singles M45 P150 NEW</v>
          </cell>
          <cell r="D1648">
            <v>0</v>
          </cell>
          <cell r="E1648">
            <v>0</v>
          </cell>
          <cell r="F1648">
            <v>0</v>
          </cell>
        </row>
        <row r="1649">
          <cell r="B1649">
            <v>40038449</v>
          </cell>
          <cell r="C1649" t="str">
            <v>*Cin Health+ 100g Singles M48 P150 NEW</v>
          </cell>
          <cell r="D1649">
            <v>0</v>
          </cell>
          <cell r="E1649">
            <v>0</v>
          </cell>
          <cell r="F1649">
            <v>0</v>
          </cell>
        </row>
        <row r="1650">
          <cell r="B1650">
            <v>40039574</v>
          </cell>
          <cell r="C1650" t="str">
            <v>*Cin Health+ 100g Singles M50 P150 NEW</v>
          </cell>
          <cell r="D1650">
            <v>0</v>
          </cell>
          <cell r="E1650">
            <v>0</v>
          </cell>
          <cell r="F1650">
            <v>0</v>
          </cell>
        </row>
        <row r="1651">
          <cell r="B1651">
            <v>40057861</v>
          </cell>
          <cell r="C1651" t="str">
            <v>*CINHEALTH+100GSINGLESM50P150TFM70</v>
          </cell>
          <cell r="D1651">
            <v>0</v>
          </cell>
          <cell r="E1651">
            <v>0</v>
          </cell>
          <cell r="F1651">
            <v>0</v>
          </cell>
        </row>
        <row r="1652">
          <cell r="B1652">
            <v>40058973</v>
          </cell>
          <cell r="C1652" t="str">
            <v>*CINHEALTH+100GSINGLESM45P150TFM70</v>
          </cell>
          <cell r="D1652">
            <v>0</v>
          </cell>
          <cell r="E1652">
            <v>0</v>
          </cell>
          <cell r="F1652">
            <v>0</v>
          </cell>
        </row>
        <row r="1653">
          <cell r="B1653">
            <v>40060237</v>
          </cell>
          <cell r="C1653" t="str">
            <v>CIN HEALTH+ 100G SINGLES M40 P150 TFM 70</v>
          </cell>
          <cell r="D1653">
            <v>0</v>
          </cell>
          <cell r="E1653">
            <v>0</v>
          </cell>
          <cell r="F1653">
            <v>0</v>
          </cell>
        </row>
        <row r="1654">
          <cell r="B1654">
            <v>40062551</v>
          </cell>
          <cell r="C1654" t="str">
            <v>CIN HEALTH+ 100G SINGLES M40 P150 TFM 70</v>
          </cell>
          <cell r="D1654">
            <v>0</v>
          </cell>
          <cell r="E1654">
            <v>0</v>
          </cell>
          <cell r="F1654">
            <v>0</v>
          </cell>
        </row>
        <row r="1655">
          <cell r="B1655">
            <v>40063586</v>
          </cell>
          <cell r="C1655" t="str">
            <v>CIN HEALTH+ 100G SINGLES M42P150 RSTRD</v>
          </cell>
          <cell r="D1655">
            <v>0</v>
          </cell>
          <cell r="E1655">
            <v>0</v>
          </cell>
          <cell r="F1655">
            <v>0</v>
          </cell>
        </row>
        <row r="1656">
          <cell r="B1656">
            <v>40029448</v>
          </cell>
          <cell r="C1656" t="str">
            <v>*Cin Health+48g sing M10 P216</v>
          </cell>
          <cell r="D1656">
            <v>0</v>
          </cell>
          <cell r="E1656">
            <v>0</v>
          </cell>
          <cell r="F1656">
            <v>0</v>
          </cell>
        </row>
        <row r="1657">
          <cell r="B1657">
            <v>40030978</v>
          </cell>
          <cell r="C1657" t="str">
            <v>*Cin Health+ 45g NEW M10 P216 (hanger)</v>
          </cell>
          <cell r="D1657">
            <v>0</v>
          </cell>
          <cell r="E1657">
            <v>0</v>
          </cell>
          <cell r="F1657">
            <v>0</v>
          </cell>
        </row>
        <row r="1658">
          <cell r="B1658">
            <v>40031000</v>
          </cell>
          <cell r="C1658" t="str">
            <v>*Cin Health+ 45g NEW M10 P216 (Sleeve)</v>
          </cell>
          <cell r="D1658">
            <v>0</v>
          </cell>
          <cell r="E1658">
            <v>0</v>
          </cell>
          <cell r="F1658">
            <v>0</v>
          </cell>
        </row>
        <row r="1659">
          <cell r="B1659">
            <v>40036594</v>
          </cell>
          <cell r="C1659" t="str">
            <v>*Cin Health+ 40g NEW M10 P216 (Sleeve)</v>
          </cell>
          <cell r="D1659">
            <v>0</v>
          </cell>
          <cell r="E1659">
            <v>0</v>
          </cell>
          <cell r="F1659">
            <v>0</v>
          </cell>
        </row>
        <row r="1660">
          <cell r="B1660">
            <v>40043002</v>
          </cell>
          <cell r="C1660" t="str">
            <v>*CinHealth+45gNEWM10P216(Sleeve)(N)</v>
          </cell>
          <cell r="D1660">
            <v>0</v>
          </cell>
          <cell r="E1660">
            <v>0</v>
          </cell>
          <cell r="F1660">
            <v>0</v>
          </cell>
        </row>
        <row r="1661">
          <cell r="B1661">
            <v>40049910</v>
          </cell>
          <cell r="C1661" t="str">
            <v>*CinHealth+42gNEWM10P216(Sleeve)(N)</v>
          </cell>
          <cell r="D1661">
            <v>0</v>
          </cell>
          <cell r="E1661">
            <v>0</v>
          </cell>
          <cell r="F1661">
            <v>0</v>
          </cell>
        </row>
        <row r="1662">
          <cell r="B1662">
            <v>40049945</v>
          </cell>
          <cell r="C1662" t="str">
            <v>*Cin Health+ 42g M10 P216 (polybag) N</v>
          </cell>
          <cell r="D1662">
            <v>0</v>
          </cell>
          <cell r="E1662">
            <v>0</v>
          </cell>
          <cell r="F1662">
            <v>0</v>
          </cell>
        </row>
        <row r="1663">
          <cell r="B1663">
            <v>40057882</v>
          </cell>
          <cell r="C1663" t="str">
            <v>*CIN H+40G NEW M10 P216 TFM 70%</v>
          </cell>
          <cell r="D1663">
            <v>0</v>
          </cell>
          <cell r="E1663">
            <v>0</v>
          </cell>
          <cell r="F1663">
            <v>0</v>
          </cell>
        </row>
        <row r="1664">
          <cell r="B1664">
            <v>40060681</v>
          </cell>
          <cell r="C1664" t="str">
            <v>CIN H+42G NEW M10 P216 TFM 70%</v>
          </cell>
          <cell r="D1664">
            <v>0</v>
          </cell>
          <cell r="E1664">
            <v>0</v>
          </cell>
          <cell r="F1664">
            <v>0</v>
          </cell>
        </row>
        <row r="1665">
          <cell r="B1665">
            <v>40032712</v>
          </cell>
          <cell r="C1665" t="str">
            <v>*Cin H+ 100g B4G1 Carton M152 P30-GT NEW</v>
          </cell>
          <cell r="D1665">
            <v>0</v>
          </cell>
          <cell r="E1665">
            <v>0</v>
          </cell>
          <cell r="F1665">
            <v>0</v>
          </cell>
        </row>
        <row r="1666">
          <cell r="B1666">
            <v>40037321</v>
          </cell>
          <cell r="C1666" t="str">
            <v>*Cin H+ 100g B4G1 Carton M224 P30-GT NEW</v>
          </cell>
          <cell r="D1666">
            <v>0</v>
          </cell>
          <cell r="E1666">
            <v>0</v>
          </cell>
          <cell r="F1666">
            <v>0</v>
          </cell>
        </row>
        <row r="1667">
          <cell r="B1667">
            <v>40039354</v>
          </cell>
          <cell r="C1667" t="str">
            <v>*Cin H+ 100g B4G1 Carton M246 P30-GT N</v>
          </cell>
          <cell r="D1667">
            <v>0</v>
          </cell>
          <cell r="E1667">
            <v>0</v>
          </cell>
          <cell r="F1667">
            <v>0</v>
          </cell>
        </row>
        <row r="1668">
          <cell r="B1668">
            <v>40041254</v>
          </cell>
          <cell r="C1668" t="str">
            <v>*Cin H+ 100g B4G1 Carton M250 P30-MT NEW</v>
          </cell>
          <cell r="D1668">
            <v>0</v>
          </cell>
          <cell r="E1668">
            <v>0</v>
          </cell>
          <cell r="F1668">
            <v>0</v>
          </cell>
        </row>
        <row r="1669">
          <cell r="B1669">
            <v>40057915</v>
          </cell>
          <cell r="C1669" t="str">
            <v>*CINH+100GB4G1CRTNM250P30-MTTFM70</v>
          </cell>
          <cell r="D1669">
            <v>0</v>
          </cell>
          <cell r="E1669">
            <v>0</v>
          </cell>
          <cell r="F1669">
            <v>0</v>
          </cell>
        </row>
        <row r="1670">
          <cell r="B1670">
            <v>40060290</v>
          </cell>
          <cell r="C1670" t="str">
            <v>CIN H+ 100G B4G1 CRTN M225 P30-MT TFM 70</v>
          </cell>
          <cell r="D1670">
            <v>0</v>
          </cell>
          <cell r="E1670">
            <v>0</v>
          </cell>
          <cell r="F1670">
            <v>0</v>
          </cell>
        </row>
        <row r="1671">
          <cell r="B1671">
            <v>40062553</v>
          </cell>
          <cell r="C1671" t="str">
            <v>CIN H+ 100G B4G1 CRTN M225 P30-MT TFM 70</v>
          </cell>
          <cell r="D1671">
            <v>0</v>
          </cell>
          <cell r="E1671">
            <v>0</v>
          </cell>
          <cell r="F1671">
            <v>0</v>
          </cell>
        </row>
        <row r="1672">
          <cell r="B1672">
            <v>40063011</v>
          </cell>
          <cell r="C1672" t="str">
            <v>CIN H+ 100G B4G1 CRTN M225 P30 MT RSTRD</v>
          </cell>
          <cell r="D1672">
            <v>0</v>
          </cell>
          <cell r="E1672">
            <v>0</v>
          </cell>
          <cell r="F1672">
            <v>0</v>
          </cell>
        </row>
        <row r="1673">
          <cell r="B1673">
            <v>40064471</v>
          </cell>
          <cell r="C1673" t="str">
            <v>CIN H+ 100G PO5 BANDED M210 P36 MT RSTRD</v>
          </cell>
          <cell r="D1673">
            <v>0</v>
          </cell>
          <cell r="E1673">
            <v>0</v>
          </cell>
          <cell r="F1673">
            <v>0</v>
          </cell>
        </row>
        <row r="1674">
          <cell r="B1674">
            <v>40036816</v>
          </cell>
          <cell r="C1674" t="str">
            <v>*Cin Health+ 100g PO3 M135 P50 GT NEW</v>
          </cell>
          <cell r="D1674">
            <v>0</v>
          </cell>
          <cell r="E1674">
            <v>0</v>
          </cell>
          <cell r="F1674">
            <v>0</v>
          </cell>
        </row>
        <row r="1675">
          <cell r="B1675">
            <v>40041193</v>
          </cell>
          <cell r="C1675" t="str">
            <v>*Cin Health+ 100g PO3 M150 P50 GT NEW</v>
          </cell>
          <cell r="D1675">
            <v>0</v>
          </cell>
          <cell r="E1675">
            <v>0</v>
          </cell>
          <cell r="F1675">
            <v>0</v>
          </cell>
        </row>
        <row r="1676">
          <cell r="B1676">
            <v>40057914</v>
          </cell>
          <cell r="C1676" t="str">
            <v>*CINHEALTH+100GPO3M150P50GTTFM70%</v>
          </cell>
          <cell r="D1676">
            <v>0</v>
          </cell>
          <cell r="E1676">
            <v>0</v>
          </cell>
          <cell r="F1676">
            <v>0</v>
          </cell>
        </row>
        <row r="1677">
          <cell r="B1677">
            <v>40062552</v>
          </cell>
          <cell r="C1677" t="str">
            <v>CIN HEALTH+ 100G PO3 M135 P50 GT TFM 70</v>
          </cell>
          <cell r="D1677">
            <v>0</v>
          </cell>
          <cell r="E1677">
            <v>0</v>
          </cell>
          <cell r="F1677">
            <v>0</v>
          </cell>
        </row>
        <row r="1678">
          <cell r="B1678">
            <v>40033219</v>
          </cell>
          <cell r="C1678" t="str">
            <v>*Cin Lime 100g PO4 M116 P36 New</v>
          </cell>
          <cell r="D1678">
            <v>0</v>
          </cell>
          <cell r="E1678">
            <v>0</v>
          </cell>
          <cell r="F1678">
            <v>0</v>
          </cell>
        </row>
        <row r="1679">
          <cell r="B1679">
            <v>40034192</v>
          </cell>
          <cell r="C1679" t="str">
            <v>*Cin Lime 100g PO4 M122 P36 New</v>
          </cell>
          <cell r="D1679">
            <v>0</v>
          </cell>
          <cell r="E1679">
            <v>0</v>
          </cell>
          <cell r="F1679">
            <v>0</v>
          </cell>
        </row>
        <row r="1680">
          <cell r="B1680">
            <v>40035597</v>
          </cell>
          <cell r="C1680" t="str">
            <v>*Cin Lime 100g PO4 M130 P36 New</v>
          </cell>
          <cell r="D1680">
            <v>0</v>
          </cell>
          <cell r="E1680">
            <v>0</v>
          </cell>
          <cell r="F1680">
            <v>0</v>
          </cell>
        </row>
        <row r="1681">
          <cell r="B1681">
            <v>40035904</v>
          </cell>
          <cell r="C1681" t="str">
            <v>*Cin Lime 100g PO4 M140 P36 New</v>
          </cell>
          <cell r="D1681">
            <v>0</v>
          </cell>
          <cell r="E1681">
            <v>0</v>
          </cell>
          <cell r="F1681">
            <v>0</v>
          </cell>
        </row>
        <row r="1682">
          <cell r="B1682">
            <v>40036620</v>
          </cell>
          <cell r="C1682" t="str">
            <v>*Cin Lime 100g PO4 M150 P36 New</v>
          </cell>
          <cell r="D1682">
            <v>0</v>
          </cell>
          <cell r="E1682">
            <v>0</v>
          </cell>
          <cell r="F1682">
            <v>0</v>
          </cell>
        </row>
        <row r="1683">
          <cell r="B1683">
            <v>40037109</v>
          </cell>
          <cell r="C1683" t="str">
            <v>*Cin Lime 100g PO4 M155 P36 New</v>
          </cell>
          <cell r="D1683">
            <v>0</v>
          </cell>
          <cell r="E1683">
            <v>0</v>
          </cell>
          <cell r="F1683">
            <v>0</v>
          </cell>
        </row>
        <row r="1684">
          <cell r="B1684">
            <v>40037327</v>
          </cell>
          <cell r="C1684" t="str">
            <v>*Cin Lime 100gPO4 M155 P36(Magic offer)</v>
          </cell>
          <cell r="D1684">
            <v>0</v>
          </cell>
          <cell r="E1684">
            <v>0</v>
          </cell>
          <cell r="F1684">
            <v>0</v>
          </cell>
        </row>
        <row r="1685">
          <cell r="B1685">
            <v>40041183</v>
          </cell>
          <cell r="C1685" t="str">
            <v>*Cin Lime 100g PO4 M140 P36 N</v>
          </cell>
          <cell r="D1685">
            <v>0</v>
          </cell>
          <cell r="E1685">
            <v>0</v>
          </cell>
          <cell r="F1685">
            <v>0</v>
          </cell>
        </row>
        <row r="1686">
          <cell r="B1686">
            <v>40043909</v>
          </cell>
          <cell r="C1686" t="str">
            <v>*Cin Lime 100g PO4 M150 P36 TN</v>
          </cell>
          <cell r="D1686">
            <v>0</v>
          </cell>
          <cell r="E1686">
            <v>0</v>
          </cell>
          <cell r="F1686">
            <v>0</v>
          </cell>
        </row>
        <row r="1687">
          <cell r="B1687">
            <v>40060253</v>
          </cell>
          <cell r="C1687" t="str">
            <v>CIN LIME 100G PO4 M135 P36 TN35</v>
          </cell>
          <cell r="D1687">
            <v>0</v>
          </cell>
          <cell r="E1687">
            <v>0</v>
          </cell>
          <cell r="F1687">
            <v>0</v>
          </cell>
        </row>
        <row r="1688">
          <cell r="B1688">
            <v>40041444</v>
          </cell>
          <cell r="C1688" t="str">
            <v>*Cin Lime 100gm B4G1 P36 M140 GT N (AP)</v>
          </cell>
          <cell r="D1688">
            <v>0</v>
          </cell>
          <cell r="E1688">
            <v>0</v>
          </cell>
          <cell r="F1688">
            <v>0</v>
          </cell>
        </row>
        <row r="1689">
          <cell r="B1689">
            <v>40043913</v>
          </cell>
          <cell r="C1689" t="str">
            <v>*Cin Lime 100gm B4G1 P36 M150 GT N (AP)</v>
          </cell>
          <cell r="D1689">
            <v>0</v>
          </cell>
          <cell r="E1689">
            <v>0</v>
          </cell>
          <cell r="F1689">
            <v>0</v>
          </cell>
        </row>
        <row r="1690">
          <cell r="B1690">
            <v>40050452</v>
          </cell>
          <cell r="C1690" t="str">
            <v>*CIN LIME 100G B4G1 M160.00 P36 GT (AP)</v>
          </cell>
          <cell r="D1690">
            <v>0</v>
          </cell>
          <cell r="E1690">
            <v>0</v>
          </cell>
          <cell r="F1690">
            <v>0</v>
          </cell>
        </row>
        <row r="1691">
          <cell r="B1691">
            <v>40056212</v>
          </cell>
          <cell r="C1691" t="str">
            <v>*CIN LIME 100GM B4G1 P36 M175 GT N (AP)</v>
          </cell>
          <cell r="D1691">
            <v>0</v>
          </cell>
          <cell r="E1691">
            <v>0</v>
          </cell>
          <cell r="F1691">
            <v>0</v>
          </cell>
        </row>
        <row r="1692">
          <cell r="B1692">
            <v>40057006</v>
          </cell>
          <cell r="C1692" t="str">
            <v>*CIN LIME 100GM B4G1 P36 M185 GT N (AP)</v>
          </cell>
          <cell r="D1692">
            <v>0</v>
          </cell>
          <cell r="E1692">
            <v>0</v>
          </cell>
          <cell r="F1692">
            <v>0</v>
          </cell>
        </row>
        <row r="1693">
          <cell r="B1693">
            <v>40057990</v>
          </cell>
          <cell r="C1693" t="str">
            <v>*CIN LIME 100GM B4G1 P36 M165 GT N (AP)</v>
          </cell>
          <cell r="D1693">
            <v>0</v>
          </cell>
          <cell r="E1693">
            <v>0</v>
          </cell>
          <cell r="F1693">
            <v>0</v>
          </cell>
        </row>
        <row r="1694">
          <cell r="B1694">
            <v>40060254</v>
          </cell>
          <cell r="C1694" t="str">
            <v>CIN LIME 100GM B4G1 P36 M150 GT N (AP)</v>
          </cell>
          <cell r="D1694">
            <v>0</v>
          </cell>
          <cell r="E1694">
            <v>0</v>
          </cell>
          <cell r="F1694">
            <v>0</v>
          </cell>
        </row>
        <row r="1695">
          <cell r="B1695">
            <v>40063449</v>
          </cell>
          <cell r="C1695" t="str">
            <v>CIN LIME 100G B4G1 P36M160 GT N(AP)RSTRD</v>
          </cell>
          <cell r="D1695">
            <v>0</v>
          </cell>
          <cell r="E1695">
            <v>0</v>
          </cell>
          <cell r="F1695">
            <v>0</v>
          </cell>
        </row>
        <row r="1696">
          <cell r="B1696">
            <v>40064834</v>
          </cell>
          <cell r="C1696" t="str">
            <v>CIN LIME 100G PO4 P45 M150 GT N(AP)RSTRD</v>
          </cell>
          <cell r="D1696">
            <v>0</v>
          </cell>
          <cell r="E1696">
            <v>0</v>
          </cell>
          <cell r="F1696">
            <v>0</v>
          </cell>
        </row>
        <row r="1697">
          <cell r="B1697">
            <v>40057875</v>
          </cell>
          <cell r="C1697" t="str">
            <v>*CIN LIME 100G B4G1 M190 P36 GT(ROI))</v>
          </cell>
          <cell r="D1697">
            <v>0</v>
          </cell>
          <cell r="E1697">
            <v>0</v>
          </cell>
          <cell r="F1697">
            <v>0</v>
          </cell>
        </row>
        <row r="1698">
          <cell r="B1698">
            <v>40058008</v>
          </cell>
          <cell r="C1698" t="str">
            <v>*CIN LIME 100G B4G1 M180 P36 GT(ROI))</v>
          </cell>
          <cell r="D1698">
            <v>0</v>
          </cell>
          <cell r="E1698">
            <v>0</v>
          </cell>
          <cell r="F1698">
            <v>0</v>
          </cell>
        </row>
        <row r="1699">
          <cell r="B1699">
            <v>40060255</v>
          </cell>
          <cell r="C1699" t="str">
            <v>CIN LIME 100G B4G1 M165 P36 GT(ROI))</v>
          </cell>
          <cell r="D1699">
            <v>0</v>
          </cell>
          <cell r="E1699">
            <v>0</v>
          </cell>
          <cell r="F1699">
            <v>0</v>
          </cell>
        </row>
        <row r="1700">
          <cell r="B1700">
            <v>40063448</v>
          </cell>
          <cell r="C1700" t="str">
            <v>CIN LIME 100G B4G1 M175P36 GT(ROI)RSTRD</v>
          </cell>
          <cell r="D1700">
            <v>0</v>
          </cell>
          <cell r="E1700">
            <v>0</v>
          </cell>
          <cell r="F1700">
            <v>0</v>
          </cell>
        </row>
        <row r="1701">
          <cell r="B1701">
            <v>40063455</v>
          </cell>
          <cell r="C1701" t="str">
            <v>CIN LIME 100GB4G1 M175 P36 GT(ROI) 76TFM</v>
          </cell>
          <cell r="D1701">
            <v>0</v>
          </cell>
          <cell r="E1701">
            <v>0</v>
          </cell>
          <cell r="F1701">
            <v>0</v>
          </cell>
        </row>
        <row r="1702">
          <cell r="B1702">
            <v>40065476</v>
          </cell>
          <cell r="C1702" t="str">
            <v>CIN LIME100GPO5M180P36BANDED RSTRD NEWAW</v>
          </cell>
          <cell r="D1702">
            <v>0</v>
          </cell>
          <cell r="E1702">
            <v>0</v>
          </cell>
          <cell r="F1702">
            <v>0</v>
          </cell>
        </row>
        <row r="1703">
          <cell r="B1703">
            <v>40034189</v>
          </cell>
          <cell r="C1703" t="str">
            <v>*Cin Lime 150g Sing M47 P96 New</v>
          </cell>
          <cell r="D1703">
            <v>0</v>
          </cell>
          <cell r="E1703">
            <v>0</v>
          </cell>
          <cell r="F1703">
            <v>0</v>
          </cell>
        </row>
        <row r="1704">
          <cell r="B1704">
            <v>40036223</v>
          </cell>
          <cell r="C1704" t="str">
            <v>*Cin Lime 150g Sing M56 P96 New</v>
          </cell>
          <cell r="D1704">
            <v>0</v>
          </cell>
          <cell r="E1704">
            <v>0</v>
          </cell>
          <cell r="F1704">
            <v>0</v>
          </cell>
        </row>
        <row r="1705">
          <cell r="B1705">
            <v>40036785</v>
          </cell>
          <cell r="C1705" t="str">
            <v>*Cin Lime 150g Sing M60 P96 New</v>
          </cell>
          <cell r="D1705">
            <v>0</v>
          </cell>
          <cell r="E1705">
            <v>0</v>
          </cell>
          <cell r="F1705">
            <v>0</v>
          </cell>
        </row>
        <row r="1706">
          <cell r="B1706">
            <v>40037092</v>
          </cell>
          <cell r="C1706" t="str">
            <v>*Cin Lime 150g Sing M61 P96 New</v>
          </cell>
          <cell r="D1706">
            <v>0</v>
          </cell>
          <cell r="E1706">
            <v>0</v>
          </cell>
          <cell r="F1706">
            <v>0</v>
          </cell>
        </row>
        <row r="1707">
          <cell r="B1707">
            <v>40041239</v>
          </cell>
          <cell r="C1707" t="str">
            <v>*Cin Lime 150g Sing M57 P96 N</v>
          </cell>
          <cell r="D1707">
            <v>0</v>
          </cell>
          <cell r="E1707">
            <v>0</v>
          </cell>
          <cell r="F1707">
            <v>0</v>
          </cell>
        </row>
        <row r="1708">
          <cell r="B1708">
            <v>40043990</v>
          </cell>
          <cell r="C1708" t="str">
            <v>*Cin Lime 150g Sing M59 P96 N</v>
          </cell>
          <cell r="D1708">
            <v>0</v>
          </cell>
          <cell r="E1708">
            <v>0</v>
          </cell>
          <cell r="F1708">
            <v>0</v>
          </cell>
        </row>
        <row r="1709">
          <cell r="B1709">
            <v>40060232</v>
          </cell>
          <cell r="C1709" t="str">
            <v>CIN LIME 150G SING M52 P96 N</v>
          </cell>
          <cell r="D1709">
            <v>0</v>
          </cell>
          <cell r="E1709">
            <v>0</v>
          </cell>
          <cell r="F1709">
            <v>0</v>
          </cell>
        </row>
        <row r="1710">
          <cell r="B1710">
            <v>40029949</v>
          </cell>
          <cell r="C1710" t="str">
            <v>*CintholLime150gPO4MTM140P12Banded</v>
          </cell>
          <cell r="D1710">
            <v>0</v>
          </cell>
          <cell r="E1710">
            <v>0</v>
          </cell>
          <cell r="F1710">
            <v>0</v>
          </cell>
        </row>
        <row r="1711">
          <cell r="B1711">
            <v>40037093</v>
          </cell>
          <cell r="C1711" t="str">
            <v>*CinLime150gPO4M247P12CartonMTNew</v>
          </cell>
          <cell r="D1711">
            <v>0</v>
          </cell>
          <cell r="E1711">
            <v>0</v>
          </cell>
          <cell r="F1711">
            <v>0</v>
          </cell>
        </row>
        <row r="1712">
          <cell r="B1712">
            <v>40039576</v>
          </cell>
          <cell r="C1712" t="str">
            <v>*CinLime150gPO4M235P12CartonMTNew</v>
          </cell>
          <cell r="D1712">
            <v>0</v>
          </cell>
          <cell r="E1712">
            <v>0</v>
          </cell>
          <cell r="F1712">
            <v>0</v>
          </cell>
        </row>
        <row r="1713">
          <cell r="B1713">
            <v>40050061</v>
          </cell>
          <cell r="C1713" t="str">
            <v>*CinLime150gPO4M220P12CartonMTNew</v>
          </cell>
          <cell r="D1713">
            <v>0</v>
          </cell>
          <cell r="E1713">
            <v>0</v>
          </cell>
          <cell r="F1713">
            <v>0</v>
          </cell>
        </row>
        <row r="1714">
          <cell r="B1714">
            <v>40056135</v>
          </cell>
          <cell r="C1714" t="str">
            <v>*CINLIME150GPO4M220P24CARTONMTNEW</v>
          </cell>
          <cell r="D1714">
            <v>0</v>
          </cell>
          <cell r="E1714">
            <v>0</v>
          </cell>
          <cell r="F1714">
            <v>0</v>
          </cell>
        </row>
        <row r="1715">
          <cell r="B1715">
            <v>40057267</v>
          </cell>
          <cell r="C1715" t="str">
            <v>*CIN LIME 150G PO4 M230 P24 CARTN MT NEW</v>
          </cell>
          <cell r="D1715">
            <v>0</v>
          </cell>
          <cell r="E1715">
            <v>0</v>
          </cell>
          <cell r="F1715">
            <v>0</v>
          </cell>
        </row>
        <row r="1716">
          <cell r="B1716">
            <v>40060260</v>
          </cell>
          <cell r="C1716" t="str">
            <v>CIN LIME 150G PO4 M210 P24 CARTN MT NEW</v>
          </cell>
          <cell r="D1716">
            <v>0</v>
          </cell>
          <cell r="E1716">
            <v>0</v>
          </cell>
          <cell r="F1716">
            <v>0</v>
          </cell>
        </row>
        <row r="1717">
          <cell r="B1717">
            <v>40063593</v>
          </cell>
          <cell r="C1717" t="str">
            <v>CINLIME 150GPO4 M220P24 CRTN MT NEWRSTRD</v>
          </cell>
          <cell r="D1717">
            <v>0</v>
          </cell>
          <cell r="E1717">
            <v>0</v>
          </cell>
          <cell r="F1717">
            <v>0</v>
          </cell>
        </row>
        <row r="1718">
          <cell r="B1718">
            <v>40064467</v>
          </cell>
          <cell r="C1718" t="str">
            <v>CIN LIME 150GPO4 M205P24 BANDED MT RSTRD</v>
          </cell>
          <cell r="D1718">
            <v>0</v>
          </cell>
          <cell r="E1718">
            <v>0</v>
          </cell>
          <cell r="F1718">
            <v>0</v>
          </cell>
        </row>
        <row r="1719">
          <cell r="B1719">
            <v>40035145</v>
          </cell>
          <cell r="C1719" t="str">
            <v>*Cinthol Lime 150g PO5 MT M259 P12 New</v>
          </cell>
          <cell r="D1719">
            <v>0</v>
          </cell>
          <cell r="E1719">
            <v>0</v>
          </cell>
          <cell r="F1719">
            <v>0</v>
          </cell>
        </row>
        <row r="1720">
          <cell r="B1720">
            <v>40038914</v>
          </cell>
          <cell r="C1720" t="str">
            <v>*Cinthol Lime 150g PO5 MT M290 P12 New</v>
          </cell>
          <cell r="D1720">
            <v>0</v>
          </cell>
          <cell r="E1720">
            <v>0</v>
          </cell>
          <cell r="F1720">
            <v>0</v>
          </cell>
        </row>
        <row r="1721">
          <cell r="B1721">
            <v>40041714</v>
          </cell>
          <cell r="C1721" t="str">
            <v>*Cinthol Lime 150g PO5 MT M295 P123+1</v>
          </cell>
          <cell r="D1721">
            <v>0</v>
          </cell>
          <cell r="E1721">
            <v>0</v>
          </cell>
          <cell r="F1721">
            <v>0</v>
          </cell>
        </row>
        <row r="1722">
          <cell r="B1722">
            <v>40050065</v>
          </cell>
          <cell r="C1722" t="str">
            <v>*Cin Lime 150g PO5 MT M310 P12 New</v>
          </cell>
          <cell r="D1722">
            <v>0</v>
          </cell>
          <cell r="E1722">
            <v>0</v>
          </cell>
          <cell r="F1722">
            <v>0</v>
          </cell>
        </row>
        <row r="1723">
          <cell r="B1723">
            <v>40057244</v>
          </cell>
          <cell r="C1723" t="str">
            <v>*CIN LIME 150G PO5 MT M325 P12 NEW</v>
          </cell>
          <cell r="D1723">
            <v>0</v>
          </cell>
          <cell r="E1723">
            <v>0</v>
          </cell>
          <cell r="F1723">
            <v>0</v>
          </cell>
        </row>
        <row r="1724">
          <cell r="B1724">
            <v>40057494</v>
          </cell>
          <cell r="C1724" t="str">
            <v>*CIN LIME 150G PO5 M325 P12 NEW MT</v>
          </cell>
          <cell r="D1724">
            <v>0</v>
          </cell>
          <cell r="E1724">
            <v>0</v>
          </cell>
          <cell r="F1724">
            <v>0</v>
          </cell>
        </row>
        <row r="1725">
          <cell r="B1725">
            <v>40058131</v>
          </cell>
          <cell r="C1725" t="str">
            <v>*CIN LIME 150G PO5 M315 P12 NEW MT</v>
          </cell>
          <cell r="D1725">
            <v>0</v>
          </cell>
          <cell r="E1725">
            <v>0</v>
          </cell>
          <cell r="F1725">
            <v>0</v>
          </cell>
        </row>
        <row r="1726">
          <cell r="B1726">
            <v>40058756</v>
          </cell>
          <cell r="C1726" t="str">
            <v>*CIN LIME 150G PO5 M315 P12 (3+1) MT</v>
          </cell>
          <cell r="D1726">
            <v>0</v>
          </cell>
          <cell r="E1726">
            <v>0</v>
          </cell>
          <cell r="F1726">
            <v>0</v>
          </cell>
        </row>
        <row r="1727">
          <cell r="B1727">
            <v>40058810</v>
          </cell>
          <cell r="C1727" t="str">
            <v>*CIN LIME 150G PO5 M315 P12 NEW ECOM</v>
          </cell>
          <cell r="D1727">
            <v>0</v>
          </cell>
          <cell r="E1727">
            <v>0</v>
          </cell>
          <cell r="F1727">
            <v>0</v>
          </cell>
        </row>
        <row r="1728">
          <cell r="B1728">
            <v>40060259</v>
          </cell>
          <cell r="C1728" t="str">
            <v>CIN LIME 150G PO5 M285 P12 NEW MT</v>
          </cell>
          <cell r="D1728">
            <v>0</v>
          </cell>
          <cell r="E1728">
            <v>0</v>
          </cell>
          <cell r="F1728">
            <v>0</v>
          </cell>
        </row>
        <row r="1729">
          <cell r="B1729">
            <v>40061213</v>
          </cell>
          <cell r="C1729" t="str">
            <v>CIN LIME 150G PO5 M285 P12 NEW MT</v>
          </cell>
          <cell r="D1729">
            <v>0</v>
          </cell>
          <cell r="E1729">
            <v>0</v>
          </cell>
          <cell r="F1729">
            <v>0</v>
          </cell>
        </row>
        <row r="1730">
          <cell r="B1730">
            <v>40061669</v>
          </cell>
          <cell r="C1730" t="str">
            <v>CINTHOLLIME 150GPO5 M285 P12(3+1) MTFREE</v>
          </cell>
          <cell r="D1730">
            <v>0</v>
          </cell>
          <cell r="E1730">
            <v>0</v>
          </cell>
          <cell r="F1730">
            <v>0</v>
          </cell>
        </row>
        <row r="1731">
          <cell r="B1731">
            <v>40062939</v>
          </cell>
          <cell r="C1731" t="str">
            <v>CIN LIME 150G PO5 M300 P12 NEW MT</v>
          </cell>
          <cell r="D1731">
            <v>0</v>
          </cell>
          <cell r="E1731">
            <v>0</v>
          </cell>
          <cell r="F1731">
            <v>0</v>
          </cell>
        </row>
        <row r="1732">
          <cell r="B1732">
            <v>40063002</v>
          </cell>
          <cell r="C1732" t="str">
            <v>CIN LIME 150G PO5 M300 P12 NEW MT RSTRD</v>
          </cell>
          <cell r="D1732">
            <v>0</v>
          </cell>
          <cell r="E1732">
            <v>0</v>
          </cell>
          <cell r="F1732">
            <v>0</v>
          </cell>
        </row>
        <row r="1733">
          <cell r="B1733">
            <v>40063411</v>
          </cell>
          <cell r="C1733" t="str">
            <v>CINTHOLLIME 150GPO5 M300 P12 MTFREE</v>
          </cell>
          <cell r="D1733">
            <v>0</v>
          </cell>
          <cell r="E1733">
            <v>0</v>
          </cell>
          <cell r="F1733">
            <v>0</v>
          </cell>
        </row>
        <row r="1734">
          <cell r="B1734">
            <v>40063589</v>
          </cell>
          <cell r="C1734" t="str">
            <v>CIN LIME 150G PO5 M300 P12 NEW MT</v>
          </cell>
          <cell r="D1734">
            <v>0</v>
          </cell>
          <cell r="E1734">
            <v>0</v>
          </cell>
          <cell r="F1734">
            <v>0</v>
          </cell>
        </row>
        <row r="1735">
          <cell r="B1735">
            <v>40064279</v>
          </cell>
          <cell r="C1735" t="str">
            <v>CINT LIME 150G PO5 M300 P12 NEW MT (5+1)</v>
          </cell>
          <cell r="D1735">
            <v>0</v>
          </cell>
          <cell r="E1735">
            <v>0</v>
          </cell>
          <cell r="F1735">
            <v>0</v>
          </cell>
        </row>
        <row r="1736">
          <cell r="B1736">
            <v>40065146</v>
          </cell>
          <cell r="C1736" t="str">
            <v>CIN LIME 150GM PO5 M330 P12 NEW MT NLC</v>
          </cell>
          <cell r="D1736">
            <v>0</v>
          </cell>
          <cell r="E1736">
            <v>0</v>
          </cell>
          <cell r="F1736">
            <v>0</v>
          </cell>
        </row>
        <row r="1737">
          <cell r="B1737">
            <v>40065154</v>
          </cell>
          <cell r="C1737" t="str">
            <v>CINLIME 150GM PO5 M330 P12 NW MT NLC FRW</v>
          </cell>
          <cell r="D1737">
            <v>0</v>
          </cell>
          <cell r="E1737">
            <v>0</v>
          </cell>
          <cell r="F1737">
            <v>0</v>
          </cell>
        </row>
        <row r="1738">
          <cell r="B1738">
            <v>40013720</v>
          </cell>
          <cell r="C1738" t="str">
            <v>*Cinthol55glimesinglesMRP10P216(poly)</v>
          </cell>
          <cell r="D1738">
            <v>0</v>
          </cell>
          <cell r="E1738">
            <v>0</v>
          </cell>
          <cell r="F1738">
            <v>0</v>
          </cell>
        </row>
        <row r="1739">
          <cell r="B1739">
            <v>40014327</v>
          </cell>
          <cell r="C1739" t="str">
            <v>*Cinthol Lime 60g hang pck of 12 P216M10</v>
          </cell>
          <cell r="D1739">
            <v>0</v>
          </cell>
          <cell r="E1739">
            <v>0</v>
          </cell>
          <cell r="F1739">
            <v>0</v>
          </cell>
        </row>
        <row r="1740">
          <cell r="B1740">
            <v>40014440</v>
          </cell>
          <cell r="C1740" t="str">
            <v>*Cin lime 60gsingles (poly)MRP10 P216</v>
          </cell>
          <cell r="D1740">
            <v>0</v>
          </cell>
          <cell r="E1740">
            <v>0</v>
          </cell>
          <cell r="F1740">
            <v>0</v>
          </cell>
        </row>
        <row r="1741">
          <cell r="B1741">
            <v>40019506</v>
          </cell>
          <cell r="C1741" t="str">
            <v>*Cin 50g Lime singlesM10P216(polybag)</v>
          </cell>
          <cell r="D1741">
            <v>0</v>
          </cell>
          <cell r="E1741">
            <v>0</v>
          </cell>
          <cell r="F1741">
            <v>0</v>
          </cell>
        </row>
        <row r="1742">
          <cell r="B1742">
            <v>40025905</v>
          </cell>
          <cell r="C1742" t="str">
            <v>*Cin50gLimesinglesM10P216(Sleevewrap))</v>
          </cell>
          <cell r="D1742">
            <v>0</v>
          </cell>
          <cell r="E1742">
            <v>0</v>
          </cell>
          <cell r="F1742">
            <v>0</v>
          </cell>
        </row>
        <row r="1743">
          <cell r="B1743">
            <v>40030435</v>
          </cell>
          <cell r="C1743" t="str">
            <v>*Cin Lime 48g sing M10 P216 (Sleevewrap)</v>
          </cell>
          <cell r="D1743">
            <v>0</v>
          </cell>
          <cell r="E1743">
            <v>0</v>
          </cell>
          <cell r="F1743">
            <v>0</v>
          </cell>
        </row>
        <row r="1744">
          <cell r="B1744">
            <v>40030443</v>
          </cell>
          <cell r="C1744" t="str">
            <v>*Cin Lime 48g singles M10 P216 (polybag)</v>
          </cell>
          <cell r="D1744">
            <v>0</v>
          </cell>
          <cell r="E1744">
            <v>0</v>
          </cell>
          <cell r="F1744">
            <v>0</v>
          </cell>
        </row>
        <row r="1745">
          <cell r="B1745">
            <v>40034286</v>
          </cell>
          <cell r="C1745" t="str">
            <v>*Cin Lime 45g sing M10 P216 (Sleevewrap)</v>
          </cell>
          <cell r="D1745">
            <v>0</v>
          </cell>
          <cell r="E1745">
            <v>0</v>
          </cell>
          <cell r="F1745">
            <v>0</v>
          </cell>
        </row>
        <row r="1746">
          <cell r="B1746">
            <v>40035817</v>
          </cell>
          <cell r="C1746" t="str">
            <v>*Cin Lime 42g sing M10 P216 (Sleevewrap)</v>
          </cell>
          <cell r="D1746">
            <v>0</v>
          </cell>
          <cell r="E1746">
            <v>0</v>
          </cell>
          <cell r="F1746">
            <v>0</v>
          </cell>
        </row>
        <row r="1747">
          <cell r="B1747">
            <v>40035828</v>
          </cell>
          <cell r="C1747" t="str">
            <v>*Cin Lime 42g sing M10 P216 (polybag)</v>
          </cell>
          <cell r="D1747">
            <v>0</v>
          </cell>
          <cell r="E1747">
            <v>0</v>
          </cell>
          <cell r="F1747">
            <v>0</v>
          </cell>
        </row>
        <row r="1748">
          <cell r="B1748">
            <v>40036621</v>
          </cell>
          <cell r="C1748" t="str">
            <v>*Cin Lime 40g sing M10 P216 (Sleevewrap)</v>
          </cell>
          <cell r="D1748">
            <v>0</v>
          </cell>
          <cell r="E1748">
            <v>0</v>
          </cell>
          <cell r="F1748">
            <v>0</v>
          </cell>
        </row>
        <row r="1749">
          <cell r="B1749">
            <v>40036698</v>
          </cell>
          <cell r="C1749" t="str">
            <v>*CIN LIME 40G SING M10 P216</v>
          </cell>
          <cell r="D1749">
            <v>0</v>
          </cell>
          <cell r="E1749">
            <v>0</v>
          </cell>
          <cell r="F1749">
            <v>0</v>
          </cell>
        </row>
        <row r="1750">
          <cell r="B1750">
            <v>40043001</v>
          </cell>
          <cell r="C1750" t="str">
            <v>*Cin Lime 45g sing M10 P216(Slvewrap)N</v>
          </cell>
          <cell r="D1750">
            <v>0</v>
          </cell>
          <cell r="E1750">
            <v>0</v>
          </cell>
          <cell r="F1750">
            <v>0</v>
          </cell>
        </row>
        <row r="1751">
          <cell r="B1751">
            <v>40049909</v>
          </cell>
          <cell r="C1751" t="str">
            <v>*Cin Lime 42g sing M10 P216(Slvewrap)N</v>
          </cell>
          <cell r="D1751">
            <v>0</v>
          </cell>
          <cell r="E1751">
            <v>0</v>
          </cell>
          <cell r="F1751">
            <v>0</v>
          </cell>
        </row>
        <row r="1752">
          <cell r="B1752">
            <v>40049932</v>
          </cell>
          <cell r="C1752" t="str">
            <v>*Cin Lime 42g sing M10 P216 (polybag) N</v>
          </cell>
          <cell r="D1752">
            <v>0</v>
          </cell>
          <cell r="E1752">
            <v>0</v>
          </cell>
          <cell r="F1752">
            <v>0</v>
          </cell>
        </row>
        <row r="1753">
          <cell r="B1753">
            <v>40050722</v>
          </cell>
          <cell r="C1753" t="str">
            <v>*CIN LIME 40G SING M10 P216 (POLY) TEMP</v>
          </cell>
          <cell r="D1753">
            <v>0</v>
          </cell>
          <cell r="E1753">
            <v>0</v>
          </cell>
          <cell r="F1753">
            <v>0</v>
          </cell>
        </row>
        <row r="1754">
          <cell r="B1754">
            <v>40056962</v>
          </cell>
          <cell r="C1754" t="str">
            <v>*CIN LIME 40G SING M10 P216 (OVERWRAP)</v>
          </cell>
          <cell r="D1754">
            <v>0</v>
          </cell>
          <cell r="E1754">
            <v>0</v>
          </cell>
          <cell r="F1754">
            <v>0</v>
          </cell>
        </row>
        <row r="1755">
          <cell r="B1755">
            <v>40060679</v>
          </cell>
          <cell r="C1755" t="str">
            <v>CIN LIME 42G SING M10 P216</v>
          </cell>
          <cell r="D1755">
            <v>0</v>
          </cell>
          <cell r="E1755">
            <v>0</v>
          </cell>
          <cell r="F1755">
            <v>0</v>
          </cell>
        </row>
        <row r="1756">
          <cell r="B1756">
            <v>40062512</v>
          </cell>
          <cell r="C1756" t="str">
            <v>CIN LIME 40G SING M10 P216 RSTRD</v>
          </cell>
          <cell r="D1756">
            <v>0</v>
          </cell>
          <cell r="E1756">
            <v>0</v>
          </cell>
          <cell r="F1756">
            <v>0</v>
          </cell>
        </row>
        <row r="1757">
          <cell r="B1757">
            <v>40065386</v>
          </cell>
          <cell r="C1757" t="str">
            <v>CIN LIME 38G SING M10 P216 RSTRDNF2</v>
          </cell>
          <cell r="D1757">
            <v>0</v>
          </cell>
          <cell r="E1757">
            <v>0</v>
          </cell>
          <cell r="F1757">
            <v>0</v>
          </cell>
        </row>
        <row r="1758">
          <cell r="B1758">
            <v>40039264</v>
          </cell>
          <cell r="C1758" t="str">
            <v>*CIN LIME 40G M10.00 P216 (POLY) INST</v>
          </cell>
          <cell r="D1758">
            <v>0</v>
          </cell>
          <cell r="E1758">
            <v>0</v>
          </cell>
          <cell r="F1758">
            <v>0</v>
          </cell>
        </row>
        <row r="1759">
          <cell r="B1759">
            <v>40050527</v>
          </cell>
          <cell r="C1759" t="str">
            <v>*CIN LIME 40GSINGM10.00P216(SLEEVE)INST</v>
          </cell>
          <cell r="D1759">
            <v>0</v>
          </cell>
          <cell r="E1759">
            <v>0</v>
          </cell>
          <cell r="F1759">
            <v>0</v>
          </cell>
        </row>
        <row r="1760">
          <cell r="B1760">
            <v>40058879</v>
          </cell>
          <cell r="C1760" t="str">
            <v>*CIN LIME 35G M10  P216  INST</v>
          </cell>
          <cell r="D1760">
            <v>0</v>
          </cell>
          <cell r="E1760">
            <v>0</v>
          </cell>
          <cell r="F1760">
            <v>0</v>
          </cell>
        </row>
        <row r="1761">
          <cell r="B1761">
            <v>40028660</v>
          </cell>
          <cell r="C1761" t="str">
            <v>*Cin 100g Lime SinglesM31P150</v>
          </cell>
          <cell r="D1761">
            <v>0</v>
          </cell>
          <cell r="E1761">
            <v>0</v>
          </cell>
          <cell r="F1761">
            <v>0</v>
          </cell>
        </row>
        <row r="1762">
          <cell r="B1762">
            <v>40033369</v>
          </cell>
          <cell r="C1762" t="str">
            <v>*Cin 100g Lime M34 P150 Singles New</v>
          </cell>
          <cell r="D1762">
            <v>0</v>
          </cell>
          <cell r="E1762">
            <v>0</v>
          </cell>
          <cell r="F1762">
            <v>0</v>
          </cell>
        </row>
        <row r="1763">
          <cell r="B1763">
            <v>40035210</v>
          </cell>
          <cell r="C1763" t="str">
            <v>*Cinthol 100g Lime Singles M35 P150 New</v>
          </cell>
          <cell r="D1763">
            <v>0</v>
          </cell>
          <cell r="E1763">
            <v>0</v>
          </cell>
          <cell r="F1763">
            <v>0</v>
          </cell>
        </row>
        <row r="1764">
          <cell r="B1764">
            <v>40036716</v>
          </cell>
          <cell r="C1764" t="str">
            <v>*Cin Lime 100g Singles M40 P150</v>
          </cell>
          <cell r="D1764">
            <v>0</v>
          </cell>
          <cell r="E1764">
            <v>0</v>
          </cell>
          <cell r="F1764">
            <v>0</v>
          </cell>
        </row>
        <row r="1765">
          <cell r="B1765">
            <v>40037100</v>
          </cell>
          <cell r="C1765" t="str">
            <v>*Cin Lime 100g Singles M41 P150</v>
          </cell>
          <cell r="D1765">
            <v>0</v>
          </cell>
          <cell r="E1765">
            <v>0</v>
          </cell>
          <cell r="F1765">
            <v>0</v>
          </cell>
        </row>
        <row r="1766">
          <cell r="B1766">
            <v>40038681</v>
          </cell>
          <cell r="C1766" t="str">
            <v>*Cin Lime 100g Singles M38 P150 N</v>
          </cell>
          <cell r="D1766">
            <v>0</v>
          </cell>
          <cell r="E1766">
            <v>0</v>
          </cell>
          <cell r="F1766">
            <v>0</v>
          </cell>
        </row>
        <row r="1767">
          <cell r="B1767">
            <v>40038968</v>
          </cell>
          <cell r="C1767" t="str">
            <v>*Cin Lime 100g Singles M35 P150 N</v>
          </cell>
          <cell r="D1767">
            <v>0</v>
          </cell>
          <cell r="E1767">
            <v>0</v>
          </cell>
          <cell r="F1767">
            <v>0</v>
          </cell>
        </row>
        <row r="1768">
          <cell r="B1768">
            <v>40039560</v>
          </cell>
          <cell r="C1768" t="str">
            <v>*Cin Lime 100g Singles M40 P150 N</v>
          </cell>
          <cell r="D1768">
            <v>0</v>
          </cell>
          <cell r="E1768">
            <v>0</v>
          </cell>
          <cell r="F1768">
            <v>0</v>
          </cell>
        </row>
        <row r="1769">
          <cell r="B1769">
            <v>40043996</v>
          </cell>
          <cell r="C1769" t="str">
            <v>*Cin Lime 100g Singles M42 P150 N</v>
          </cell>
          <cell r="D1769">
            <v>0</v>
          </cell>
          <cell r="E1769">
            <v>0</v>
          </cell>
          <cell r="F1769">
            <v>0</v>
          </cell>
        </row>
        <row r="1770">
          <cell r="B1770">
            <v>40056214</v>
          </cell>
          <cell r="C1770" t="str">
            <v>*CIN LIME 100G SINGLES M44 P150 NEW</v>
          </cell>
          <cell r="D1770">
            <v>0</v>
          </cell>
          <cell r="E1770">
            <v>0</v>
          </cell>
          <cell r="F1770">
            <v>0</v>
          </cell>
        </row>
        <row r="1771">
          <cell r="B1771">
            <v>40059018</v>
          </cell>
          <cell r="C1771" t="str">
            <v>*CIN LIME 100G SINGLES M45 P150 NEW</v>
          </cell>
          <cell r="D1771">
            <v>0</v>
          </cell>
          <cell r="E1771">
            <v>0</v>
          </cell>
          <cell r="F1771">
            <v>0</v>
          </cell>
        </row>
        <row r="1772">
          <cell r="B1772">
            <v>40063584</v>
          </cell>
          <cell r="C1772" t="str">
            <v>CIN LIME 100G SINGLES M42P150 NEW RSTRD</v>
          </cell>
          <cell r="D1772">
            <v>0</v>
          </cell>
          <cell r="E1772">
            <v>0</v>
          </cell>
          <cell r="F1772">
            <v>0</v>
          </cell>
        </row>
        <row r="1773">
          <cell r="B1773">
            <v>40037654</v>
          </cell>
          <cell r="C1773" t="str">
            <v>*Cin Lime 100g PO6  M283P24 Ecom</v>
          </cell>
          <cell r="D1773">
            <v>0</v>
          </cell>
          <cell r="E1773">
            <v>0</v>
          </cell>
          <cell r="F1773">
            <v>0</v>
          </cell>
        </row>
        <row r="1774">
          <cell r="B1774">
            <v>40037028</v>
          </cell>
          <cell r="C1774" t="str">
            <v>*Cin Lime 100g PO9 M369P16 Ecom</v>
          </cell>
          <cell r="D1774">
            <v>0</v>
          </cell>
          <cell r="E1774">
            <v>0</v>
          </cell>
          <cell r="F1774">
            <v>0</v>
          </cell>
        </row>
        <row r="1775">
          <cell r="B1775">
            <v>40037656</v>
          </cell>
          <cell r="C1775" t="str">
            <v>*Cin Lime 100g PO9 M424P16 Ecom</v>
          </cell>
          <cell r="D1775">
            <v>0</v>
          </cell>
          <cell r="E1775">
            <v>0</v>
          </cell>
          <cell r="F1775">
            <v>0</v>
          </cell>
        </row>
        <row r="1776">
          <cell r="B1776">
            <v>40014191</v>
          </cell>
          <cell r="C1776" t="str">
            <v>*CinOriginal 150g PK96 MRP45-MT</v>
          </cell>
          <cell r="D1776">
            <v>0</v>
          </cell>
          <cell r="E1776">
            <v>0</v>
          </cell>
          <cell r="F1776">
            <v>0</v>
          </cell>
        </row>
        <row r="1777">
          <cell r="B1777">
            <v>40030757</v>
          </cell>
          <cell r="C1777" t="str">
            <v>*CinOrig150gPO4M198P12-MT-Carton</v>
          </cell>
          <cell r="D1777">
            <v>0</v>
          </cell>
          <cell r="E1777">
            <v>0</v>
          </cell>
          <cell r="F1777">
            <v>0</v>
          </cell>
        </row>
        <row r="1778">
          <cell r="B1778">
            <v>40036229</v>
          </cell>
          <cell r="C1778" t="str">
            <v>*CinOrig150gPO4M250P12-MT-Carton</v>
          </cell>
          <cell r="D1778">
            <v>0</v>
          </cell>
          <cell r="E1778">
            <v>0</v>
          </cell>
          <cell r="F1778">
            <v>0</v>
          </cell>
        </row>
        <row r="1779">
          <cell r="B1779">
            <v>40038680</v>
          </cell>
          <cell r="C1779" t="str">
            <v>*CinOrig150gPO4M258P12-MT-Carton</v>
          </cell>
          <cell r="D1779">
            <v>0</v>
          </cell>
          <cell r="E1779">
            <v>0</v>
          </cell>
          <cell r="F1779">
            <v>0</v>
          </cell>
        </row>
        <row r="1780">
          <cell r="B1780">
            <v>40039296</v>
          </cell>
          <cell r="C1780" t="str">
            <v>*Cin Orig 150g PO4 M258 P12  - Carton</v>
          </cell>
          <cell r="D1780">
            <v>0</v>
          </cell>
          <cell r="E1780">
            <v>0</v>
          </cell>
          <cell r="F1780">
            <v>0</v>
          </cell>
        </row>
        <row r="1781">
          <cell r="B1781">
            <v>40039563</v>
          </cell>
          <cell r="C1781" t="str">
            <v>*Cin Orig 150g PO4 M270 P12  - Carton</v>
          </cell>
          <cell r="D1781">
            <v>0</v>
          </cell>
          <cell r="E1781">
            <v>0</v>
          </cell>
          <cell r="F1781">
            <v>0</v>
          </cell>
        </row>
        <row r="1782">
          <cell r="B1782">
            <v>40009592</v>
          </cell>
          <cell r="C1782" t="str">
            <v>*CinOriginal100gNPSnglsP160M32NewShape</v>
          </cell>
          <cell r="D1782">
            <v>0</v>
          </cell>
          <cell r="E1782">
            <v>0</v>
          </cell>
          <cell r="F1782">
            <v>0</v>
          </cell>
        </row>
        <row r="1783">
          <cell r="B1783">
            <v>40018799</v>
          </cell>
          <cell r="C1783" t="str">
            <v>*CinOriginal100gNPSinglesM34P160</v>
          </cell>
          <cell r="D1783">
            <v>0</v>
          </cell>
          <cell r="E1783">
            <v>0</v>
          </cell>
          <cell r="F1783">
            <v>0</v>
          </cell>
        </row>
        <row r="1784">
          <cell r="B1784">
            <v>40019503</v>
          </cell>
          <cell r="C1784" t="str">
            <v>*CinOrig100g2Singles+PenFreeM35P160</v>
          </cell>
          <cell r="D1784">
            <v>0</v>
          </cell>
          <cell r="E1784">
            <v>0</v>
          </cell>
          <cell r="F1784">
            <v>0</v>
          </cell>
        </row>
        <row r="1785">
          <cell r="B1785">
            <v>40019675</v>
          </cell>
          <cell r="C1785" t="str">
            <v>*CinOriginal100gNPSinglesM35P160-CSD</v>
          </cell>
          <cell r="D1785">
            <v>0</v>
          </cell>
          <cell r="E1785">
            <v>0</v>
          </cell>
          <cell r="F1785">
            <v>0</v>
          </cell>
        </row>
        <row r="1786">
          <cell r="B1786">
            <v>40030528</v>
          </cell>
          <cell r="C1786" t="str">
            <v>*Cin Original 100g NP Sing M36 P160</v>
          </cell>
          <cell r="D1786">
            <v>0</v>
          </cell>
          <cell r="E1786">
            <v>0</v>
          </cell>
          <cell r="F1786">
            <v>0</v>
          </cell>
        </row>
        <row r="1787">
          <cell r="B1787">
            <v>40030815</v>
          </cell>
          <cell r="C1787" t="str">
            <v>*CinOriginal100gNPSinglesM36P160-CSD</v>
          </cell>
          <cell r="D1787">
            <v>0</v>
          </cell>
          <cell r="E1787">
            <v>0</v>
          </cell>
          <cell r="F1787">
            <v>0</v>
          </cell>
        </row>
        <row r="1788">
          <cell r="B1788">
            <v>40032470</v>
          </cell>
          <cell r="C1788" t="str">
            <v>*Cin Original 100g NP Sing M39 P160</v>
          </cell>
          <cell r="D1788">
            <v>0</v>
          </cell>
          <cell r="E1788">
            <v>0</v>
          </cell>
          <cell r="F1788">
            <v>0</v>
          </cell>
        </row>
        <row r="1789">
          <cell r="B1789">
            <v>40036154</v>
          </cell>
          <cell r="C1789" t="str">
            <v>*Cin Original 100g NP Single M42 P160</v>
          </cell>
          <cell r="D1789">
            <v>0</v>
          </cell>
          <cell r="E1789">
            <v>0</v>
          </cell>
          <cell r="F1789">
            <v>0</v>
          </cell>
        </row>
        <row r="1790">
          <cell r="B1790">
            <v>40037089</v>
          </cell>
          <cell r="C1790" t="str">
            <v>*Cin Original 100g NP Single M44 P160</v>
          </cell>
          <cell r="D1790">
            <v>0</v>
          </cell>
          <cell r="E1790">
            <v>0</v>
          </cell>
          <cell r="F1790">
            <v>0</v>
          </cell>
        </row>
        <row r="1791">
          <cell r="B1791">
            <v>40037305</v>
          </cell>
          <cell r="C1791" t="str">
            <v>*CinOriginal100gNPSinglesM44 P160-CSD</v>
          </cell>
          <cell r="D1791">
            <v>0</v>
          </cell>
          <cell r="E1791">
            <v>0</v>
          </cell>
          <cell r="F1791">
            <v>0</v>
          </cell>
        </row>
        <row r="1792">
          <cell r="B1792">
            <v>40038364</v>
          </cell>
          <cell r="C1792" t="str">
            <v>*Cin Original 100g NP Single M46 P160</v>
          </cell>
          <cell r="D1792">
            <v>0</v>
          </cell>
          <cell r="E1792">
            <v>0</v>
          </cell>
          <cell r="F1792">
            <v>0</v>
          </cell>
        </row>
        <row r="1793">
          <cell r="B1793">
            <v>40041253</v>
          </cell>
          <cell r="C1793" t="str">
            <v>*Cin Original 100g NP Single M48 P160</v>
          </cell>
          <cell r="D1793">
            <v>0</v>
          </cell>
          <cell r="E1793">
            <v>0</v>
          </cell>
          <cell r="F1793">
            <v>0</v>
          </cell>
        </row>
        <row r="1794">
          <cell r="B1794">
            <v>40042328</v>
          </cell>
          <cell r="C1794" t="str">
            <v>*Cin Original 100g NP Single M50 P160</v>
          </cell>
          <cell r="D1794">
            <v>0</v>
          </cell>
          <cell r="E1794">
            <v>0</v>
          </cell>
          <cell r="F1794">
            <v>0</v>
          </cell>
        </row>
        <row r="1795">
          <cell r="B1795">
            <v>40044143</v>
          </cell>
          <cell r="C1795" t="str">
            <v>*Cin Original 100g NP Single M52 P160</v>
          </cell>
          <cell r="D1795">
            <v>0</v>
          </cell>
          <cell r="E1795">
            <v>0</v>
          </cell>
          <cell r="F1795">
            <v>0</v>
          </cell>
        </row>
        <row r="1796">
          <cell r="B1796">
            <v>40050530</v>
          </cell>
          <cell r="C1796" t="str">
            <v>*CIN ORIGINAL 100G NP SINGLE M50.00 P160</v>
          </cell>
          <cell r="D1796">
            <v>0</v>
          </cell>
          <cell r="E1796">
            <v>0</v>
          </cell>
          <cell r="F1796">
            <v>0</v>
          </cell>
        </row>
        <row r="1797">
          <cell r="B1797">
            <v>40059013</v>
          </cell>
          <cell r="C1797" t="str">
            <v>*CIN ORIGINAL 100G NP SINGLE M45 P160</v>
          </cell>
          <cell r="D1797">
            <v>0</v>
          </cell>
          <cell r="E1797">
            <v>0</v>
          </cell>
          <cell r="F1797">
            <v>0</v>
          </cell>
        </row>
        <row r="1798">
          <cell r="B1798">
            <v>40063457</v>
          </cell>
          <cell r="C1798" t="str">
            <v>CIN ORIGINAL 100G NP SINGLE M42 P160</v>
          </cell>
          <cell r="D1798">
            <v>0</v>
          </cell>
          <cell r="E1798">
            <v>0</v>
          </cell>
          <cell r="F1798">
            <v>0</v>
          </cell>
        </row>
        <row r="1799">
          <cell r="B1799">
            <v>40013498</v>
          </cell>
          <cell r="C1799" t="str">
            <v>*Cin Original 100G PO4 Mrp127 Pk36</v>
          </cell>
          <cell r="D1799">
            <v>0</v>
          </cell>
          <cell r="E1799">
            <v>0</v>
          </cell>
          <cell r="F1799">
            <v>0</v>
          </cell>
        </row>
        <row r="1800">
          <cell r="B1800">
            <v>40019535</v>
          </cell>
          <cell r="C1800" t="str">
            <v>*Cin Po4 100g Original M135 P36</v>
          </cell>
          <cell r="D1800">
            <v>0</v>
          </cell>
          <cell r="E1800">
            <v>0</v>
          </cell>
          <cell r="F1800">
            <v>0</v>
          </cell>
        </row>
        <row r="1801">
          <cell r="B1801">
            <v>40031149</v>
          </cell>
          <cell r="C1801" t="str">
            <v>*Cin Original 100g PO4 M139 P36 MT</v>
          </cell>
          <cell r="D1801">
            <v>0</v>
          </cell>
          <cell r="E1801">
            <v>0</v>
          </cell>
          <cell r="F1801">
            <v>0</v>
          </cell>
        </row>
        <row r="1802">
          <cell r="B1802">
            <v>40032469</v>
          </cell>
          <cell r="C1802" t="str">
            <v>*Cin Original 100g PO4 M151 P36</v>
          </cell>
          <cell r="D1802">
            <v>0</v>
          </cell>
          <cell r="E1802">
            <v>0</v>
          </cell>
          <cell r="F1802">
            <v>0</v>
          </cell>
        </row>
        <row r="1803">
          <cell r="B1803">
            <v>40035312</v>
          </cell>
          <cell r="C1803" t="str">
            <v>*Cin Original 100g PO4 M155 P36 New</v>
          </cell>
          <cell r="D1803">
            <v>0</v>
          </cell>
          <cell r="E1803">
            <v>0</v>
          </cell>
          <cell r="F1803">
            <v>0</v>
          </cell>
        </row>
        <row r="1804">
          <cell r="B1804">
            <v>40036127</v>
          </cell>
          <cell r="C1804" t="str">
            <v>*Cin Org100g PO4 M163 P36 New</v>
          </cell>
          <cell r="D1804">
            <v>0</v>
          </cell>
          <cell r="E1804">
            <v>0</v>
          </cell>
          <cell r="F1804">
            <v>0</v>
          </cell>
        </row>
        <row r="1805">
          <cell r="B1805">
            <v>40037175</v>
          </cell>
          <cell r="C1805" t="str">
            <v>*Cin Org100g PO4 M171 P36 New</v>
          </cell>
          <cell r="D1805">
            <v>0</v>
          </cell>
          <cell r="E1805">
            <v>0</v>
          </cell>
          <cell r="F1805">
            <v>0</v>
          </cell>
        </row>
        <row r="1806">
          <cell r="B1806">
            <v>40038386</v>
          </cell>
          <cell r="C1806" t="str">
            <v>*Cin Org100g PO4 M179 P36 New</v>
          </cell>
          <cell r="D1806">
            <v>0</v>
          </cell>
          <cell r="E1806">
            <v>0</v>
          </cell>
          <cell r="F1806">
            <v>0</v>
          </cell>
        </row>
        <row r="1807">
          <cell r="B1807">
            <v>40039569</v>
          </cell>
          <cell r="C1807" t="str">
            <v>*Cin Org100g PO4 M187 P36 New</v>
          </cell>
          <cell r="D1807">
            <v>0</v>
          </cell>
          <cell r="E1807">
            <v>0</v>
          </cell>
          <cell r="F1807">
            <v>0</v>
          </cell>
        </row>
        <row r="1808">
          <cell r="B1808">
            <v>40044119</v>
          </cell>
          <cell r="C1808" t="str">
            <v>*Cin Org100g PO4 M195 P36 New</v>
          </cell>
          <cell r="D1808">
            <v>0</v>
          </cell>
          <cell r="E1808">
            <v>0</v>
          </cell>
          <cell r="F1808">
            <v>0</v>
          </cell>
        </row>
        <row r="1809">
          <cell r="B1809">
            <v>40058151</v>
          </cell>
          <cell r="C1809" t="str">
            <v>*CIN ORG100G PO4 M195 P36 N GT</v>
          </cell>
          <cell r="D1809">
            <v>0</v>
          </cell>
          <cell r="E1809">
            <v>0</v>
          </cell>
          <cell r="F1809">
            <v>0</v>
          </cell>
        </row>
        <row r="1810">
          <cell r="B1810">
            <v>40059016</v>
          </cell>
          <cell r="C1810" t="str">
            <v>*CIN ORG100G PO4 M175 P36 N GT</v>
          </cell>
          <cell r="D1810">
            <v>0</v>
          </cell>
          <cell r="E1810">
            <v>0</v>
          </cell>
          <cell r="F1810">
            <v>0</v>
          </cell>
        </row>
        <row r="1811">
          <cell r="B1811">
            <v>40060251</v>
          </cell>
          <cell r="C1811" t="str">
            <v>CIN ORG100G PO4 M155 P36 NEW</v>
          </cell>
          <cell r="D1811">
            <v>0</v>
          </cell>
          <cell r="E1811">
            <v>0</v>
          </cell>
          <cell r="F1811">
            <v>0</v>
          </cell>
        </row>
        <row r="1812">
          <cell r="B1812">
            <v>40063453</v>
          </cell>
          <cell r="C1812" t="str">
            <v>CIN ORG100G PO4 M165 P36 NEW</v>
          </cell>
          <cell r="D1812">
            <v>0</v>
          </cell>
          <cell r="E1812">
            <v>0</v>
          </cell>
          <cell r="F1812">
            <v>0</v>
          </cell>
        </row>
        <row r="1813">
          <cell r="B1813">
            <v>40063638</v>
          </cell>
          <cell r="C1813" t="str">
            <v>CIN ORG100G PO4 M165 P36 NEW MT</v>
          </cell>
          <cell r="D1813">
            <v>0</v>
          </cell>
          <cell r="E1813">
            <v>0</v>
          </cell>
          <cell r="F1813">
            <v>0</v>
          </cell>
        </row>
        <row r="1814">
          <cell r="B1814">
            <v>40011731</v>
          </cell>
          <cell r="C1814" t="str">
            <v>*Cin Original 35g NP PKS 240 MRP 8</v>
          </cell>
          <cell r="D1814">
            <v>0</v>
          </cell>
          <cell r="E1814">
            <v>0</v>
          </cell>
          <cell r="F1814">
            <v>0</v>
          </cell>
        </row>
        <row r="1815">
          <cell r="B1815">
            <v>40024256</v>
          </cell>
          <cell r="C1815" t="str">
            <v>*Cin Original 40g Overwrap M10P240</v>
          </cell>
          <cell r="D1815">
            <v>0</v>
          </cell>
          <cell r="E1815">
            <v>0</v>
          </cell>
          <cell r="F1815">
            <v>0</v>
          </cell>
        </row>
        <row r="1816">
          <cell r="B1816">
            <v>40035335</v>
          </cell>
          <cell r="C1816" t="str">
            <v>*Cin Ori 38g Poly M10 P240 New</v>
          </cell>
          <cell r="D1816">
            <v>0</v>
          </cell>
          <cell r="E1816">
            <v>0</v>
          </cell>
          <cell r="F1816">
            <v>0</v>
          </cell>
        </row>
        <row r="1817">
          <cell r="B1817">
            <v>40037098</v>
          </cell>
          <cell r="C1817" t="str">
            <v>*Cin Original 35g (polybag) M10P240</v>
          </cell>
          <cell r="D1817">
            <v>0</v>
          </cell>
          <cell r="E1817">
            <v>0</v>
          </cell>
          <cell r="F1817">
            <v>0</v>
          </cell>
        </row>
        <row r="1818">
          <cell r="B1818">
            <v>40037107</v>
          </cell>
          <cell r="C1818" t="str">
            <v>*Cin Original 35gOverwrap M10P240</v>
          </cell>
          <cell r="D1818">
            <v>0</v>
          </cell>
          <cell r="E1818">
            <v>0</v>
          </cell>
          <cell r="F1818">
            <v>0</v>
          </cell>
        </row>
        <row r="1819">
          <cell r="B1819">
            <v>40056620</v>
          </cell>
          <cell r="C1819" t="str">
            <v>*CIN ORIGINAL 33G M10P240</v>
          </cell>
          <cell r="D1819">
            <v>0</v>
          </cell>
          <cell r="E1819">
            <v>0</v>
          </cell>
          <cell r="F1819">
            <v>0</v>
          </cell>
        </row>
        <row r="1820">
          <cell r="B1820">
            <v>40060378</v>
          </cell>
          <cell r="C1820" t="str">
            <v>CIN ORIGINAL 35G M10P240</v>
          </cell>
          <cell r="D1820">
            <v>0</v>
          </cell>
          <cell r="E1820">
            <v>0</v>
          </cell>
          <cell r="F1820">
            <v>0</v>
          </cell>
        </row>
        <row r="1821">
          <cell r="B1821">
            <v>40064953</v>
          </cell>
          <cell r="C1821" t="str">
            <v>CIN ORIGINAL 33G M10 P288</v>
          </cell>
          <cell r="D1821">
            <v>0</v>
          </cell>
          <cell r="E1821">
            <v>0</v>
          </cell>
          <cell r="F1821">
            <v>0</v>
          </cell>
        </row>
        <row r="1822">
          <cell r="B1822">
            <v>40010012</v>
          </cell>
          <cell r="C1822" t="str">
            <v>*Cin. Original 75g Singles Mrp22 Pk200</v>
          </cell>
          <cell r="D1822">
            <v>0</v>
          </cell>
          <cell r="E1822">
            <v>0</v>
          </cell>
          <cell r="F1822">
            <v>0</v>
          </cell>
        </row>
        <row r="1823">
          <cell r="B1823">
            <v>40015232</v>
          </cell>
          <cell r="C1823" t="str">
            <v>*Cin.Org 75g Singles Mrp24 Pk180 FC Free</v>
          </cell>
          <cell r="D1823">
            <v>0</v>
          </cell>
          <cell r="E1823">
            <v>0</v>
          </cell>
          <cell r="F1823">
            <v>0</v>
          </cell>
        </row>
        <row r="1824">
          <cell r="B1824">
            <v>40044134</v>
          </cell>
          <cell r="C1824" t="str">
            <v>*Cin Original 75g Singles M41 P200 New</v>
          </cell>
          <cell r="D1824">
            <v>0</v>
          </cell>
          <cell r="E1824">
            <v>0</v>
          </cell>
          <cell r="F1824">
            <v>0</v>
          </cell>
        </row>
        <row r="1825">
          <cell r="B1825">
            <v>40059015</v>
          </cell>
          <cell r="C1825" t="str">
            <v>*CIN ORIGINAL 75G SINGLES M35 P200 NEW</v>
          </cell>
          <cell r="D1825">
            <v>0</v>
          </cell>
          <cell r="E1825">
            <v>0</v>
          </cell>
          <cell r="F1825">
            <v>0</v>
          </cell>
        </row>
        <row r="1826">
          <cell r="B1826">
            <v>40060235</v>
          </cell>
          <cell r="C1826" t="str">
            <v>CIN ORIGINAL 75G SINGLES M30 P200 NEW</v>
          </cell>
          <cell r="D1826">
            <v>0</v>
          </cell>
          <cell r="E1826">
            <v>0</v>
          </cell>
          <cell r="F1826">
            <v>0</v>
          </cell>
        </row>
        <row r="1827">
          <cell r="B1827">
            <v>40063641</v>
          </cell>
          <cell r="C1827" t="str">
            <v>CIN ORIGINAL 75G SINGLES M32 P200 NEW</v>
          </cell>
          <cell r="D1827">
            <v>0</v>
          </cell>
          <cell r="E1827">
            <v>0</v>
          </cell>
          <cell r="F1827">
            <v>0</v>
          </cell>
        </row>
        <row r="1828">
          <cell r="B1828">
            <v>40064995</v>
          </cell>
          <cell r="C1828" t="str">
            <v>CIN ORIGINAL 75G SINGLES M35 P200 NEW</v>
          </cell>
          <cell r="D1828">
            <v>0</v>
          </cell>
          <cell r="E1828">
            <v>0</v>
          </cell>
          <cell r="F1828">
            <v>0</v>
          </cell>
        </row>
        <row r="1829">
          <cell r="B1829">
            <v>40037657</v>
          </cell>
          <cell r="C1829" t="str">
            <v>*Cin Original 100g PO8 M405P18 Ecom</v>
          </cell>
          <cell r="D1829">
            <v>0</v>
          </cell>
          <cell r="E1829">
            <v>0</v>
          </cell>
          <cell r="F1829">
            <v>0</v>
          </cell>
        </row>
        <row r="1830">
          <cell r="B1830">
            <v>40042630</v>
          </cell>
          <cell r="C1830" t="str">
            <v>*Cin Original 100g PO8 M420P18 Ecom</v>
          </cell>
          <cell r="D1830">
            <v>0</v>
          </cell>
          <cell r="E1830">
            <v>0</v>
          </cell>
          <cell r="F1830">
            <v>0</v>
          </cell>
        </row>
        <row r="1831">
          <cell r="B1831">
            <v>40013719</v>
          </cell>
          <cell r="C1831" t="str">
            <v>*CinOriginal150g PK96 MRP45</v>
          </cell>
          <cell r="D1831">
            <v>0</v>
          </cell>
          <cell r="E1831">
            <v>0</v>
          </cell>
          <cell r="F1831">
            <v>0</v>
          </cell>
        </row>
        <row r="1832">
          <cell r="B1832">
            <v>40018812</v>
          </cell>
          <cell r="C1832" t="str">
            <v>*CinOriginal150gM47P96</v>
          </cell>
          <cell r="D1832">
            <v>0</v>
          </cell>
          <cell r="E1832">
            <v>0</v>
          </cell>
          <cell r="F1832">
            <v>0</v>
          </cell>
        </row>
        <row r="1833">
          <cell r="B1833">
            <v>40019878</v>
          </cell>
          <cell r="C1833" t="str">
            <v>*Cin Original 150g M51 P96</v>
          </cell>
          <cell r="D1833">
            <v>0</v>
          </cell>
          <cell r="E1833">
            <v>0</v>
          </cell>
          <cell r="F1833">
            <v>0</v>
          </cell>
        </row>
        <row r="1834">
          <cell r="B1834">
            <v>40025714</v>
          </cell>
          <cell r="C1834" t="str">
            <v>*Cin Original 150g M49 P96</v>
          </cell>
          <cell r="D1834">
            <v>0</v>
          </cell>
          <cell r="E1834">
            <v>0</v>
          </cell>
          <cell r="F1834">
            <v>0</v>
          </cell>
        </row>
        <row r="1835">
          <cell r="B1835">
            <v>40030524</v>
          </cell>
          <cell r="C1835" t="str">
            <v>*Cin Original Singles 150g M52 P96</v>
          </cell>
          <cell r="D1835">
            <v>0</v>
          </cell>
          <cell r="E1835">
            <v>0</v>
          </cell>
          <cell r="F1835">
            <v>0</v>
          </cell>
        </row>
        <row r="1836">
          <cell r="B1836">
            <v>40031587</v>
          </cell>
          <cell r="C1836" t="str">
            <v>*Cin Original 150g M55 P96</v>
          </cell>
          <cell r="D1836">
            <v>0</v>
          </cell>
          <cell r="E1836">
            <v>0</v>
          </cell>
          <cell r="F1836">
            <v>0</v>
          </cell>
        </row>
        <row r="1837">
          <cell r="B1837">
            <v>40035572</v>
          </cell>
          <cell r="C1837" t="str">
            <v>*Cin Original Singles 150g M60 P96 New</v>
          </cell>
          <cell r="D1837">
            <v>0</v>
          </cell>
          <cell r="E1837">
            <v>0</v>
          </cell>
          <cell r="F1837">
            <v>0</v>
          </cell>
        </row>
        <row r="1838">
          <cell r="B1838">
            <v>40038361</v>
          </cell>
          <cell r="C1838" t="str">
            <v>*Cin Original Singles 150g M67 P96 New</v>
          </cell>
          <cell r="D1838">
            <v>0</v>
          </cell>
          <cell r="E1838">
            <v>0</v>
          </cell>
          <cell r="F1838">
            <v>0</v>
          </cell>
        </row>
        <row r="1839">
          <cell r="B1839">
            <v>40041194</v>
          </cell>
          <cell r="C1839" t="str">
            <v>*Cin Original Singles 150g M70 P96 New</v>
          </cell>
          <cell r="D1839">
            <v>0</v>
          </cell>
          <cell r="E1839">
            <v>0</v>
          </cell>
          <cell r="F1839">
            <v>0</v>
          </cell>
        </row>
        <row r="1840">
          <cell r="B1840">
            <v>40042543</v>
          </cell>
          <cell r="C1840" t="str">
            <v>*Cin Original Singles 150g M75 P96 New</v>
          </cell>
          <cell r="D1840">
            <v>0</v>
          </cell>
          <cell r="E1840">
            <v>0</v>
          </cell>
          <cell r="F1840">
            <v>0</v>
          </cell>
        </row>
        <row r="1841">
          <cell r="B1841">
            <v>40044144</v>
          </cell>
          <cell r="C1841" t="str">
            <v>*Cin Original Singles 150g M78 P96 New</v>
          </cell>
          <cell r="D1841">
            <v>0</v>
          </cell>
          <cell r="E1841">
            <v>0</v>
          </cell>
          <cell r="F1841">
            <v>0</v>
          </cell>
        </row>
        <row r="1842">
          <cell r="B1842">
            <v>40058974</v>
          </cell>
          <cell r="C1842" t="str">
            <v>*CIN ORIGINAL SINGLES 150G M70 P96 NEW</v>
          </cell>
          <cell r="D1842">
            <v>0</v>
          </cell>
          <cell r="E1842">
            <v>0</v>
          </cell>
          <cell r="F1842">
            <v>0</v>
          </cell>
        </row>
        <row r="1843">
          <cell r="B1843">
            <v>40060224</v>
          </cell>
          <cell r="C1843" t="str">
            <v>CIN ORIGINAL SINGLES 150G M62 P96 NEW</v>
          </cell>
          <cell r="D1843">
            <v>0</v>
          </cell>
          <cell r="E1843">
            <v>0</v>
          </cell>
          <cell r="F1843">
            <v>0</v>
          </cell>
        </row>
        <row r="1844">
          <cell r="B1844">
            <v>40023642</v>
          </cell>
          <cell r="C1844" t="str">
            <v>*Cinthol CSR 150gx4+75gm Free M212P16</v>
          </cell>
          <cell r="D1844">
            <v>0</v>
          </cell>
          <cell r="E1844">
            <v>0</v>
          </cell>
          <cell r="F1844">
            <v>0</v>
          </cell>
        </row>
        <row r="1845">
          <cell r="B1845">
            <v>40031539</v>
          </cell>
          <cell r="C1845" t="str">
            <v>*CinOrig150gPO4M198P12-GT-Carton</v>
          </cell>
          <cell r="D1845">
            <v>0</v>
          </cell>
          <cell r="E1845">
            <v>0</v>
          </cell>
          <cell r="F1845">
            <v>0</v>
          </cell>
        </row>
        <row r="1846">
          <cell r="B1846">
            <v>40032494</v>
          </cell>
          <cell r="C1846" t="str">
            <v>*Cin Orig 150g PO4 M222 P12 Carton - GT</v>
          </cell>
          <cell r="D1846">
            <v>0</v>
          </cell>
          <cell r="E1846">
            <v>0</v>
          </cell>
          <cell r="F1846">
            <v>0</v>
          </cell>
        </row>
        <row r="1847">
          <cell r="B1847">
            <v>40036224</v>
          </cell>
          <cell r="C1847" t="str">
            <v>*CinOrig150gPO4M230P12-GT-Carton</v>
          </cell>
          <cell r="D1847">
            <v>0</v>
          </cell>
          <cell r="E1847">
            <v>0</v>
          </cell>
          <cell r="F1847">
            <v>0</v>
          </cell>
        </row>
        <row r="1848">
          <cell r="B1848">
            <v>40036427</v>
          </cell>
          <cell r="C1848" t="str">
            <v>*CinOrig150gPO4M250P12-GT-Carton</v>
          </cell>
          <cell r="D1848">
            <v>0</v>
          </cell>
          <cell r="E1848">
            <v>0</v>
          </cell>
          <cell r="F1848">
            <v>0</v>
          </cell>
        </row>
        <row r="1849">
          <cell r="B1849">
            <v>40038711</v>
          </cell>
          <cell r="C1849" t="str">
            <v>*CinOrig150gPO4M258P12-GT-Carton</v>
          </cell>
          <cell r="D1849">
            <v>0</v>
          </cell>
          <cell r="E1849">
            <v>0</v>
          </cell>
          <cell r="F1849">
            <v>0</v>
          </cell>
        </row>
        <row r="1850">
          <cell r="B1850">
            <v>40042615</v>
          </cell>
          <cell r="C1850" t="str">
            <v>*Cin Orig 150g PO4 M270 P24  - Carton</v>
          </cell>
          <cell r="D1850">
            <v>0</v>
          </cell>
          <cell r="E1850">
            <v>0</v>
          </cell>
          <cell r="F1850">
            <v>0</v>
          </cell>
        </row>
        <row r="1851">
          <cell r="B1851">
            <v>40044120</v>
          </cell>
          <cell r="C1851" t="str">
            <v>*Cin Orig 150g PO4 M282 P24  - Carton</v>
          </cell>
          <cell r="D1851">
            <v>0</v>
          </cell>
          <cell r="E1851">
            <v>0</v>
          </cell>
          <cell r="F1851">
            <v>0</v>
          </cell>
        </row>
        <row r="1852">
          <cell r="B1852">
            <v>40060231</v>
          </cell>
          <cell r="C1852" t="str">
            <v>CIN ORIG 150G PO4 M255 P24  - CARTON</v>
          </cell>
          <cell r="D1852">
            <v>0</v>
          </cell>
          <cell r="E1852">
            <v>0</v>
          </cell>
          <cell r="F1852">
            <v>0</v>
          </cell>
        </row>
        <row r="1853">
          <cell r="B1853">
            <v>40063451</v>
          </cell>
          <cell r="C1853" t="str">
            <v>CIN ORIG 150G PO4 M270 P24  - CARTON</v>
          </cell>
          <cell r="D1853">
            <v>0</v>
          </cell>
          <cell r="E1853">
            <v>0</v>
          </cell>
          <cell r="F1853">
            <v>0</v>
          </cell>
        </row>
        <row r="1854">
          <cell r="B1854">
            <v>40013037</v>
          </cell>
          <cell r="C1854" t="str">
            <v>*Cin Original100g NPSngls P160 M33-CSD</v>
          </cell>
          <cell r="D1854">
            <v>0</v>
          </cell>
          <cell r="E1854">
            <v>0</v>
          </cell>
          <cell r="F1854">
            <v>0</v>
          </cell>
        </row>
        <row r="1855">
          <cell r="B1855">
            <v>40019021</v>
          </cell>
          <cell r="C1855" t="str">
            <v>*CinOriginal100gNPSinglesM34P160-CSD</v>
          </cell>
          <cell r="D1855">
            <v>0</v>
          </cell>
          <cell r="E1855">
            <v>0</v>
          </cell>
          <cell r="F1855">
            <v>0</v>
          </cell>
        </row>
        <row r="1856">
          <cell r="B1856">
            <v>40036805</v>
          </cell>
          <cell r="C1856" t="str">
            <v>*Cin Confidence+125gmSingl P120 M56 CSD</v>
          </cell>
          <cell r="D1856">
            <v>0</v>
          </cell>
          <cell r="E1856">
            <v>0</v>
          </cell>
          <cell r="F1856">
            <v>0</v>
          </cell>
        </row>
        <row r="1857">
          <cell r="B1857">
            <v>40012747</v>
          </cell>
          <cell r="C1857" t="str">
            <v>*CinCnfdnc125gx3+100gCfdncFrP30M117-MT</v>
          </cell>
          <cell r="D1857">
            <v>0</v>
          </cell>
          <cell r="E1857">
            <v>0</v>
          </cell>
          <cell r="F1857">
            <v>0</v>
          </cell>
        </row>
        <row r="1858">
          <cell r="B1858">
            <v>40017692</v>
          </cell>
          <cell r="C1858" t="str">
            <v>*Cin Confidence+100gSing P150 M33</v>
          </cell>
          <cell r="D1858">
            <v>0</v>
          </cell>
          <cell r="E1858">
            <v>0</v>
          </cell>
          <cell r="F1858">
            <v>0</v>
          </cell>
        </row>
        <row r="1859">
          <cell r="B1859">
            <v>40013558</v>
          </cell>
          <cell r="C1859" t="str">
            <v>*Cinthol 50gconfidence+ hanger M10P216</v>
          </cell>
          <cell r="D1859">
            <v>0</v>
          </cell>
          <cell r="E1859">
            <v>0</v>
          </cell>
          <cell r="F1859">
            <v>0</v>
          </cell>
        </row>
        <row r="1860">
          <cell r="B1860">
            <v>40013997</v>
          </cell>
          <cell r="C1860" t="str">
            <v>*Cin 50g confidence polybag M10PK 216</v>
          </cell>
          <cell r="D1860">
            <v>0</v>
          </cell>
          <cell r="E1860">
            <v>0</v>
          </cell>
          <cell r="F1860">
            <v>0</v>
          </cell>
        </row>
        <row r="1861">
          <cell r="B1861">
            <v>40014441</v>
          </cell>
          <cell r="C1861" t="str">
            <v>*Cinthol55gconfidence+ hanger M10P216</v>
          </cell>
          <cell r="D1861">
            <v>0</v>
          </cell>
          <cell r="E1861">
            <v>0</v>
          </cell>
          <cell r="F1861">
            <v>0</v>
          </cell>
        </row>
        <row r="1862">
          <cell r="B1862">
            <v>40015419</v>
          </cell>
          <cell r="C1862" t="str">
            <v>*Cinthol60gconf+ hanger M10P216</v>
          </cell>
          <cell r="D1862">
            <v>0</v>
          </cell>
          <cell r="E1862">
            <v>0</v>
          </cell>
          <cell r="F1862">
            <v>0</v>
          </cell>
        </row>
        <row r="1863">
          <cell r="B1863">
            <v>40031217</v>
          </cell>
          <cell r="C1863" t="str">
            <v>*CinHealth+48gM10P216FRWTalc100gOrig</v>
          </cell>
          <cell r="D1863">
            <v>0</v>
          </cell>
          <cell r="E1863">
            <v>0</v>
          </cell>
          <cell r="F1863">
            <v>0</v>
          </cell>
        </row>
        <row r="1864">
          <cell r="B1864">
            <v>40019598</v>
          </cell>
          <cell r="C1864" t="str">
            <v>*Cin Conf+ soap 100g B4G1 M140 P30-MT</v>
          </cell>
          <cell r="D1864">
            <v>0</v>
          </cell>
          <cell r="E1864">
            <v>0</v>
          </cell>
          <cell r="F1864">
            <v>0</v>
          </cell>
        </row>
        <row r="1865">
          <cell r="B1865">
            <v>40012593</v>
          </cell>
          <cell r="C1865" t="str">
            <v>*Cin confidence+ 75gPO3 P60 MRP68</v>
          </cell>
          <cell r="D1865">
            <v>0</v>
          </cell>
          <cell r="E1865">
            <v>0</v>
          </cell>
          <cell r="F1865">
            <v>0</v>
          </cell>
        </row>
        <row r="1866">
          <cell r="B1866">
            <v>40019525</v>
          </cell>
          <cell r="C1866" t="str">
            <v>*Cin 75g Confidence+ PO3 M75 P60</v>
          </cell>
          <cell r="D1866">
            <v>0</v>
          </cell>
          <cell r="E1866">
            <v>0</v>
          </cell>
          <cell r="F1866">
            <v>0</v>
          </cell>
        </row>
        <row r="1867">
          <cell r="B1867">
            <v>40017327</v>
          </cell>
          <cell r="C1867" t="str">
            <v>*Cin Confidence + 100g PO3 Banded M88P50</v>
          </cell>
          <cell r="D1867">
            <v>0</v>
          </cell>
          <cell r="E1867">
            <v>0</v>
          </cell>
          <cell r="F1867">
            <v>0</v>
          </cell>
        </row>
        <row r="1868">
          <cell r="B1868">
            <v>40034296</v>
          </cell>
          <cell r="C1868" t="str">
            <v>*FreshGlow 100g PO4 M110 P36 New</v>
          </cell>
          <cell r="D1868">
            <v>0</v>
          </cell>
          <cell r="E1868">
            <v>0</v>
          </cell>
          <cell r="F1868">
            <v>0</v>
          </cell>
        </row>
        <row r="1869">
          <cell r="B1869">
            <v>40035869</v>
          </cell>
          <cell r="C1869" t="str">
            <v>*FreshGlow 100g PO4 M130 P36 New</v>
          </cell>
          <cell r="D1869">
            <v>0</v>
          </cell>
          <cell r="E1869">
            <v>0</v>
          </cell>
          <cell r="F1869">
            <v>0</v>
          </cell>
        </row>
        <row r="1870">
          <cell r="B1870">
            <v>40036899</v>
          </cell>
          <cell r="C1870" t="str">
            <v>*FreshGlow 100g PO4 M165 P36 New</v>
          </cell>
          <cell r="D1870">
            <v>0</v>
          </cell>
          <cell r="E1870">
            <v>0</v>
          </cell>
          <cell r="F1870">
            <v>0</v>
          </cell>
        </row>
        <row r="1871">
          <cell r="B1871">
            <v>40032840</v>
          </cell>
          <cell r="C1871" t="str">
            <v>*FreshsGlow 75g PO4 M78 P50</v>
          </cell>
          <cell r="D1871">
            <v>0</v>
          </cell>
          <cell r="E1871">
            <v>0</v>
          </cell>
          <cell r="F1871">
            <v>0</v>
          </cell>
        </row>
        <row r="1872">
          <cell r="B1872">
            <v>40035377</v>
          </cell>
          <cell r="C1872" t="str">
            <v>*No.1 Chandan Soap 150g M60 P90 L1</v>
          </cell>
          <cell r="D1872">
            <v>0</v>
          </cell>
          <cell r="E1872">
            <v>0</v>
          </cell>
          <cell r="F1872">
            <v>0</v>
          </cell>
        </row>
        <row r="1873">
          <cell r="B1873">
            <v>40038427</v>
          </cell>
          <cell r="C1873" t="str">
            <v>*No.1 Gulab Soap 150g M60 P90 New Liqud</v>
          </cell>
          <cell r="D1873">
            <v>0</v>
          </cell>
          <cell r="E1873">
            <v>0</v>
          </cell>
          <cell r="F1873">
            <v>0</v>
          </cell>
        </row>
        <row r="1874">
          <cell r="B1874">
            <v>40038026</v>
          </cell>
          <cell r="C1874" t="str">
            <v>*No1 Extra Lime 150g B3G1 M198 P24NEWMT</v>
          </cell>
          <cell r="D1874">
            <v>0</v>
          </cell>
          <cell r="E1874">
            <v>0</v>
          </cell>
          <cell r="F1874">
            <v>0</v>
          </cell>
        </row>
        <row r="1875">
          <cell r="B1875">
            <v>40014128</v>
          </cell>
          <cell r="C1875" t="str">
            <v>*No1 L&amp;A100g B3G1F(NEW)M68P36</v>
          </cell>
          <cell r="D1875">
            <v>0</v>
          </cell>
          <cell r="E1875">
            <v>0</v>
          </cell>
          <cell r="F1875">
            <v>0</v>
          </cell>
        </row>
        <row r="1876">
          <cell r="B1876">
            <v>40019193</v>
          </cell>
          <cell r="C1876" t="str">
            <v>*No1Lime&amp;AV100gB3G1FM72P36</v>
          </cell>
          <cell r="D1876">
            <v>0</v>
          </cell>
          <cell r="E1876">
            <v>0</v>
          </cell>
          <cell r="F1876">
            <v>0</v>
          </cell>
        </row>
        <row r="1877">
          <cell r="B1877">
            <v>40019630</v>
          </cell>
          <cell r="C1877" t="str">
            <v>*No1Lime&amp;AV100gB3G1FM76P36</v>
          </cell>
          <cell r="D1877">
            <v>0</v>
          </cell>
          <cell r="E1877">
            <v>0</v>
          </cell>
          <cell r="F1877">
            <v>0</v>
          </cell>
        </row>
        <row r="1878">
          <cell r="B1878">
            <v>40020463</v>
          </cell>
          <cell r="C1878" t="str">
            <v>*No1Lime&amp;AV100gB3G1F(GST)M72P36</v>
          </cell>
          <cell r="D1878">
            <v>0</v>
          </cell>
          <cell r="E1878">
            <v>0</v>
          </cell>
          <cell r="F1878">
            <v>0</v>
          </cell>
        </row>
        <row r="1879">
          <cell r="B1879">
            <v>40032409</v>
          </cell>
          <cell r="C1879" t="str">
            <v>*GNo1 Lime&amp;Aloe 100g PO5 M88 P36</v>
          </cell>
          <cell r="D1879">
            <v>0</v>
          </cell>
          <cell r="E1879">
            <v>0</v>
          </cell>
          <cell r="F1879">
            <v>0</v>
          </cell>
        </row>
        <row r="1880">
          <cell r="B1880">
            <v>40033210</v>
          </cell>
          <cell r="C1880" t="str">
            <v>*No1 Lime&amp;Aloe 100g PO5 M100 P36</v>
          </cell>
          <cell r="D1880">
            <v>0</v>
          </cell>
          <cell r="E1880">
            <v>0</v>
          </cell>
          <cell r="F1880">
            <v>0</v>
          </cell>
        </row>
        <row r="1881">
          <cell r="B1881">
            <v>40033677</v>
          </cell>
          <cell r="C1881" t="str">
            <v>*No1 Lime&amp;Aloe 100g PO5 M90P36 Ecom</v>
          </cell>
          <cell r="D1881">
            <v>0</v>
          </cell>
          <cell r="E1881">
            <v>0</v>
          </cell>
          <cell r="F1881">
            <v>0</v>
          </cell>
        </row>
        <row r="1882">
          <cell r="B1882">
            <v>40033810</v>
          </cell>
          <cell r="C1882" t="str">
            <v>*GNo1L&amp;A100gPO5M100P36FRPtkt180mlRef</v>
          </cell>
          <cell r="D1882">
            <v>0</v>
          </cell>
          <cell r="E1882">
            <v>0</v>
          </cell>
          <cell r="F1882">
            <v>0</v>
          </cell>
        </row>
        <row r="1883">
          <cell r="B1883">
            <v>40035568</v>
          </cell>
          <cell r="C1883" t="str">
            <v>*No1 Lime &amp; Aloe 100g PO5 M110 P36</v>
          </cell>
          <cell r="D1883">
            <v>0</v>
          </cell>
          <cell r="E1883">
            <v>0</v>
          </cell>
          <cell r="F1883">
            <v>0</v>
          </cell>
        </row>
        <row r="1884">
          <cell r="B1884">
            <v>40035581</v>
          </cell>
          <cell r="C1884" t="str">
            <v>*GNo1 Lime &amp; Aloe 100g PO5 M120 P36</v>
          </cell>
          <cell r="D1884">
            <v>0</v>
          </cell>
          <cell r="E1884">
            <v>0</v>
          </cell>
          <cell r="F1884">
            <v>0</v>
          </cell>
        </row>
        <row r="1885">
          <cell r="B1885">
            <v>40036058</v>
          </cell>
          <cell r="C1885" t="str">
            <v>*No1 Lime &amp; Aloe 100g PO5 M120 P36 ROI</v>
          </cell>
          <cell r="D1885">
            <v>0</v>
          </cell>
          <cell r="E1885">
            <v>0</v>
          </cell>
          <cell r="F1885">
            <v>0</v>
          </cell>
        </row>
        <row r="1886">
          <cell r="B1886">
            <v>40037930</v>
          </cell>
          <cell r="C1886" t="str">
            <v>*No1 Lime&amp;Aloe 100g PO5 M120 P36 ROI S40</v>
          </cell>
          <cell r="D1886">
            <v>0</v>
          </cell>
          <cell r="E1886">
            <v>0</v>
          </cell>
          <cell r="F1886">
            <v>0</v>
          </cell>
        </row>
        <row r="1887">
          <cell r="B1887">
            <v>40039513</v>
          </cell>
          <cell r="C1887" t="str">
            <v>*No1 Lime&amp;Aloe 100g PO5 M120 P36 ROIS40N</v>
          </cell>
          <cell r="D1887">
            <v>0</v>
          </cell>
          <cell r="E1887">
            <v>0</v>
          </cell>
          <cell r="F1887">
            <v>0</v>
          </cell>
        </row>
        <row r="1888">
          <cell r="B1888">
            <v>40050475</v>
          </cell>
          <cell r="C1888" t="str">
            <v>*NO1LIME&amp;ALO100GP5M130.00P36ROIS40I</v>
          </cell>
          <cell r="D1888">
            <v>0</v>
          </cell>
          <cell r="E1888">
            <v>0</v>
          </cell>
          <cell r="F1888">
            <v>0</v>
          </cell>
        </row>
        <row r="1889">
          <cell r="B1889">
            <v>40050650</v>
          </cell>
          <cell r="C1889" t="str">
            <v>*NO1 LIME&amp;ALO 100G P5 M130.00 P36 ROI ND</v>
          </cell>
          <cell r="D1889">
            <v>0</v>
          </cell>
          <cell r="E1889">
            <v>0</v>
          </cell>
          <cell r="F1889">
            <v>0</v>
          </cell>
        </row>
        <row r="1890">
          <cell r="B1890">
            <v>40056779</v>
          </cell>
          <cell r="C1890" t="str">
            <v>*NO1 LIME&amp;ALO 100G P5 M135 P36 ROI ND</v>
          </cell>
          <cell r="D1890">
            <v>0</v>
          </cell>
          <cell r="E1890">
            <v>0</v>
          </cell>
          <cell r="F1890">
            <v>0</v>
          </cell>
        </row>
        <row r="1891">
          <cell r="B1891">
            <v>40057079</v>
          </cell>
          <cell r="C1891" t="str">
            <v>*NO1 LIME&amp;ALO 100G P5 M145 P36 ROI ND</v>
          </cell>
          <cell r="D1891">
            <v>0</v>
          </cell>
          <cell r="E1891">
            <v>0</v>
          </cell>
          <cell r="F1891">
            <v>0</v>
          </cell>
        </row>
        <row r="1892">
          <cell r="B1892">
            <v>40057695</v>
          </cell>
          <cell r="C1892" t="str">
            <v>*NO1 LIME&amp;ALO 100G P5 M140 P36 ROI ND</v>
          </cell>
          <cell r="D1892">
            <v>0</v>
          </cell>
          <cell r="E1892">
            <v>0</v>
          </cell>
          <cell r="F1892">
            <v>0</v>
          </cell>
        </row>
        <row r="1893">
          <cell r="B1893">
            <v>40059518</v>
          </cell>
          <cell r="C1893" t="str">
            <v>*NO1 LIME&amp;ALO 100G P5 P36 ROI ND</v>
          </cell>
          <cell r="D1893">
            <v>0</v>
          </cell>
          <cell r="E1893">
            <v>0</v>
          </cell>
          <cell r="F1893">
            <v>0</v>
          </cell>
        </row>
        <row r="1894">
          <cell r="B1894">
            <v>40060204</v>
          </cell>
          <cell r="C1894" t="str">
            <v>NO1 LIME&amp;ALO 100G P5 M120 P36 ROI ND</v>
          </cell>
          <cell r="D1894">
            <v>0</v>
          </cell>
          <cell r="E1894">
            <v>0</v>
          </cell>
          <cell r="F1894">
            <v>0</v>
          </cell>
        </row>
        <row r="1895">
          <cell r="B1895">
            <v>40060205</v>
          </cell>
          <cell r="C1895" t="str">
            <v>NO1 LIME&amp;ALO 100GP5 M120P36 ROI ND RSTRD</v>
          </cell>
          <cell r="D1895">
            <v>0</v>
          </cell>
          <cell r="E1895">
            <v>0</v>
          </cell>
          <cell r="F1895">
            <v>0</v>
          </cell>
        </row>
        <row r="1896">
          <cell r="B1896">
            <v>40060791</v>
          </cell>
          <cell r="C1896" t="str">
            <v>NO1 LIM&amp;ALO 100GP5M120P36ROI ND RSTRD NF</v>
          </cell>
          <cell r="D1896">
            <v>0</v>
          </cell>
          <cell r="E1896">
            <v>0</v>
          </cell>
          <cell r="F1896">
            <v>0</v>
          </cell>
        </row>
        <row r="1897">
          <cell r="B1897">
            <v>40062392</v>
          </cell>
          <cell r="C1897" t="str">
            <v>NO1LIM&amp;ALO 100GP5 M110 P36 ND RSTRD NF</v>
          </cell>
          <cell r="D1897">
            <v>0</v>
          </cell>
          <cell r="E1897">
            <v>0</v>
          </cell>
          <cell r="F1897">
            <v>0</v>
          </cell>
        </row>
        <row r="1898">
          <cell r="B1898">
            <v>40063191</v>
          </cell>
          <cell r="C1898" t="str">
            <v>NO1LIM&amp;ALO 100GP5 M115 P36 ND RSTRD NF2</v>
          </cell>
          <cell r="D1898">
            <v>0</v>
          </cell>
          <cell r="E1898">
            <v>0</v>
          </cell>
          <cell r="F1898">
            <v>0</v>
          </cell>
        </row>
        <row r="1899">
          <cell r="B1899">
            <v>40036056</v>
          </cell>
          <cell r="C1899" t="str">
            <v>*GNo1 Lime &amp; Aloe 100g PO5 M130 P36</v>
          </cell>
          <cell r="D1899">
            <v>0</v>
          </cell>
          <cell r="E1899">
            <v>0</v>
          </cell>
          <cell r="F1899">
            <v>0</v>
          </cell>
        </row>
        <row r="1900">
          <cell r="B1900">
            <v>40036428</v>
          </cell>
          <cell r="C1900" t="str">
            <v>*GNo1 Lime &amp; Aloe 100g PO5 M140 P36</v>
          </cell>
          <cell r="D1900">
            <v>0</v>
          </cell>
          <cell r="E1900">
            <v>0</v>
          </cell>
          <cell r="F1900">
            <v>0</v>
          </cell>
        </row>
        <row r="1901">
          <cell r="B1901">
            <v>40036912</v>
          </cell>
          <cell r="C1901" t="str">
            <v>*GNo1 Lime &amp; Aloe 100g PO5 M150 P36</v>
          </cell>
          <cell r="D1901">
            <v>0</v>
          </cell>
          <cell r="E1901">
            <v>0</v>
          </cell>
          <cell r="F1901">
            <v>0</v>
          </cell>
        </row>
        <row r="1902">
          <cell r="B1902">
            <v>40037936</v>
          </cell>
          <cell r="C1902" t="str">
            <v>*GNo1 Lime&amp;Aloe 100g PO5 M130 P36 S40</v>
          </cell>
          <cell r="D1902">
            <v>0</v>
          </cell>
          <cell r="E1902">
            <v>0</v>
          </cell>
          <cell r="F1902">
            <v>0</v>
          </cell>
        </row>
        <row r="1903">
          <cell r="B1903">
            <v>40038366</v>
          </cell>
          <cell r="C1903" t="str">
            <v>*No1 Lime&amp;Aloe 100g PO5 M135 P36 S40</v>
          </cell>
          <cell r="D1903">
            <v>0</v>
          </cell>
          <cell r="E1903">
            <v>0</v>
          </cell>
          <cell r="F1903">
            <v>0</v>
          </cell>
        </row>
        <row r="1904">
          <cell r="B1904">
            <v>40039511</v>
          </cell>
          <cell r="C1904" t="str">
            <v>*GNo1 Lime &amp; Aloe 100g PO5 M140 P36 S40</v>
          </cell>
          <cell r="D1904">
            <v>0</v>
          </cell>
          <cell r="E1904">
            <v>0</v>
          </cell>
          <cell r="F1904">
            <v>0</v>
          </cell>
        </row>
        <row r="1905">
          <cell r="B1905">
            <v>40050462</v>
          </cell>
          <cell r="C1905" t="str">
            <v>*NO1 LIME&amp;ALOE 100G PO5 M135.00 P36 S40</v>
          </cell>
          <cell r="D1905">
            <v>0</v>
          </cell>
          <cell r="E1905">
            <v>0</v>
          </cell>
          <cell r="F1905">
            <v>0</v>
          </cell>
        </row>
        <row r="1906">
          <cell r="B1906">
            <v>40050670</v>
          </cell>
          <cell r="C1906" t="str">
            <v>*NO1 LIME&amp;ALOE 100G PO5 M135.00 P36 ND</v>
          </cell>
          <cell r="D1906">
            <v>0</v>
          </cell>
          <cell r="E1906">
            <v>0</v>
          </cell>
          <cell r="F1906">
            <v>0</v>
          </cell>
        </row>
        <row r="1907">
          <cell r="B1907">
            <v>40056879</v>
          </cell>
          <cell r="C1907" t="str">
            <v>*NO1 LIME&amp;ALOE 100G PO5 M140 P36 STH ND</v>
          </cell>
          <cell r="D1907">
            <v>0</v>
          </cell>
          <cell r="E1907">
            <v>0</v>
          </cell>
          <cell r="F1907">
            <v>0</v>
          </cell>
        </row>
        <row r="1908">
          <cell r="B1908">
            <v>40057082</v>
          </cell>
          <cell r="C1908" t="str">
            <v>*NO1 LIME&amp;ALOE 100G PO5 M150 P36 STH ND</v>
          </cell>
          <cell r="D1908">
            <v>0</v>
          </cell>
          <cell r="E1908">
            <v>0</v>
          </cell>
          <cell r="F1908">
            <v>0</v>
          </cell>
        </row>
        <row r="1909">
          <cell r="B1909">
            <v>40057745</v>
          </cell>
          <cell r="C1909" t="str">
            <v>*NO1 LIME&amp;ALOE 100G PO5 M145 P36 STH ND</v>
          </cell>
          <cell r="D1909">
            <v>0</v>
          </cell>
          <cell r="E1909">
            <v>0</v>
          </cell>
          <cell r="F1909">
            <v>0</v>
          </cell>
        </row>
        <row r="1910">
          <cell r="B1910">
            <v>40058684</v>
          </cell>
          <cell r="C1910" t="str">
            <v>NO1 LIME&amp;ALO 100G P5 M150 P36 STH RSTRD</v>
          </cell>
          <cell r="D1910">
            <v>0</v>
          </cell>
          <cell r="E1910">
            <v>0</v>
          </cell>
          <cell r="F1910">
            <v>0</v>
          </cell>
        </row>
        <row r="1911">
          <cell r="B1911">
            <v>40060233</v>
          </cell>
          <cell r="C1911" t="str">
            <v>NO1 LIME&amp;ALOE100GPO5 M130P36 ROI NDRSTRD</v>
          </cell>
          <cell r="D1911">
            <v>0</v>
          </cell>
          <cell r="E1911">
            <v>0</v>
          </cell>
          <cell r="F1911">
            <v>0</v>
          </cell>
        </row>
        <row r="1912">
          <cell r="B1912">
            <v>40060801</v>
          </cell>
          <cell r="C1912" t="str">
            <v>NO1 LIM&amp;A 100GPO5 M130P36 ROI NDRSTRD NF</v>
          </cell>
          <cell r="D1912">
            <v>0</v>
          </cell>
          <cell r="E1912">
            <v>0</v>
          </cell>
          <cell r="F1912">
            <v>0</v>
          </cell>
        </row>
        <row r="1913">
          <cell r="B1913">
            <v>40063750</v>
          </cell>
          <cell r="C1913" t="str">
            <v>NO1 LIM&amp;A 100GPO5 M140P36 ROI NDRSTRD NF</v>
          </cell>
          <cell r="D1913">
            <v>0</v>
          </cell>
          <cell r="E1913">
            <v>0</v>
          </cell>
          <cell r="F1913">
            <v>0</v>
          </cell>
        </row>
        <row r="1914">
          <cell r="B1914">
            <v>40064150</v>
          </cell>
          <cell r="C1914" t="str">
            <v>NO1 LIM&amp;A 100GPO5 M145P36 ROI NDRSTRD NF</v>
          </cell>
          <cell r="D1914">
            <v>0</v>
          </cell>
          <cell r="E1914">
            <v>0</v>
          </cell>
          <cell r="F1914">
            <v>0</v>
          </cell>
        </row>
        <row r="1915">
          <cell r="B1915">
            <v>40065906</v>
          </cell>
          <cell r="C1915" t="str">
            <v>NO1 LIM&amp;A 100GPO5 M155P36 ROINDRSTRD</v>
          </cell>
          <cell r="D1915">
            <v>0</v>
          </cell>
          <cell r="E1915">
            <v>0</v>
          </cell>
          <cell r="F1915">
            <v>0</v>
          </cell>
        </row>
        <row r="1916">
          <cell r="B1916">
            <v>40037311</v>
          </cell>
          <cell r="C1916" t="str">
            <v>*No1 Lime&amp;AV100g Singles M35P144 INST</v>
          </cell>
          <cell r="D1916">
            <v>0</v>
          </cell>
          <cell r="E1916">
            <v>0</v>
          </cell>
          <cell r="F1916">
            <v>0</v>
          </cell>
        </row>
        <row r="1917">
          <cell r="B1917">
            <v>40049858</v>
          </cell>
          <cell r="C1917" t="str">
            <v>*No1 Lime&amp;AV100g Singles M40P144 INST</v>
          </cell>
          <cell r="D1917">
            <v>0</v>
          </cell>
          <cell r="E1917">
            <v>0</v>
          </cell>
          <cell r="F1917">
            <v>0</v>
          </cell>
        </row>
        <row r="1918">
          <cell r="B1918">
            <v>40064997</v>
          </cell>
          <cell r="C1918" t="str">
            <v>*NO1 LIME&amp;AV100G SINGLESM40P144 INST NF2</v>
          </cell>
          <cell r="D1918">
            <v>0</v>
          </cell>
          <cell r="E1918">
            <v>0</v>
          </cell>
          <cell r="F1918">
            <v>0</v>
          </cell>
        </row>
        <row r="1919">
          <cell r="B1919">
            <v>40039346</v>
          </cell>
          <cell r="C1919" t="str">
            <v>*GNo1 Lime&amp;Aloe 100g PO5 M99 P36 Est S40</v>
          </cell>
          <cell r="D1919">
            <v>0</v>
          </cell>
          <cell r="E1919">
            <v>0</v>
          </cell>
          <cell r="F1919">
            <v>0</v>
          </cell>
        </row>
        <row r="1920">
          <cell r="B1920">
            <v>40050295</v>
          </cell>
          <cell r="C1920" t="str">
            <v>*GNo1Lime&amp;Aloe100gPO5M104P36EstS40</v>
          </cell>
          <cell r="D1920">
            <v>0</v>
          </cell>
          <cell r="E1920">
            <v>0</v>
          </cell>
          <cell r="F1920">
            <v>0</v>
          </cell>
        </row>
        <row r="1921">
          <cell r="B1921">
            <v>40050693</v>
          </cell>
          <cell r="C1921" t="str">
            <v>*GN1LIME&amp;ALO100GPO5M104P36ESTNDSGN</v>
          </cell>
          <cell r="D1921">
            <v>0</v>
          </cell>
          <cell r="E1921">
            <v>0</v>
          </cell>
          <cell r="F1921">
            <v>0</v>
          </cell>
        </row>
        <row r="1922">
          <cell r="B1922">
            <v>40057266</v>
          </cell>
          <cell r="C1922" t="str">
            <v>*GN1LIM&amp;ALOE100GPO5M110P36ESTNDSGN</v>
          </cell>
          <cell r="D1922">
            <v>0</v>
          </cell>
          <cell r="E1922">
            <v>0</v>
          </cell>
          <cell r="F1922">
            <v>0</v>
          </cell>
        </row>
        <row r="1923">
          <cell r="B1923">
            <v>40057852</v>
          </cell>
          <cell r="C1923" t="str">
            <v>GN1 LIM&amp;ALOE 100G PO5 M115 P36 EST NDSGN</v>
          </cell>
          <cell r="D1923">
            <v>0</v>
          </cell>
          <cell r="E1923">
            <v>0</v>
          </cell>
          <cell r="F1923">
            <v>0</v>
          </cell>
        </row>
        <row r="1924">
          <cell r="B1924">
            <v>40058423</v>
          </cell>
          <cell r="C1924" t="str">
            <v>GN1 LIM&amp;ALOE 100G PO5 M115 P36 EST RSTRD</v>
          </cell>
          <cell r="D1924">
            <v>0</v>
          </cell>
          <cell r="E1924">
            <v>0</v>
          </cell>
          <cell r="F1924">
            <v>0</v>
          </cell>
        </row>
        <row r="1925">
          <cell r="B1925">
            <v>40059746</v>
          </cell>
          <cell r="C1925" t="str">
            <v>*GN1LIM&amp;ALOE100GPO5M130P36ESTNDSGN</v>
          </cell>
          <cell r="D1925">
            <v>0</v>
          </cell>
          <cell r="E1925">
            <v>0</v>
          </cell>
          <cell r="F1925">
            <v>0</v>
          </cell>
        </row>
        <row r="1926">
          <cell r="B1926">
            <v>40058682</v>
          </cell>
          <cell r="C1926" t="str">
            <v>*NO1 LIME&amp;ALO 100G P5 M145 P36 RI RSTRD</v>
          </cell>
          <cell r="D1926">
            <v>0</v>
          </cell>
          <cell r="E1926">
            <v>0</v>
          </cell>
          <cell r="F1926">
            <v>0</v>
          </cell>
        </row>
        <row r="1927">
          <cell r="B1927">
            <v>40062511</v>
          </cell>
          <cell r="C1927" t="str">
            <v>NO1 LIME&amp;ALO 100GP5 M120 P36 RSTRD NF</v>
          </cell>
          <cell r="D1927">
            <v>0</v>
          </cell>
          <cell r="E1927">
            <v>0</v>
          </cell>
          <cell r="F1927">
            <v>0</v>
          </cell>
        </row>
        <row r="1928">
          <cell r="B1928">
            <v>40063439</v>
          </cell>
          <cell r="C1928" t="str">
            <v>NO1 LIME&amp;ALO 100GP5 M125 P36 ROIRSTRD NF</v>
          </cell>
          <cell r="D1928">
            <v>0</v>
          </cell>
          <cell r="E1928">
            <v>0</v>
          </cell>
          <cell r="F1928">
            <v>0</v>
          </cell>
        </row>
        <row r="1929">
          <cell r="B1929">
            <v>40060803</v>
          </cell>
          <cell r="C1929" t="str">
            <v>NO1LIME&amp;AV 47G PO3 M30 P72 ND RSTRD NF</v>
          </cell>
          <cell r="D1929">
            <v>0</v>
          </cell>
          <cell r="E1929">
            <v>0</v>
          </cell>
          <cell r="F1929">
            <v>0</v>
          </cell>
        </row>
        <row r="1930">
          <cell r="B1930">
            <v>40063285</v>
          </cell>
          <cell r="C1930" t="str">
            <v>NO1LIME&amp;AV 47G PO3 M30 P72 ND RSTRD NF2</v>
          </cell>
          <cell r="D1930">
            <v>0</v>
          </cell>
          <cell r="E1930">
            <v>0</v>
          </cell>
          <cell r="F1930">
            <v>0</v>
          </cell>
        </row>
        <row r="1931">
          <cell r="B1931">
            <v>40064950</v>
          </cell>
          <cell r="C1931" t="str">
            <v>NO1LIME&amp;AV 47G PO3 M30 P100 RSTRDNF2</v>
          </cell>
          <cell r="D1931">
            <v>0</v>
          </cell>
          <cell r="E1931">
            <v>0</v>
          </cell>
          <cell r="F1931">
            <v>0</v>
          </cell>
        </row>
        <row r="1932">
          <cell r="B1932">
            <v>40015167</v>
          </cell>
          <cell r="C1932" t="str">
            <v>*No1 Lim &amp;Aloe 70g PO4 P54 M40FreeFcwsh</v>
          </cell>
          <cell r="D1932">
            <v>0</v>
          </cell>
          <cell r="E1932">
            <v>0</v>
          </cell>
          <cell r="F1932">
            <v>0</v>
          </cell>
        </row>
        <row r="1933">
          <cell r="B1933">
            <v>40019347</v>
          </cell>
          <cell r="C1933" t="str">
            <v>*No1Lime&amp;AV63gPO4M40P54</v>
          </cell>
          <cell r="D1933">
            <v>0</v>
          </cell>
          <cell r="E1933">
            <v>0</v>
          </cell>
          <cell r="F1933">
            <v>0</v>
          </cell>
        </row>
        <row r="1934">
          <cell r="B1934">
            <v>40032418</v>
          </cell>
          <cell r="C1934" t="str">
            <v>*No1 Lime&amp;AV 53g PO4 M40 P54</v>
          </cell>
          <cell r="D1934">
            <v>0</v>
          </cell>
          <cell r="E1934">
            <v>0</v>
          </cell>
          <cell r="F1934">
            <v>0</v>
          </cell>
        </row>
        <row r="1935">
          <cell r="B1935">
            <v>40035694</v>
          </cell>
          <cell r="C1935" t="str">
            <v>*No1 Lime &amp; AV 47g PO4 M40 P54 New</v>
          </cell>
          <cell r="D1935">
            <v>0</v>
          </cell>
          <cell r="E1935">
            <v>0</v>
          </cell>
          <cell r="F1935">
            <v>0</v>
          </cell>
        </row>
        <row r="1936">
          <cell r="B1936">
            <v>40036197</v>
          </cell>
          <cell r="C1936" t="str">
            <v>*No1 Lime&amp;AV 50g PO4 M40 P54 NEW</v>
          </cell>
          <cell r="D1936">
            <v>0</v>
          </cell>
          <cell r="E1936">
            <v>0</v>
          </cell>
          <cell r="F1936">
            <v>0</v>
          </cell>
        </row>
        <row r="1937">
          <cell r="B1937">
            <v>40036398</v>
          </cell>
          <cell r="C1937" t="str">
            <v>*No1 Lime &amp; AV 45g PO4 M40 P54 New</v>
          </cell>
          <cell r="D1937">
            <v>0</v>
          </cell>
          <cell r="E1937">
            <v>0</v>
          </cell>
          <cell r="F1937">
            <v>0</v>
          </cell>
        </row>
        <row r="1938">
          <cell r="B1938">
            <v>40038286</v>
          </cell>
          <cell r="C1938" t="str">
            <v>*No1 Lime &amp; AV 47g PO4 M40 P54 N</v>
          </cell>
          <cell r="D1938">
            <v>0</v>
          </cell>
          <cell r="E1938">
            <v>0</v>
          </cell>
          <cell r="F1938">
            <v>0</v>
          </cell>
        </row>
        <row r="1939">
          <cell r="B1939">
            <v>40042770</v>
          </cell>
          <cell r="C1939" t="str">
            <v>*No1 Lime &amp; AV 53g PO4 M40 P54 New</v>
          </cell>
          <cell r="D1939">
            <v>0</v>
          </cell>
          <cell r="E1939">
            <v>0</v>
          </cell>
          <cell r="F1939">
            <v>0</v>
          </cell>
        </row>
        <row r="1940">
          <cell r="B1940">
            <v>40056270</v>
          </cell>
          <cell r="C1940" t="str">
            <v>*NO1 LIME &amp; AV 47G PO4 M40 P54 OSND</v>
          </cell>
          <cell r="D1940">
            <v>0</v>
          </cell>
          <cell r="E1940">
            <v>0</v>
          </cell>
          <cell r="F1940">
            <v>0</v>
          </cell>
        </row>
        <row r="1941">
          <cell r="B1941">
            <v>40058418</v>
          </cell>
          <cell r="C1941" t="str">
            <v>NO1 LIME &amp; AV 43G PO4 M40 P54 RSTRD</v>
          </cell>
          <cell r="D1941">
            <v>0</v>
          </cell>
          <cell r="E1941">
            <v>0</v>
          </cell>
          <cell r="F1941">
            <v>0</v>
          </cell>
        </row>
        <row r="1942">
          <cell r="B1942">
            <v>40060084</v>
          </cell>
          <cell r="C1942" t="str">
            <v>*NO1 LIME &amp; AV 40GM PO4 M40 P54 RSTRD T2</v>
          </cell>
          <cell r="D1942">
            <v>0</v>
          </cell>
          <cell r="E1942">
            <v>0</v>
          </cell>
          <cell r="F1942">
            <v>0</v>
          </cell>
        </row>
        <row r="1943">
          <cell r="B1943">
            <v>40060789</v>
          </cell>
          <cell r="C1943" t="str">
            <v>NO1 LIME &amp; AV 45G PO4 M40 P54 RSTRD</v>
          </cell>
          <cell r="D1943">
            <v>0</v>
          </cell>
          <cell r="E1943">
            <v>0</v>
          </cell>
          <cell r="F1943">
            <v>0</v>
          </cell>
        </row>
        <row r="1944">
          <cell r="B1944">
            <v>40060804</v>
          </cell>
          <cell r="C1944" t="str">
            <v>NO1 LIME &amp; AV 43G PO4 M40 P54 RSTRD NF</v>
          </cell>
          <cell r="D1944">
            <v>0</v>
          </cell>
          <cell r="E1944">
            <v>0</v>
          </cell>
          <cell r="F1944">
            <v>0</v>
          </cell>
        </row>
        <row r="1945">
          <cell r="B1945">
            <v>40061704</v>
          </cell>
          <cell r="C1945" t="str">
            <v>NO1 LIME &amp; AV 45G PO4 M40 P54 RSTRD NF</v>
          </cell>
          <cell r="D1945">
            <v>0</v>
          </cell>
          <cell r="E1945">
            <v>0</v>
          </cell>
          <cell r="F1945">
            <v>0</v>
          </cell>
        </row>
        <row r="1946">
          <cell r="B1946">
            <v>40063197</v>
          </cell>
          <cell r="C1946" t="str">
            <v>NO1 LIME &amp; AV 43G PO4 M40 P54 RSTRD NF2</v>
          </cell>
          <cell r="D1946">
            <v>0</v>
          </cell>
          <cell r="E1946">
            <v>0</v>
          </cell>
          <cell r="F1946">
            <v>0</v>
          </cell>
        </row>
        <row r="1947">
          <cell r="B1947">
            <v>40031483</v>
          </cell>
          <cell r="C1947" t="str">
            <v>*No1 57g PO4 Lime&amp;AV M40 P54 NEW</v>
          </cell>
          <cell r="D1947">
            <v>0</v>
          </cell>
          <cell r="E1947">
            <v>0</v>
          </cell>
          <cell r="F1947">
            <v>0</v>
          </cell>
        </row>
        <row r="1948">
          <cell r="B1948">
            <v>40038295</v>
          </cell>
          <cell r="C1948" t="str">
            <v>*No1 Lime&amp;AV 53g PO4 M40 P54 N</v>
          </cell>
          <cell r="D1948">
            <v>0</v>
          </cell>
          <cell r="E1948">
            <v>0</v>
          </cell>
          <cell r="F1948">
            <v>0</v>
          </cell>
        </row>
        <row r="1949">
          <cell r="B1949">
            <v>40042851</v>
          </cell>
          <cell r="C1949" t="str">
            <v>*No1 Lime&amp;AV 57g PO4 M40 P54 N</v>
          </cell>
          <cell r="D1949">
            <v>0</v>
          </cell>
          <cell r="E1949">
            <v>0</v>
          </cell>
          <cell r="F1949">
            <v>0</v>
          </cell>
        </row>
        <row r="1950">
          <cell r="B1950">
            <v>40049919</v>
          </cell>
          <cell r="C1950" t="str">
            <v>*No1 Lime&amp;AV 55g PO4 M40 P54 N</v>
          </cell>
          <cell r="D1950">
            <v>0</v>
          </cell>
          <cell r="E1950">
            <v>0</v>
          </cell>
          <cell r="F1950">
            <v>0</v>
          </cell>
        </row>
        <row r="1951">
          <cell r="B1951">
            <v>40050685</v>
          </cell>
          <cell r="C1951" t="str">
            <v>*NO1 LIME&amp;AV 55G PO4 M40 P54 (ND)</v>
          </cell>
          <cell r="D1951">
            <v>0</v>
          </cell>
          <cell r="E1951">
            <v>0</v>
          </cell>
          <cell r="F1951">
            <v>0</v>
          </cell>
        </row>
        <row r="1952">
          <cell r="B1952">
            <v>40056310</v>
          </cell>
          <cell r="C1952" t="str">
            <v>*NO1 LIME&amp;AV 53G PO4 M40 P54 C ND</v>
          </cell>
          <cell r="D1952">
            <v>0</v>
          </cell>
          <cell r="E1952">
            <v>0</v>
          </cell>
          <cell r="F1952">
            <v>0</v>
          </cell>
        </row>
        <row r="1953">
          <cell r="B1953">
            <v>40057930</v>
          </cell>
          <cell r="C1953" t="str">
            <v>*NO1 LIME&amp;AV 49G PO4 M40 P54 C ND</v>
          </cell>
          <cell r="D1953">
            <v>0</v>
          </cell>
          <cell r="E1953">
            <v>0</v>
          </cell>
          <cell r="F1953">
            <v>0</v>
          </cell>
        </row>
        <row r="1954">
          <cell r="B1954">
            <v>40058809</v>
          </cell>
          <cell r="C1954" t="str">
            <v>*NO1 LIME&amp;AV 47G PO4 M40 P54 C R.STRD</v>
          </cell>
          <cell r="D1954">
            <v>0</v>
          </cell>
          <cell r="E1954">
            <v>0</v>
          </cell>
          <cell r="F1954">
            <v>0</v>
          </cell>
        </row>
        <row r="1955">
          <cell r="B1955">
            <v>40060845</v>
          </cell>
          <cell r="C1955" t="str">
            <v>NO1 LIME&amp;AV 47G PO4 M40 P54 C R.STRD NF</v>
          </cell>
          <cell r="D1955">
            <v>0</v>
          </cell>
          <cell r="E1955">
            <v>0</v>
          </cell>
          <cell r="F1955">
            <v>0</v>
          </cell>
        </row>
        <row r="1956">
          <cell r="B1956">
            <v>40063279</v>
          </cell>
          <cell r="C1956" t="str">
            <v>NO1 LIME&amp;AV 47G PO4 M40 P54 C RSTRD NF2</v>
          </cell>
          <cell r="D1956">
            <v>0</v>
          </cell>
          <cell r="E1956">
            <v>0</v>
          </cell>
          <cell r="F1956">
            <v>0</v>
          </cell>
        </row>
        <row r="1957">
          <cell r="B1957">
            <v>40063649</v>
          </cell>
          <cell r="C1957" t="str">
            <v>NO1 LIME&amp;AV 43G PO4 M40 P54 C RSTRD NF</v>
          </cell>
          <cell r="D1957">
            <v>0</v>
          </cell>
          <cell r="E1957">
            <v>0</v>
          </cell>
          <cell r="F1957">
            <v>0</v>
          </cell>
        </row>
        <row r="1958">
          <cell r="B1958">
            <v>40064924</v>
          </cell>
          <cell r="C1958" t="str">
            <v>NO1 LIME&amp;AV 47G PO4 M40 P75 C RSTRD NF2</v>
          </cell>
          <cell r="D1958">
            <v>0</v>
          </cell>
          <cell r="E1958">
            <v>0</v>
          </cell>
          <cell r="F1958">
            <v>0</v>
          </cell>
        </row>
        <row r="1959">
          <cell r="B1959">
            <v>40024240</v>
          </cell>
          <cell r="C1959" t="str">
            <v>*No1 50g Lime&amp;AV PO4M30P50</v>
          </cell>
          <cell r="D1959">
            <v>0</v>
          </cell>
          <cell r="E1959">
            <v>0</v>
          </cell>
          <cell r="F1959">
            <v>0</v>
          </cell>
        </row>
        <row r="1960">
          <cell r="B1960">
            <v>40041380</v>
          </cell>
          <cell r="C1960" t="str">
            <v>*No1 Lime &amp; AV 47g PO4 M30 P54 N</v>
          </cell>
          <cell r="D1960">
            <v>0</v>
          </cell>
          <cell r="E1960">
            <v>0</v>
          </cell>
          <cell r="F1960">
            <v>0</v>
          </cell>
        </row>
        <row r="1961">
          <cell r="B1961">
            <v>40041585</v>
          </cell>
          <cell r="C1961" t="str">
            <v>*No1 Lime &amp; AV 47g PO4 M30 P72 Tst</v>
          </cell>
          <cell r="D1961">
            <v>0</v>
          </cell>
          <cell r="E1961">
            <v>0</v>
          </cell>
          <cell r="F1961">
            <v>0</v>
          </cell>
        </row>
        <row r="1962">
          <cell r="B1962">
            <v>40043153</v>
          </cell>
          <cell r="C1962" t="str">
            <v>*No1 Lime &amp; AV 30g P240 M 5(Polybag)Liq</v>
          </cell>
          <cell r="D1962">
            <v>0</v>
          </cell>
          <cell r="E1962">
            <v>0</v>
          </cell>
          <cell r="F1962">
            <v>0</v>
          </cell>
        </row>
        <row r="1963">
          <cell r="B1963">
            <v>40043984</v>
          </cell>
          <cell r="C1963" t="str">
            <v>*No1 Lime &amp; AV 51g PO5 M40 P54 N</v>
          </cell>
          <cell r="D1963">
            <v>0</v>
          </cell>
          <cell r="E1963">
            <v>0</v>
          </cell>
          <cell r="F1963">
            <v>0</v>
          </cell>
        </row>
        <row r="1964">
          <cell r="B1964">
            <v>40056266</v>
          </cell>
          <cell r="C1964" t="str">
            <v>*NO1 LIME &amp; AV 47G PO5 M40 P54 OSND</v>
          </cell>
          <cell r="D1964">
            <v>0</v>
          </cell>
          <cell r="E1964">
            <v>0</v>
          </cell>
          <cell r="F1964">
            <v>0</v>
          </cell>
        </row>
        <row r="1965">
          <cell r="B1965">
            <v>40058017</v>
          </cell>
          <cell r="C1965" t="str">
            <v>*NO1 LIME &amp; AV 43G PO5 M40 P54 ND</v>
          </cell>
          <cell r="D1965">
            <v>0</v>
          </cell>
          <cell r="E1965">
            <v>0</v>
          </cell>
          <cell r="F1965">
            <v>0</v>
          </cell>
        </row>
        <row r="1966">
          <cell r="B1966">
            <v>40029556</v>
          </cell>
          <cell r="C1966" t="str">
            <v>*No1 Lime&amp;AV 57g M10 P216 Poly ROI</v>
          </cell>
          <cell r="D1966">
            <v>0</v>
          </cell>
          <cell r="E1966">
            <v>0</v>
          </cell>
          <cell r="F1966">
            <v>0</v>
          </cell>
        </row>
        <row r="1967">
          <cell r="B1967">
            <v>40032735</v>
          </cell>
          <cell r="C1967" t="str">
            <v>*No1LimeandAloe53gM10P216PolyEast</v>
          </cell>
          <cell r="D1967">
            <v>0</v>
          </cell>
          <cell r="E1967">
            <v>0</v>
          </cell>
          <cell r="F1967">
            <v>0</v>
          </cell>
        </row>
        <row r="1968">
          <cell r="B1968">
            <v>40036050</v>
          </cell>
          <cell r="C1968" t="str">
            <v>*No1 Lime &amp; Aloe 47g M10 P216 Poly N (E)</v>
          </cell>
          <cell r="D1968">
            <v>0</v>
          </cell>
          <cell r="E1968">
            <v>0</v>
          </cell>
          <cell r="F1968">
            <v>0</v>
          </cell>
        </row>
        <row r="1969">
          <cell r="B1969">
            <v>40036396</v>
          </cell>
          <cell r="C1969" t="str">
            <v>*No1 Lime &amp; Aloe 45g M10 P216 Poly N ROI</v>
          </cell>
          <cell r="D1969">
            <v>0</v>
          </cell>
          <cell r="E1969">
            <v>0</v>
          </cell>
          <cell r="F1969">
            <v>0</v>
          </cell>
        </row>
        <row r="1970">
          <cell r="B1970">
            <v>40038429</v>
          </cell>
          <cell r="C1970" t="str">
            <v>*No1 Lime &amp; Aloe 47g M10 P216 Poly E</v>
          </cell>
          <cell r="D1970">
            <v>0</v>
          </cell>
          <cell r="E1970">
            <v>0</v>
          </cell>
          <cell r="F1970">
            <v>0</v>
          </cell>
        </row>
        <row r="1971">
          <cell r="B1971">
            <v>40042768</v>
          </cell>
          <cell r="C1971" t="str">
            <v>*No1 Lime &amp; Aloe 53g M10 P216 Poly N ROI</v>
          </cell>
          <cell r="D1971">
            <v>0</v>
          </cell>
          <cell r="E1971">
            <v>0</v>
          </cell>
          <cell r="F1971">
            <v>0</v>
          </cell>
        </row>
        <row r="1972">
          <cell r="B1972">
            <v>40049950</v>
          </cell>
          <cell r="C1972" t="str">
            <v>*No1 Lime and Aloe 51g M10 P216 Owrp</v>
          </cell>
          <cell r="D1972">
            <v>0</v>
          </cell>
          <cell r="E1972">
            <v>0</v>
          </cell>
          <cell r="F1972">
            <v>0</v>
          </cell>
        </row>
        <row r="1973">
          <cell r="B1973">
            <v>40056268</v>
          </cell>
          <cell r="C1973" t="str">
            <v>*NO1 LIME &amp; ALOE 47G M10 P216 POLY OSND</v>
          </cell>
          <cell r="D1973">
            <v>0</v>
          </cell>
          <cell r="E1973">
            <v>0</v>
          </cell>
          <cell r="F1973">
            <v>0</v>
          </cell>
        </row>
        <row r="1974">
          <cell r="B1974">
            <v>40058424</v>
          </cell>
          <cell r="C1974" t="str">
            <v>*NO1 LIME &amp; ALOE 43G M10 P216 POLY RSTRD</v>
          </cell>
          <cell r="D1974">
            <v>0</v>
          </cell>
          <cell r="E1974">
            <v>0</v>
          </cell>
          <cell r="F1974">
            <v>0</v>
          </cell>
        </row>
        <row r="1975">
          <cell r="B1975">
            <v>40058534</v>
          </cell>
          <cell r="C1975" t="str">
            <v>*NO1 LIME &amp; ALOE 43G M10 P216 SING ND</v>
          </cell>
          <cell r="D1975">
            <v>0</v>
          </cell>
          <cell r="E1975">
            <v>0</v>
          </cell>
          <cell r="F1975">
            <v>0</v>
          </cell>
        </row>
        <row r="1976">
          <cell r="B1976">
            <v>40058535</v>
          </cell>
          <cell r="C1976" t="str">
            <v>NO1 LIME &amp; ALOE 43G M10 P216 SING RSTRD</v>
          </cell>
          <cell r="D1976">
            <v>0</v>
          </cell>
          <cell r="E1976">
            <v>0</v>
          </cell>
          <cell r="F1976">
            <v>0</v>
          </cell>
        </row>
        <row r="1977">
          <cell r="B1977">
            <v>40060846</v>
          </cell>
          <cell r="C1977" t="str">
            <v>NO1LIME&amp;ALOE 43G M10 P216 POLY RSTRD NF</v>
          </cell>
          <cell r="D1977">
            <v>0</v>
          </cell>
          <cell r="E1977">
            <v>0</v>
          </cell>
          <cell r="F1977">
            <v>0</v>
          </cell>
        </row>
        <row r="1978">
          <cell r="B1978">
            <v>40058269</v>
          </cell>
          <cell r="C1978" t="str">
            <v>*NO1LIME&amp;ALOE43GM10P216POLYSNDINST</v>
          </cell>
          <cell r="D1978">
            <v>0</v>
          </cell>
          <cell r="E1978">
            <v>0</v>
          </cell>
          <cell r="F1978">
            <v>0</v>
          </cell>
        </row>
        <row r="1979">
          <cell r="B1979">
            <v>40036914</v>
          </cell>
          <cell r="C1979" t="str">
            <v>*No1 Lime&amp;AV 125g PO4 M140 P30 New</v>
          </cell>
          <cell r="D1979">
            <v>0</v>
          </cell>
          <cell r="E1979">
            <v>0</v>
          </cell>
          <cell r="F1979">
            <v>0</v>
          </cell>
        </row>
        <row r="1980">
          <cell r="B1980">
            <v>40050541</v>
          </cell>
          <cell r="C1980" t="str">
            <v>*NO1LIME&amp;AV 125G PO4 M130.00 P30 N</v>
          </cell>
          <cell r="D1980">
            <v>0</v>
          </cell>
          <cell r="E1980">
            <v>0</v>
          </cell>
          <cell r="F1980">
            <v>0</v>
          </cell>
        </row>
        <row r="1981">
          <cell r="B1981">
            <v>40050674</v>
          </cell>
          <cell r="C1981" t="str">
            <v>*NO1 LIME&amp;AV 125G PO4 M130.00 P30 ND</v>
          </cell>
          <cell r="D1981">
            <v>0</v>
          </cell>
          <cell r="E1981">
            <v>0</v>
          </cell>
          <cell r="F1981">
            <v>0</v>
          </cell>
        </row>
        <row r="1982">
          <cell r="B1982">
            <v>40060215</v>
          </cell>
          <cell r="C1982" t="str">
            <v>NO1 LIME&amp;AV 125G PO4 M120 P30 ND</v>
          </cell>
          <cell r="D1982">
            <v>0</v>
          </cell>
          <cell r="E1982">
            <v>0</v>
          </cell>
          <cell r="F1982">
            <v>0</v>
          </cell>
        </row>
        <row r="1983">
          <cell r="B1983">
            <v>40060847</v>
          </cell>
          <cell r="C1983" t="str">
            <v>NO1LIME&amp;AV 125G PO4 M120 P30 RSTRD NF</v>
          </cell>
          <cell r="D1983">
            <v>0</v>
          </cell>
          <cell r="E1983">
            <v>0</v>
          </cell>
          <cell r="F1983">
            <v>0</v>
          </cell>
        </row>
        <row r="1984">
          <cell r="B1984">
            <v>40063609</v>
          </cell>
          <cell r="C1984" t="str">
            <v>NO1LIME&amp;AV 125G PO4 M125 P30 RSTRD NF</v>
          </cell>
          <cell r="D1984">
            <v>0</v>
          </cell>
          <cell r="E1984">
            <v>0</v>
          </cell>
          <cell r="F1984">
            <v>0</v>
          </cell>
        </row>
        <row r="1985">
          <cell r="B1985">
            <v>40064158</v>
          </cell>
          <cell r="C1985" t="str">
            <v>NO1LIME&amp;AV 125G PO4 M115 P30 RSTRD NF</v>
          </cell>
          <cell r="D1985">
            <v>0</v>
          </cell>
          <cell r="E1985">
            <v>0</v>
          </cell>
          <cell r="F1985">
            <v>0</v>
          </cell>
        </row>
        <row r="1986">
          <cell r="B1986">
            <v>40034666</v>
          </cell>
          <cell r="C1986" t="str">
            <v>*No1LimeAloe150gB3G1FM159P24-MT(4+1)</v>
          </cell>
          <cell r="D1986">
            <v>0</v>
          </cell>
          <cell r="E1986">
            <v>0</v>
          </cell>
          <cell r="F1986">
            <v>0</v>
          </cell>
        </row>
        <row r="1987">
          <cell r="B1987">
            <v>40034715</v>
          </cell>
          <cell r="C1987" t="str">
            <v>*No1LimeAloe150gB3G1FM159P24-GT(New)</v>
          </cell>
          <cell r="D1987">
            <v>0</v>
          </cell>
          <cell r="E1987">
            <v>0</v>
          </cell>
          <cell r="F1987">
            <v>0</v>
          </cell>
        </row>
        <row r="1988">
          <cell r="B1988">
            <v>40036107</v>
          </cell>
          <cell r="C1988" t="str">
            <v>*No1LimeAloe150gB3G1FM189P24-MT(New)</v>
          </cell>
          <cell r="D1988">
            <v>0</v>
          </cell>
          <cell r="E1988">
            <v>0</v>
          </cell>
          <cell r="F1988">
            <v>0</v>
          </cell>
        </row>
        <row r="1989">
          <cell r="B1989">
            <v>40036421</v>
          </cell>
          <cell r="C1989" t="str">
            <v>*No1LimAlo150gB3G1FM189P24MT(Nw)4+1FREE</v>
          </cell>
          <cell r="D1989">
            <v>0</v>
          </cell>
          <cell r="E1989">
            <v>0</v>
          </cell>
          <cell r="F1989">
            <v>0</v>
          </cell>
        </row>
        <row r="1990">
          <cell r="B1990">
            <v>40036434</v>
          </cell>
          <cell r="C1990" t="str">
            <v>*No1LimeAloe150gB3G1FM189P24-GT(New)</v>
          </cell>
          <cell r="D1990">
            <v>0</v>
          </cell>
          <cell r="E1990">
            <v>0</v>
          </cell>
          <cell r="F1990">
            <v>0</v>
          </cell>
        </row>
        <row r="1991">
          <cell r="B1991">
            <v>40039233</v>
          </cell>
          <cell r="C1991" t="str">
            <v>*No1LimeAloe150gB3G1FM175P24-MT(New)</v>
          </cell>
          <cell r="D1991">
            <v>0</v>
          </cell>
          <cell r="E1991">
            <v>0</v>
          </cell>
          <cell r="F1991">
            <v>0</v>
          </cell>
        </row>
        <row r="1992">
          <cell r="B1992">
            <v>40041710</v>
          </cell>
          <cell r="C1992" t="str">
            <v>*No1 LimeAloe 150g B3G1F M175 P24-GT4+1</v>
          </cell>
          <cell r="D1992">
            <v>0</v>
          </cell>
          <cell r="E1992">
            <v>0</v>
          </cell>
          <cell r="F1992">
            <v>0</v>
          </cell>
        </row>
        <row r="1993">
          <cell r="B1993">
            <v>40041711</v>
          </cell>
          <cell r="C1993" t="str">
            <v>*No1LimeAloe150gB3G1FM175P24FreeSKU</v>
          </cell>
          <cell r="D1993">
            <v>0</v>
          </cell>
          <cell r="E1993">
            <v>0</v>
          </cell>
          <cell r="F1993">
            <v>0</v>
          </cell>
        </row>
        <row r="1994">
          <cell r="B1994">
            <v>40050699</v>
          </cell>
          <cell r="C1994" t="str">
            <v>*NO1 LIMALO 150G B3G1F M175 P24-MT NDSGN</v>
          </cell>
          <cell r="D1994">
            <v>0</v>
          </cell>
          <cell r="E1994">
            <v>0</v>
          </cell>
          <cell r="F1994">
            <v>0</v>
          </cell>
        </row>
        <row r="1995">
          <cell r="B1995">
            <v>40056902</v>
          </cell>
          <cell r="C1995" t="str">
            <v>*NO1 LIMALO 150G B3G1F M185 P24-MT NDSGN</v>
          </cell>
          <cell r="D1995">
            <v>0</v>
          </cell>
          <cell r="E1995">
            <v>0</v>
          </cell>
          <cell r="F1995">
            <v>0</v>
          </cell>
        </row>
        <row r="1996">
          <cell r="B1996">
            <v>40057224</v>
          </cell>
          <cell r="C1996" t="str">
            <v>*NO1LIMEALOE150GB3G1FM185P24FREE-MT</v>
          </cell>
          <cell r="D1996">
            <v>0</v>
          </cell>
          <cell r="E1996">
            <v>0</v>
          </cell>
          <cell r="F1996">
            <v>0</v>
          </cell>
        </row>
        <row r="1997">
          <cell r="B1997">
            <v>40059156</v>
          </cell>
          <cell r="C1997" t="str">
            <v>NO1 LIMEALOE 150G B3G1F M190 P24 FREE-MT</v>
          </cell>
          <cell r="D1997">
            <v>0</v>
          </cell>
          <cell r="E1997">
            <v>0</v>
          </cell>
          <cell r="F1997">
            <v>0</v>
          </cell>
        </row>
        <row r="1998">
          <cell r="B1998">
            <v>40059158</v>
          </cell>
          <cell r="C1998" t="str">
            <v>NO1 LIMALO 150G B3G1F M190 P24-MT (4+1)</v>
          </cell>
          <cell r="D1998">
            <v>0</v>
          </cell>
          <cell r="E1998">
            <v>0</v>
          </cell>
          <cell r="F1998">
            <v>0</v>
          </cell>
        </row>
        <row r="1999">
          <cell r="B1999">
            <v>40060036</v>
          </cell>
          <cell r="C1999" t="str">
            <v>*NO1 LIMALO 150G B3G1F M210 P24-MT (4+1)</v>
          </cell>
          <cell r="D1999">
            <v>0</v>
          </cell>
          <cell r="E1999">
            <v>0</v>
          </cell>
          <cell r="F1999">
            <v>0</v>
          </cell>
        </row>
        <row r="2000">
          <cell r="B2000">
            <v>40060848</v>
          </cell>
          <cell r="C2000" t="str">
            <v>NO1 LIMALO 150G PO4 M190P24-MT RSTRDNF</v>
          </cell>
          <cell r="D2000">
            <v>0</v>
          </cell>
          <cell r="E2000">
            <v>0</v>
          </cell>
          <cell r="F2000">
            <v>0</v>
          </cell>
        </row>
        <row r="2001">
          <cell r="B2001">
            <v>40062914</v>
          </cell>
          <cell r="C2001" t="str">
            <v>NO1LIMALO 150G B3G1F M175 P24MT RSTRD NF</v>
          </cell>
          <cell r="D2001">
            <v>0</v>
          </cell>
          <cell r="E2001">
            <v>0</v>
          </cell>
          <cell r="F2001">
            <v>0</v>
          </cell>
        </row>
        <row r="2002">
          <cell r="B2002">
            <v>40063622</v>
          </cell>
          <cell r="C2002" t="str">
            <v>NO1LIMALO 150G B3G1F M175 P24 MT NF FRW</v>
          </cell>
          <cell r="D2002">
            <v>0</v>
          </cell>
          <cell r="E2002">
            <v>0</v>
          </cell>
          <cell r="F2002">
            <v>0</v>
          </cell>
        </row>
        <row r="2003">
          <cell r="B2003">
            <v>40063678</v>
          </cell>
          <cell r="C2003" t="str">
            <v>NO1LIMALO150G B3G1F M175 P24 MT RSTRD NF</v>
          </cell>
          <cell r="D2003">
            <v>0</v>
          </cell>
          <cell r="E2003">
            <v>0</v>
          </cell>
          <cell r="F2003">
            <v>0</v>
          </cell>
        </row>
        <row r="2004">
          <cell r="B2004">
            <v>40035542</v>
          </cell>
          <cell r="C2004" t="str">
            <v>*No1Lime&amp;Aloe150gSinglesM34P72New</v>
          </cell>
          <cell r="D2004">
            <v>0</v>
          </cell>
          <cell r="E2004">
            <v>0</v>
          </cell>
          <cell r="F2004">
            <v>0</v>
          </cell>
        </row>
        <row r="2005">
          <cell r="B2005">
            <v>40019227</v>
          </cell>
          <cell r="C2005" t="str">
            <v>*No1Lime&amp;AV100gB3G1FM72P36-MT</v>
          </cell>
          <cell r="D2005">
            <v>0</v>
          </cell>
          <cell r="E2005">
            <v>0</v>
          </cell>
          <cell r="F2005">
            <v>0</v>
          </cell>
        </row>
        <row r="2006">
          <cell r="B2006">
            <v>40023210</v>
          </cell>
          <cell r="C2006" t="str">
            <v>*NO1150gx6Lime&amp;AloeVeraP16M150MCRT-MT</v>
          </cell>
          <cell r="D2006">
            <v>0</v>
          </cell>
          <cell r="E2006">
            <v>0</v>
          </cell>
          <cell r="F2006">
            <v>0</v>
          </cell>
        </row>
        <row r="2007">
          <cell r="B2007">
            <v>40041618</v>
          </cell>
          <cell r="C2007" t="str">
            <v>*No1 150gx6 Lime&amp;Aloe P16 M289  MCRT-MT</v>
          </cell>
          <cell r="D2007">
            <v>0</v>
          </cell>
          <cell r="E2007">
            <v>0</v>
          </cell>
          <cell r="F2007">
            <v>0</v>
          </cell>
        </row>
        <row r="2008">
          <cell r="B2008">
            <v>40050864</v>
          </cell>
          <cell r="C2008" t="str">
            <v>*NO1150GX6 LIME&amp;ALOEP16M289MCRT-MTND</v>
          </cell>
          <cell r="D2008">
            <v>0</v>
          </cell>
          <cell r="E2008">
            <v>0</v>
          </cell>
          <cell r="F2008">
            <v>0</v>
          </cell>
        </row>
        <row r="2009">
          <cell r="B2009">
            <v>40037421</v>
          </cell>
          <cell r="C2009" t="str">
            <v>*No1 Lime&amp;Aloe150gPO9 M419P10 EcomFK</v>
          </cell>
          <cell r="D2009">
            <v>0</v>
          </cell>
          <cell r="E2009">
            <v>0</v>
          </cell>
          <cell r="F2009">
            <v>0</v>
          </cell>
        </row>
        <row r="2010">
          <cell r="B2010">
            <v>40050799</v>
          </cell>
          <cell r="C2010" t="str">
            <v>*NO1 LIME&amp;ALOE150GPO9 M419P10 ECOMFK ND</v>
          </cell>
          <cell r="D2010">
            <v>0</v>
          </cell>
          <cell r="E2010">
            <v>0</v>
          </cell>
          <cell r="F2010">
            <v>0</v>
          </cell>
        </row>
        <row r="2011">
          <cell r="B2011">
            <v>40060247</v>
          </cell>
          <cell r="C2011" t="str">
            <v>NO1 LIME&amp;ALOE150GPO9 M400 P10 ECOMFK ND</v>
          </cell>
          <cell r="D2011">
            <v>0</v>
          </cell>
          <cell r="E2011">
            <v>0</v>
          </cell>
          <cell r="F2011">
            <v>0</v>
          </cell>
        </row>
        <row r="2012">
          <cell r="B2012">
            <v>40060462</v>
          </cell>
          <cell r="C2012" t="str">
            <v>NO1 LIME&amp;ALOE150GPO9 M380P10 ECOMFK ND</v>
          </cell>
          <cell r="D2012">
            <v>0</v>
          </cell>
          <cell r="E2012">
            <v>0</v>
          </cell>
          <cell r="F2012">
            <v>0</v>
          </cell>
        </row>
        <row r="2013">
          <cell r="B2013">
            <v>40061039</v>
          </cell>
          <cell r="C2013" t="str">
            <v>NO1 LIME&amp;ALO150GPO9M449P10ECOMFKND RSTRD</v>
          </cell>
          <cell r="D2013">
            <v>0</v>
          </cell>
          <cell r="E2013">
            <v>0</v>
          </cell>
          <cell r="F2013">
            <v>0</v>
          </cell>
        </row>
        <row r="2014">
          <cell r="B2014">
            <v>40061837</v>
          </cell>
          <cell r="C2014" t="str">
            <v>NO1 LIME&amp;ALOE150GPO9 M449P10 ECOMFK ND</v>
          </cell>
          <cell r="D2014">
            <v>0</v>
          </cell>
          <cell r="E2014">
            <v>0</v>
          </cell>
          <cell r="F2014">
            <v>0</v>
          </cell>
        </row>
        <row r="2015">
          <cell r="B2015">
            <v>40062028</v>
          </cell>
          <cell r="C2015" t="str">
            <v>NO1 ASSORTED PACK 150G PO5 M299 P12 MT</v>
          </cell>
          <cell r="D2015">
            <v>0</v>
          </cell>
          <cell r="E2015">
            <v>0</v>
          </cell>
          <cell r="F2015">
            <v>0</v>
          </cell>
        </row>
        <row r="2016">
          <cell r="B2016">
            <v>40063185</v>
          </cell>
          <cell r="C2016" t="str">
            <v>NO1 ASSORTEDPACK 150GPO5 M299P12 MTRSTRD</v>
          </cell>
          <cell r="D2016">
            <v>0</v>
          </cell>
          <cell r="E2016">
            <v>0</v>
          </cell>
          <cell r="F2016">
            <v>0</v>
          </cell>
        </row>
        <row r="2017">
          <cell r="B2017">
            <v>40063216</v>
          </cell>
          <cell r="C2017" t="str">
            <v>NO1 ASSORTED PACK 150G P5 M299 P12 MT FR</v>
          </cell>
          <cell r="D2017">
            <v>0</v>
          </cell>
          <cell r="E2017">
            <v>0</v>
          </cell>
          <cell r="F2017">
            <v>0</v>
          </cell>
        </row>
        <row r="2018">
          <cell r="B2018">
            <v>40064866</v>
          </cell>
          <cell r="C2018" t="str">
            <v>NO1ASSORTEDPCK 150GPO5M330P12 MTRSTRDNF2</v>
          </cell>
          <cell r="D2018">
            <v>0</v>
          </cell>
          <cell r="E2018">
            <v>0</v>
          </cell>
          <cell r="F2018">
            <v>0</v>
          </cell>
        </row>
        <row r="2019">
          <cell r="B2019">
            <v>40065147</v>
          </cell>
          <cell r="C2019" t="str">
            <v>NO1 ASSORTEDPACK 150GPO5 M330 P12 MT NLC</v>
          </cell>
          <cell r="D2019">
            <v>0</v>
          </cell>
          <cell r="E2019">
            <v>0</v>
          </cell>
          <cell r="F2019">
            <v>0</v>
          </cell>
        </row>
        <row r="2020">
          <cell r="B2020">
            <v>40065163</v>
          </cell>
          <cell r="C2020" t="str">
            <v>NO1 ASORPACK 150GPO5 M330 P12 MT NLC FRW</v>
          </cell>
          <cell r="D2020">
            <v>0</v>
          </cell>
          <cell r="E2020">
            <v>0</v>
          </cell>
          <cell r="F2020">
            <v>0</v>
          </cell>
        </row>
        <row r="2021">
          <cell r="B2021">
            <v>40013949</v>
          </cell>
          <cell r="C2021" t="str">
            <v>*No1 Lime&amp;AleoVera 100gB3G1 M68 PK32 CSD</v>
          </cell>
          <cell r="D2021">
            <v>0</v>
          </cell>
          <cell r="E2021">
            <v>0</v>
          </cell>
          <cell r="F2021">
            <v>0</v>
          </cell>
        </row>
        <row r="2022">
          <cell r="B2022">
            <v>40017612</v>
          </cell>
          <cell r="C2022" t="str">
            <v>*No1 Lime&amp;AleoVera 100gB3G1 M68 PK36 CSD</v>
          </cell>
          <cell r="D2022">
            <v>0</v>
          </cell>
          <cell r="E2022">
            <v>0</v>
          </cell>
          <cell r="F2022">
            <v>0</v>
          </cell>
        </row>
        <row r="2023">
          <cell r="B2023">
            <v>40019356</v>
          </cell>
          <cell r="C2023" t="str">
            <v>*No1Kesar&amp;MC63gPO4M40P54</v>
          </cell>
          <cell r="D2023">
            <v>0</v>
          </cell>
          <cell r="E2023">
            <v>0</v>
          </cell>
          <cell r="F2023">
            <v>0</v>
          </cell>
        </row>
        <row r="2024">
          <cell r="B2024">
            <v>40036378</v>
          </cell>
          <cell r="C2024" t="str">
            <v>*No1KesarMilkCream45gPO4M40P54New</v>
          </cell>
          <cell r="D2024">
            <v>0</v>
          </cell>
          <cell r="E2024">
            <v>0</v>
          </cell>
          <cell r="F2024">
            <v>0</v>
          </cell>
        </row>
        <row r="2025">
          <cell r="B2025">
            <v>40038273</v>
          </cell>
          <cell r="C2025" t="str">
            <v>*No1 Kesar Milk Cream 47g PO4 M40 P54 N</v>
          </cell>
          <cell r="D2025">
            <v>0</v>
          </cell>
          <cell r="E2025">
            <v>0</v>
          </cell>
          <cell r="F2025">
            <v>0</v>
          </cell>
        </row>
        <row r="2026">
          <cell r="B2026">
            <v>40049907</v>
          </cell>
          <cell r="C2026" t="str">
            <v>*No1 Kesar Milk Cream 51g PO4 M40 P54 N</v>
          </cell>
          <cell r="D2026">
            <v>0</v>
          </cell>
          <cell r="E2026">
            <v>0</v>
          </cell>
          <cell r="F2026">
            <v>0</v>
          </cell>
        </row>
        <row r="2027">
          <cell r="B2027">
            <v>40058411</v>
          </cell>
          <cell r="C2027" t="str">
            <v>*NO1 KESAR MLK CRM 43G PO4 M40 P54 RSTRD</v>
          </cell>
          <cell r="D2027">
            <v>0</v>
          </cell>
          <cell r="E2027">
            <v>0</v>
          </cell>
          <cell r="F2027">
            <v>0</v>
          </cell>
        </row>
        <row r="2028">
          <cell r="B2028">
            <v>40060852</v>
          </cell>
          <cell r="C2028" t="str">
            <v>NO1 KESAR MC 43G PO4 M40 P54 RSTRD NF</v>
          </cell>
          <cell r="D2028">
            <v>0</v>
          </cell>
          <cell r="E2028">
            <v>0</v>
          </cell>
          <cell r="F2028">
            <v>0</v>
          </cell>
        </row>
        <row r="2029">
          <cell r="B2029">
            <v>40061702</v>
          </cell>
          <cell r="C2029" t="str">
            <v>NO1 KESARMLK 45G PO4 M40 P54 RSTRD NF</v>
          </cell>
          <cell r="D2029">
            <v>0</v>
          </cell>
          <cell r="E2029">
            <v>0</v>
          </cell>
          <cell r="F2029">
            <v>0</v>
          </cell>
        </row>
        <row r="2030">
          <cell r="B2030">
            <v>40001970</v>
          </cell>
          <cell r="C2030" t="str">
            <v>*NO 1 SAFFRON MILK115G 32PKS B3G1F MRP52</v>
          </cell>
          <cell r="D2030">
            <v>0</v>
          </cell>
          <cell r="E2030">
            <v>0</v>
          </cell>
          <cell r="F2030">
            <v>0</v>
          </cell>
        </row>
        <row r="2031">
          <cell r="B2031">
            <v>40014129</v>
          </cell>
          <cell r="C2031" t="str">
            <v>*No1 Kesar100g B3G1F(NEW)M68P36</v>
          </cell>
          <cell r="D2031">
            <v>0</v>
          </cell>
          <cell r="E2031">
            <v>0</v>
          </cell>
          <cell r="F2031">
            <v>0</v>
          </cell>
        </row>
        <row r="2032">
          <cell r="B2032">
            <v>40020455</v>
          </cell>
          <cell r="C2032" t="str">
            <v>*No1Kesar&amp;MC100gB3G1F(GST)M72P36</v>
          </cell>
          <cell r="D2032">
            <v>0</v>
          </cell>
          <cell r="E2032">
            <v>0</v>
          </cell>
          <cell r="F2032">
            <v>0</v>
          </cell>
        </row>
        <row r="2033">
          <cell r="B2033">
            <v>40035217</v>
          </cell>
          <cell r="C2033" t="str">
            <v>*No1 Kesar MC 100g PO5 M115 P36 New</v>
          </cell>
          <cell r="D2033">
            <v>0</v>
          </cell>
          <cell r="E2033">
            <v>0</v>
          </cell>
          <cell r="F2033">
            <v>0</v>
          </cell>
        </row>
        <row r="2034">
          <cell r="B2034">
            <v>40037829</v>
          </cell>
          <cell r="C2034" t="str">
            <v>*No1 Kesar MC 100g PO5 M125 P36 ROI</v>
          </cell>
          <cell r="D2034">
            <v>0</v>
          </cell>
          <cell r="E2034">
            <v>0</v>
          </cell>
          <cell r="F2034">
            <v>0</v>
          </cell>
        </row>
        <row r="2035">
          <cell r="B2035">
            <v>40039532</v>
          </cell>
          <cell r="C2035" t="str">
            <v>*No1 Kesar MC 100g PO5 M130 P36 ROI S40</v>
          </cell>
          <cell r="D2035">
            <v>0</v>
          </cell>
          <cell r="E2035">
            <v>0</v>
          </cell>
          <cell r="F2035">
            <v>0</v>
          </cell>
        </row>
        <row r="2036">
          <cell r="B2036">
            <v>40043952</v>
          </cell>
          <cell r="C2036" t="str">
            <v>*No1 Kesar MC 100g PO5 M135 P36 ROI S40</v>
          </cell>
          <cell r="D2036">
            <v>0</v>
          </cell>
          <cell r="E2036">
            <v>0</v>
          </cell>
          <cell r="F2036">
            <v>0</v>
          </cell>
        </row>
        <row r="2037">
          <cell r="B2037">
            <v>40050471</v>
          </cell>
          <cell r="C2037" t="str">
            <v>*NO1KESRMC100GPO5M140.00P36ROIS40</v>
          </cell>
          <cell r="D2037">
            <v>0</v>
          </cell>
          <cell r="E2037">
            <v>0</v>
          </cell>
          <cell r="F2037">
            <v>0</v>
          </cell>
        </row>
        <row r="2038">
          <cell r="B2038">
            <v>40050673</v>
          </cell>
          <cell r="C2038" t="str">
            <v>*NO1 KESR MC 100G PO5 M140.00 P36 ROI ND</v>
          </cell>
          <cell r="D2038">
            <v>0</v>
          </cell>
          <cell r="E2038">
            <v>0</v>
          </cell>
          <cell r="F2038">
            <v>0</v>
          </cell>
        </row>
        <row r="2039">
          <cell r="B2039">
            <v>40056621</v>
          </cell>
          <cell r="C2039" t="str">
            <v>*NO1 KESR MC 100G PO5 M145P36 ROI ND</v>
          </cell>
          <cell r="D2039">
            <v>0</v>
          </cell>
          <cell r="E2039">
            <v>0</v>
          </cell>
          <cell r="F2039">
            <v>0</v>
          </cell>
        </row>
        <row r="2040">
          <cell r="B2040">
            <v>40057081</v>
          </cell>
          <cell r="C2040" t="str">
            <v>*NO1 KESR MC 100G PO5 M150P36 ROI ND</v>
          </cell>
          <cell r="D2040">
            <v>0</v>
          </cell>
          <cell r="E2040">
            <v>0</v>
          </cell>
          <cell r="F2040">
            <v>0</v>
          </cell>
        </row>
        <row r="2041">
          <cell r="B2041">
            <v>40058678</v>
          </cell>
          <cell r="C2041" t="str">
            <v>*NO1 KESR MC 100G PO5 M155P36 ROI ND</v>
          </cell>
          <cell r="D2041">
            <v>0</v>
          </cell>
          <cell r="E2041">
            <v>0</v>
          </cell>
          <cell r="F2041">
            <v>0</v>
          </cell>
        </row>
        <row r="2042">
          <cell r="B2042">
            <v>40059506</v>
          </cell>
          <cell r="C2042" t="str">
            <v>*NO1 KESR MC 100G PO5 M140 P36 ROI ND</v>
          </cell>
          <cell r="D2042">
            <v>0</v>
          </cell>
          <cell r="E2042">
            <v>0</v>
          </cell>
          <cell r="F2042">
            <v>0</v>
          </cell>
        </row>
        <row r="2043">
          <cell r="B2043">
            <v>40060211</v>
          </cell>
          <cell r="C2043" t="str">
            <v>NO1 KESR MC 100GPO5 M130P36 ROI ND RSTRD</v>
          </cell>
          <cell r="D2043">
            <v>0</v>
          </cell>
          <cell r="E2043">
            <v>0</v>
          </cell>
          <cell r="F2043">
            <v>0</v>
          </cell>
        </row>
        <row r="2044">
          <cell r="B2044">
            <v>40062399</v>
          </cell>
          <cell r="C2044" t="str">
            <v>NO1 KESRMC 100GPO5 M120P36 ROI RSTRD NF</v>
          </cell>
          <cell r="D2044">
            <v>0</v>
          </cell>
          <cell r="E2044">
            <v>0</v>
          </cell>
          <cell r="F2044">
            <v>0</v>
          </cell>
        </row>
        <row r="2045">
          <cell r="B2045">
            <v>40063287</v>
          </cell>
          <cell r="C2045" t="str">
            <v>NO1 KESRMC 100GPO5 M120P36 ROI RSTRD NF2</v>
          </cell>
          <cell r="D2045">
            <v>0</v>
          </cell>
          <cell r="E2045">
            <v>0</v>
          </cell>
          <cell r="F2045">
            <v>0</v>
          </cell>
        </row>
        <row r="2046">
          <cell r="B2046">
            <v>40036044</v>
          </cell>
          <cell r="C2046" t="str">
            <v>*No1 Kesar MC 100g PO5 M130 P36</v>
          </cell>
          <cell r="D2046">
            <v>0</v>
          </cell>
          <cell r="E2046">
            <v>0</v>
          </cell>
          <cell r="F2046">
            <v>0</v>
          </cell>
        </row>
        <row r="2047">
          <cell r="B2047">
            <v>40036435</v>
          </cell>
          <cell r="C2047" t="str">
            <v>*No1 Kesar MC 100g PO5 M140 P36</v>
          </cell>
          <cell r="D2047">
            <v>0</v>
          </cell>
          <cell r="E2047">
            <v>0</v>
          </cell>
          <cell r="F2047">
            <v>0</v>
          </cell>
        </row>
        <row r="2048">
          <cell r="B2048">
            <v>40058686</v>
          </cell>
          <cell r="C2048" t="str">
            <v>*NO1 KESR MC 100G PO5 M155P36 ROI RSTRD</v>
          </cell>
          <cell r="D2048">
            <v>0</v>
          </cell>
          <cell r="E2048">
            <v>0</v>
          </cell>
          <cell r="F2048">
            <v>0</v>
          </cell>
        </row>
        <row r="2049">
          <cell r="B2049">
            <v>40059507</v>
          </cell>
          <cell r="C2049" t="str">
            <v>*NO1 KESR MC 100G PO5 M140 P36 ROI RSTRD</v>
          </cell>
          <cell r="D2049">
            <v>0</v>
          </cell>
          <cell r="E2049">
            <v>0</v>
          </cell>
          <cell r="F2049">
            <v>0</v>
          </cell>
        </row>
        <row r="2050">
          <cell r="B2050">
            <v>40062507</v>
          </cell>
          <cell r="C2050" t="str">
            <v>NO1 KESR MC 100G PO5 M130 P36 RSTRD NF</v>
          </cell>
          <cell r="D2050">
            <v>0</v>
          </cell>
          <cell r="E2050">
            <v>0</v>
          </cell>
          <cell r="F2050">
            <v>0</v>
          </cell>
        </row>
        <row r="2051">
          <cell r="B2051">
            <v>40063608</v>
          </cell>
          <cell r="C2051" t="str">
            <v>NO1 KESR MC 100G PO5 M135 P36 RSTRD NF</v>
          </cell>
          <cell r="D2051">
            <v>0</v>
          </cell>
          <cell r="E2051">
            <v>0</v>
          </cell>
          <cell r="F2051">
            <v>0</v>
          </cell>
        </row>
        <row r="2052">
          <cell r="B2052">
            <v>40039245</v>
          </cell>
          <cell r="C2052" t="str">
            <v>*No1 KesarMC 150g B3G1 M175 P24-MT (New)</v>
          </cell>
          <cell r="D2052">
            <v>0</v>
          </cell>
          <cell r="E2052">
            <v>0</v>
          </cell>
          <cell r="F2052">
            <v>0</v>
          </cell>
        </row>
        <row r="2053">
          <cell r="B2053">
            <v>40050800</v>
          </cell>
          <cell r="C2053" t="str">
            <v>*NO1 KESARMC 150G B3G1 M175 P24-MT NDSGN</v>
          </cell>
          <cell r="D2053">
            <v>0</v>
          </cell>
          <cell r="E2053">
            <v>0</v>
          </cell>
          <cell r="F2053">
            <v>0</v>
          </cell>
        </row>
        <row r="2054">
          <cell r="B2054">
            <v>40056901</v>
          </cell>
          <cell r="C2054" t="str">
            <v>*NO1 KESARMC 150G B3G1 M185 P24-MT NDSGN</v>
          </cell>
          <cell r="D2054">
            <v>0</v>
          </cell>
          <cell r="E2054">
            <v>0</v>
          </cell>
          <cell r="F2054">
            <v>0</v>
          </cell>
        </row>
        <row r="2055">
          <cell r="B2055">
            <v>40059045</v>
          </cell>
          <cell r="C2055" t="str">
            <v>NO1 KESARMC 150G B3G1 M190 P24-MT NDSGN</v>
          </cell>
          <cell r="D2055">
            <v>0</v>
          </cell>
          <cell r="E2055">
            <v>0</v>
          </cell>
          <cell r="F2055">
            <v>0</v>
          </cell>
        </row>
        <row r="2056">
          <cell r="B2056">
            <v>40059159</v>
          </cell>
          <cell r="C2056" t="str">
            <v>NO1 KESARMC 150G B3G1 M190 P24 FREE-MT</v>
          </cell>
          <cell r="D2056">
            <v>0</v>
          </cell>
          <cell r="E2056">
            <v>0</v>
          </cell>
          <cell r="F2056">
            <v>0</v>
          </cell>
        </row>
        <row r="2057">
          <cell r="B2057">
            <v>40059160</v>
          </cell>
          <cell r="C2057" t="str">
            <v>NO1 KESARMC 150G B3G1 M190 P24-MT (4+1)</v>
          </cell>
          <cell r="D2057">
            <v>0</v>
          </cell>
          <cell r="E2057">
            <v>0</v>
          </cell>
          <cell r="F2057">
            <v>0</v>
          </cell>
        </row>
        <row r="2058">
          <cell r="B2058">
            <v>40060856</v>
          </cell>
          <cell r="C2058" t="str">
            <v>NO1 KESARMC 150G B3G1 M190P24MT RSTRD NF</v>
          </cell>
          <cell r="D2058">
            <v>0</v>
          </cell>
          <cell r="E2058">
            <v>0</v>
          </cell>
          <cell r="F2058">
            <v>0</v>
          </cell>
        </row>
        <row r="2059">
          <cell r="B2059">
            <v>40064828</v>
          </cell>
          <cell r="C2059" t="str">
            <v>NO1 KESARMC 150G PO4 M200P24MT RSTRD NF</v>
          </cell>
          <cell r="D2059">
            <v>0</v>
          </cell>
          <cell r="E2059">
            <v>0</v>
          </cell>
          <cell r="F2059">
            <v>0</v>
          </cell>
        </row>
        <row r="2060">
          <cell r="B2060">
            <v>40065148</v>
          </cell>
          <cell r="C2060" t="str">
            <v>NO1 KESARMC 150G PO4 M200 P24 MT NF2 FRW</v>
          </cell>
          <cell r="D2060">
            <v>0</v>
          </cell>
          <cell r="E2060">
            <v>0</v>
          </cell>
          <cell r="F2060">
            <v>0</v>
          </cell>
        </row>
        <row r="2061">
          <cell r="B2061">
            <v>40065149</v>
          </cell>
          <cell r="C2061" t="str">
            <v>NO1KESRMC 150G PO4 M200 P24 MT RSTRD NF2</v>
          </cell>
          <cell r="D2061">
            <v>0</v>
          </cell>
          <cell r="E2061">
            <v>0</v>
          </cell>
          <cell r="F2061">
            <v>0</v>
          </cell>
        </row>
        <row r="2062">
          <cell r="B2062">
            <v>40017614</v>
          </cell>
          <cell r="C2062" t="str">
            <v>*No1Kesar&amp;MilkCrm100gB3G1M68PK36-CSD</v>
          </cell>
          <cell r="D2062">
            <v>0</v>
          </cell>
          <cell r="E2062">
            <v>0</v>
          </cell>
          <cell r="F2062">
            <v>0</v>
          </cell>
        </row>
        <row r="2063">
          <cell r="B2063">
            <v>40013104</v>
          </cell>
          <cell r="C2063" t="str">
            <v>*No.1 Jasmine 65g PO4P54 M40</v>
          </cell>
          <cell r="D2063">
            <v>0</v>
          </cell>
          <cell r="E2063">
            <v>0</v>
          </cell>
          <cell r="F2063">
            <v>0</v>
          </cell>
        </row>
        <row r="2064">
          <cell r="B2064">
            <v>40017945</v>
          </cell>
          <cell r="C2064" t="str">
            <v>*No1 Jsm&amp;MCr65g PO4 P54M40</v>
          </cell>
          <cell r="D2064">
            <v>0</v>
          </cell>
          <cell r="E2064">
            <v>0</v>
          </cell>
          <cell r="F2064">
            <v>0</v>
          </cell>
        </row>
        <row r="2065">
          <cell r="B2065">
            <v>40019346</v>
          </cell>
          <cell r="C2065" t="str">
            <v>*No1 63g PO4 Jasmine&amp;MC M40P54</v>
          </cell>
          <cell r="D2065">
            <v>0</v>
          </cell>
          <cell r="E2065">
            <v>0</v>
          </cell>
          <cell r="F2065">
            <v>0</v>
          </cell>
        </row>
        <row r="2066">
          <cell r="B2066">
            <v>40019370</v>
          </cell>
          <cell r="C2066" t="str">
            <v>*No1Jasmine&amp;MC67gPO4M40P54</v>
          </cell>
          <cell r="D2066">
            <v>0</v>
          </cell>
          <cell r="E2066">
            <v>0</v>
          </cell>
          <cell r="F2066">
            <v>0</v>
          </cell>
        </row>
        <row r="2067">
          <cell r="B2067">
            <v>40034253</v>
          </cell>
          <cell r="C2067" t="str">
            <v>*No1 Jasm Milk Cream 50g PO4 M40 P54 New</v>
          </cell>
          <cell r="D2067">
            <v>0</v>
          </cell>
          <cell r="E2067">
            <v>0</v>
          </cell>
          <cell r="F2067">
            <v>0</v>
          </cell>
        </row>
        <row r="2068">
          <cell r="B2068">
            <v>40035985</v>
          </cell>
          <cell r="C2068" t="str">
            <v>*No1 Jasm&amp;MC 50g PO4 M40 P54 New</v>
          </cell>
          <cell r="D2068">
            <v>0</v>
          </cell>
          <cell r="E2068">
            <v>0</v>
          </cell>
          <cell r="F2068">
            <v>0</v>
          </cell>
        </row>
        <row r="2069">
          <cell r="B2069">
            <v>40038728</v>
          </cell>
          <cell r="C2069" t="str">
            <v>*No1JasMilkCream47gPO4M40P54(New)</v>
          </cell>
          <cell r="D2069">
            <v>0</v>
          </cell>
          <cell r="E2069">
            <v>0</v>
          </cell>
          <cell r="F2069">
            <v>0</v>
          </cell>
        </row>
        <row r="2070">
          <cell r="B2070">
            <v>40042769</v>
          </cell>
          <cell r="C2070" t="str">
            <v>*No1JasMilkCream53gPO4M40P54(New)</v>
          </cell>
          <cell r="D2070">
            <v>0</v>
          </cell>
          <cell r="E2070">
            <v>0</v>
          </cell>
          <cell r="F2070">
            <v>0</v>
          </cell>
        </row>
        <row r="2071">
          <cell r="B2071">
            <v>40049916</v>
          </cell>
          <cell r="C2071" t="str">
            <v>*No1JasMilkCream51gPO4M40P54(New)</v>
          </cell>
          <cell r="D2071">
            <v>0</v>
          </cell>
          <cell r="E2071">
            <v>0</v>
          </cell>
          <cell r="F2071">
            <v>0</v>
          </cell>
        </row>
        <row r="2072">
          <cell r="B2072">
            <v>40056306</v>
          </cell>
          <cell r="C2072" t="str">
            <v>*NO1 JAS MILK CREAM 47G PO4 M40 P54 OSND</v>
          </cell>
          <cell r="D2072">
            <v>0</v>
          </cell>
          <cell r="E2072">
            <v>0</v>
          </cell>
          <cell r="F2072">
            <v>0</v>
          </cell>
        </row>
        <row r="2073">
          <cell r="B2073">
            <v>40058427</v>
          </cell>
          <cell r="C2073" t="str">
            <v>NO1 JAS MILK CREAM 43G PO4 M40 P54 RSTRD</v>
          </cell>
          <cell r="D2073">
            <v>0</v>
          </cell>
          <cell r="E2073">
            <v>0</v>
          </cell>
          <cell r="F2073">
            <v>0</v>
          </cell>
        </row>
        <row r="2074">
          <cell r="B2074">
            <v>40060788</v>
          </cell>
          <cell r="C2074" t="str">
            <v>NO1 JAS MILK CREAM 45G PO4 M40 P54 RSTRD</v>
          </cell>
          <cell r="D2074">
            <v>0</v>
          </cell>
          <cell r="E2074">
            <v>0</v>
          </cell>
          <cell r="F2074">
            <v>0</v>
          </cell>
        </row>
        <row r="2075">
          <cell r="B2075">
            <v>40060858</v>
          </cell>
          <cell r="C2075" t="str">
            <v>NO1 JAS MC 43G PO4 M40 P54 RSTRD</v>
          </cell>
          <cell r="D2075">
            <v>0</v>
          </cell>
          <cell r="E2075">
            <v>0</v>
          </cell>
          <cell r="F2075">
            <v>0</v>
          </cell>
        </row>
        <row r="2076">
          <cell r="B2076">
            <v>40031492</v>
          </cell>
          <cell r="C2076" t="str">
            <v>*No1 57g PO4Jasmine &amp; MC M40 P54 NEW</v>
          </cell>
          <cell r="D2076">
            <v>0</v>
          </cell>
          <cell r="E2076">
            <v>0</v>
          </cell>
          <cell r="F2076">
            <v>0</v>
          </cell>
        </row>
        <row r="2077">
          <cell r="B2077">
            <v>40049888</v>
          </cell>
          <cell r="C2077" t="str">
            <v>*No1Jasm&amp;MC 55g PO4 M40 P54 N</v>
          </cell>
          <cell r="D2077">
            <v>0</v>
          </cell>
          <cell r="E2077">
            <v>0</v>
          </cell>
          <cell r="F2077">
            <v>0</v>
          </cell>
        </row>
        <row r="2078">
          <cell r="B2078">
            <v>40050675</v>
          </cell>
          <cell r="C2078" t="str">
            <v>*NO1JASM&amp;MC 55G PO4 M40 P54 ND</v>
          </cell>
          <cell r="D2078">
            <v>0</v>
          </cell>
          <cell r="E2078">
            <v>0</v>
          </cell>
          <cell r="F2078">
            <v>0</v>
          </cell>
        </row>
        <row r="2079">
          <cell r="B2079">
            <v>40056308</v>
          </cell>
          <cell r="C2079" t="str">
            <v>*NO1JASM&amp;MC 53G PO4 M40 P54 C ND</v>
          </cell>
          <cell r="D2079">
            <v>0</v>
          </cell>
          <cell r="E2079">
            <v>0</v>
          </cell>
          <cell r="F2079">
            <v>0</v>
          </cell>
        </row>
        <row r="2080">
          <cell r="B2080">
            <v>40058808</v>
          </cell>
          <cell r="C2080" t="str">
            <v>*NO1JASM&amp;MC 47G PO4 M40 P54 C ND R.STRD</v>
          </cell>
          <cell r="D2080">
            <v>0</v>
          </cell>
          <cell r="E2080">
            <v>0</v>
          </cell>
          <cell r="F2080">
            <v>0</v>
          </cell>
        </row>
        <row r="2081">
          <cell r="B2081">
            <v>40059965</v>
          </cell>
          <cell r="C2081" t="str">
            <v>*NO1JASM&amp;MC45GPO4M40P54CNDR.STRDTEMP</v>
          </cell>
          <cell r="D2081">
            <v>0</v>
          </cell>
          <cell r="E2081">
            <v>0</v>
          </cell>
          <cell r="F2081">
            <v>0</v>
          </cell>
        </row>
        <row r="2082">
          <cell r="B2082">
            <v>40063657</v>
          </cell>
          <cell r="C2082" t="str">
            <v>NO1JASM&amp;MC 43G PO4 M40 P54 C ND RSTRD</v>
          </cell>
          <cell r="D2082">
            <v>0</v>
          </cell>
          <cell r="E2082">
            <v>0</v>
          </cell>
          <cell r="F2082">
            <v>0</v>
          </cell>
        </row>
        <row r="2083">
          <cell r="B2083">
            <v>40001392</v>
          </cell>
          <cell r="C2083" t="str">
            <v>*NO.1 JASMINE 115G B3G1F 32PKS MRP52</v>
          </cell>
          <cell r="D2083">
            <v>0</v>
          </cell>
          <cell r="E2083">
            <v>0</v>
          </cell>
          <cell r="F2083">
            <v>0</v>
          </cell>
        </row>
        <row r="2084">
          <cell r="B2084">
            <v>40002746</v>
          </cell>
          <cell r="C2084" t="str">
            <v>*NO.1 JASMINE 110G B3G1F 32PKS MRP52</v>
          </cell>
          <cell r="D2084">
            <v>0</v>
          </cell>
          <cell r="E2084">
            <v>0</v>
          </cell>
          <cell r="F2084">
            <v>0</v>
          </cell>
        </row>
        <row r="2085">
          <cell r="B2085">
            <v>40014130</v>
          </cell>
          <cell r="C2085" t="str">
            <v>*No1 Jsmn100g B3G1F(NEW)M68P36</v>
          </cell>
          <cell r="D2085">
            <v>0</v>
          </cell>
          <cell r="E2085">
            <v>0</v>
          </cell>
          <cell r="F2085">
            <v>0</v>
          </cell>
        </row>
        <row r="2086">
          <cell r="B2086">
            <v>40016162</v>
          </cell>
          <cell r="C2086" t="str">
            <v>*No1Jsm&amp;MCr100gB3G1F M68P36 +100g soapFR</v>
          </cell>
          <cell r="D2086">
            <v>0</v>
          </cell>
          <cell r="E2086">
            <v>0</v>
          </cell>
          <cell r="F2086">
            <v>0</v>
          </cell>
        </row>
        <row r="2087">
          <cell r="B2087">
            <v>40019192</v>
          </cell>
          <cell r="C2087" t="str">
            <v>*No1Jasmine100gB3G1FM72P36</v>
          </cell>
          <cell r="D2087">
            <v>0</v>
          </cell>
          <cell r="E2087">
            <v>0</v>
          </cell>
          <cell r="F2087">
            <v>0</v>
          </cell>
        </row>
        <row r="2088">
          <cell r="B2088">
            <v>40019641</v>
          </cell>
          <cell r="C2088" t="str">
            <v>*No1Jasmine100gB3G1FM76P36</v>
          </cell>
          <cell r="D2088">
            <v>0</v>
          </cell>
          <cell r="E2088">
            <v>0</v>
          </cell>
          <cell r="F2088">
            <v>0</v>
          </cell>
        </row>
        <row r="2089">
          <cell r="B2089">
            <v>40020470</v>
          </cell>
          <cell r="C2089" t="str">
            <v>*No1Jasmine100gB3G1F(GST)M72P36</v>
          </cell>
          <cell r="D2089">
            <v>0</v>
          </cell>
          <cell r="E2089">
            <v>0</v>
          </cell>
          <cell r="F2089">
            <v>0</v>
          </cell>
        </row>
        <row r="2090">
          <cell r="B2090">
            <v>40035131</v>
          </cell>
          <cell r="C2090" t="str">
            <v>*GNo1 Jasm &amp; MC 100g PO5 M115 P36 New</v>
          </cell>
          <cell r="D2090">
            <v>0</v>
          </cell>
          <cell r="E2090">
            <v>0</v>
          </cell>
          <cell r="F2090">
            <v>0</v>
          </cell>
        </row>
        <row r="2091">
          <cell r="B2091">
            <v>40036927</v>
          </cell>
          <cell r="C2091" t="str">
            <v>*No1 Jasm &amp; MC 100g PO5 M140 P36 ROI</v>
          </cell>
          <cell r="D2091">
            <v>0</v>
          </cell>
          <cell r="E2091">
            <v>0</v>
          </cell>
          <cell r="F2091">
            <v>0</v>
          </cell>
        </row>
        <row r="2092">
          <cell r="B2092">
            <v>40037937</v>
          </cell>
          <cell r="C2092" t="str">
            <v>*No1 Jasm &amp; MC 100g PO5 M120 P36 ROI S40</v>
          </cell>
          <cell r="D2092">
            <v>0</v>
          </cell>
          <cell r="E2092">
            <v>0</v>
          </cell>
          <cell r="F2092">
            <v>0</v>
          </cell>
        </row>
        <row r="2093">
          <cell r="B2093">
            <v>40039491</v>
          </cell>
          <cell r="C2093" t="str">
            <v>*No1 Jasm &amp; MC 100g PO5 M120 P36 ROIS40N</v>
          </cell>
          <cell r="D2093">
            <v>0</v>
          </cell>
          <cell r="E2093">
            <v>0</v>
          </cell>
          <cell r="F2093">
            <v>0</v>
          </cell>
        </row>
        <row r="2094">
          <cell r="B2094">
            <v>40043989</v>
          </cell>
          <cell r="C2094" t="str">
            <v>*No1 Jasmine100g PO5 M125 P36ROIS40N</v>
          </cell>
          <cell r="D2094">
            <v>0</v>
          </cell>
          <cell r="E2094">
            <v>0</v>
          </cell>
          <cell r="F2094">
            <v>0</v>
          </cell>
        </row>
        <row r="2095">
          <cell r="B2095">
            <v>40050654</v>
          </cell>
          <cell r="C2095" t="str">
            <v>*NO1 JASMINE100G PO5 M130.00 P36 S40ND</v>
          </cell>
          <cell r="D2095">
            <v>0</v>
          </cell>
          <cell r="E2095">
            <v>0</v>
          </cell>
          <cell r="F2095">
            <v>0</v>
          </cell>
        </row>
        <row r="2096">
          <cell r="B2096">
            <v>40056817</v>
          </cell>
          <cell r="C2096" t="str">
            <v>*NO1 JASMINE100G PO5 M135 P36 S40ND</v>
          </cell>
          <cell r="D2096">
            <v>0</v>
          </cell>
          <cell r="E2096">
            <v>0</v>
          </cell>
          <cell r="F2096">
            <v>0</v>
          </cell>
        </row>
        <row r="2097">
          <cell r="B2097">
            <v>40057078</v>
          </cell>
          <cell r="C2097" t="str">
            <v>*NO1 JASMINE100G PO5 M145 P36 S40ND</v>
          </cell>
          <cell r="D2097">
            <v>0</v>
          </cell>
          <cell r="E2097">
            <v>0</v>
          </cell>
          <cell r="F2097">
            <v>0</v>
          </cell>
        </row>
        <row r="2098">
          <cell r="B2098">
            <v>40057697</v>
          </cell>
          <cell r="C2098" t="str">
            <v>*NO1 JASMINE100G PO5 M140 P36 S40ND</v>
          </cell>
          <cell r="D2098">
            <v>0</v>
          </cell>
          <cell r="E2098">
            <v>0</v>
          </cell>
          <cell r="F2098">
            <v>0</v>
          </cell>
        </row>
        <row r="2099">
          <cell r="B2099">
            <v>40059881</v>
          </cell>
          <cell r="C2099" t="str">
            <v>*NO1JASMINE100GPO5M145P36S40NDRSTRD</v>
          </cell>
          <cell r="D2099">
            <v>0</v>
          </cell>
          <cell r="E2099">
            <v>0</v>
          </cell>
          <cell r="F2099">
            <v>0</v>
          </cell>
        </row>
        <row r="2100">
          <cell r="B2100">
            <v>40060214</v>
          </cell>
          <cell r="C2100" t="str">
            <v>NO1 JASMINE100G PO5 M120 P36 S40ND RSTRD</v>
          </cell>
          <cell r="D2100">
            <v>0</v>
          </cell>
          <cell r="E2100">
            <v>0</v>
          </cell>
          <cell r="F2100">
            <v>0</v>
          </cell>
        </row>
        <row r="2101">
          <cell r="B2101">
            <v>40063441</v>
          </cell>
          <cell r="C2101" t="str">
            <v>NO1 JASMINE100G PO5 M115 P36 S40ND RSTRD</v>
          </cell>
          <cell r="D2101">
            <v>0</v>
          </cell>
          <cell r="E2101">
            <v>0</v>
          </cell>
          <cell r="F2101">
            <v>0</v>
          </cell>
        </row>
        <row r="2102">
          <cell r="B2102">
            <v>40036055</v>
          </cell>
          <cell r="C2102" t="str">
            <v>*GNo1 Jasm &amp; MC 100g PO5 M130 P36</v>
          </cell>
          <cell r="D2102">
            <v>0</v>
          </cell>
          <cell r="E2102">
            <v>0</v>
          </cell>
          <cell r="F2102">
            <v>0</v>
          </cell>
        </row>
        <row r="2103">
          <cell r="B2103">
            <v>40036436</v>
          </cell>
          <cell r="C2103" t="str">
            <v>*GNo1 Jasm &amp; MC 100g PO5 M140 P36</v>
          </cell>
          <cell r="D2103">
            <v>0</v>
          </cell>
          <cell r="E2103">
            <v>0</v>
          </cell>
          <cell r="F2103">
            <v>0</v>
          </cell>
        </row>
        <row r="2104">
          <cell r="B2104">
            <v>40036904</v>
          </cell>
          <cell r="C2104" t="str">
            <v>*GNo1 Jasm &amp; MC 100g PO5 M150 P36</v>
          </cell>
          <cell r="D2104">
            <v>0</v>
          </cell>
          <cell r="E2104">
            <v>0</v>
          </cell>
          <cell r="F2104">
            <v>0</v>
          </cell>
        </row>
        <row r="2105">
          <cell r="B2105">
            <v>40037928</v>
          </cell>
          <cell r="C2105" t="str">
            <v>*GNo1 Jas &amp; MC 100g PO5 M130 P36 S40</v>
          </cell>
          <cell r="D2105">
            <v>0</v>
          </cell>
          <cell r="E2105">
            <v>0</v>
          </cell>
          <cell r="F2105">
            <v>0</v>
          </cell>
        </row>
        <row r="2106">
          <cell r="B2106">
            <v>40050657</v>
          </cell>
          <cell r="C2106" t="str">
            <v>*GNO1 JAS &amp; MC 100G PO5 M135.00 P36 ND</v>
          </cell>
          <cell r="D2106">
            <v>0</v>
          </cell>
          <cell r="E2106">
            <v>0</v>
          </cell>
          <cell r="F2106">
            <v>0</v>
          </cell>
        </row>
        <row r="2107">
          <cell r="B2107">
            <v>40056778</v>
          </cell>
          <cell r="C2107" t="str">
            <v>*GNO1 JAS &amp; MC 100G PO5 M140 P36 STH ND</v>
          </cell>
          <cell r="D2107">
            <v>0</v>
          </cell>
          <cell r="E2107">
            <v>0</v>
          </cell>
          <cell r="F2107">
            <v>0</v>
          </cell>
        </row>
        <row r="2108">
          <cell r="B2108">
            <v>40057344</v>
          </cell>
          <cell r="C2108" t="str">
            <v>*NO1 JAS &amp; MC 100G PO5 M145 P36 STH ND</v>
          </cell>
          <cell r="D2108">
            <v>0</v>
          </cell>
          <cell r="E2108">
            <v>0</v>
          </cell>
          <cell r="F2108">
            <v>0</v>
          </cell>
        </row>
        <row r="2109">
          <cell r="B2109">
            <v>40058694</v>
          </cell>
          <cell r="C2109" t="str">
            <v>*NO1 JASMINE100G PO5 M150 P36 S40 RSTRD</v>
          </cell>
          <cell r="D2109">
            <v>0</v>
          </cell>
          <cell r="E2109">
            <v>0</v>
          </cell>
          <cell r="F2109">
            <v>0</v>
          </cell>
        </row>
        <row r="2110">
          <cell r="B2110">
            <v>40060451</v>
          </cell>
          <cell r="C2110" t="str">
            <v>NO1 JASMINE100G PO5 M130 P36 S40 RSTRD</v>
          </cell>
          <cell r="D2110">
            <v>0</v>
          </cell>
          <cell r="E2110">
            <v>0</v>
          </cell>
          <cell r="F2110">
            <v>0</v>
          </cell>
        </row>
        <row r="2111">
          <cell r="B2111">
            <v>40064987</v>
          </cell>
          <cell r="C2111" t="str">
            <v>NO1 JASM 100G PO5 M145 P36S40 RSTRD NF2</v>
          </cell>
          <cell r="D2111">
            <v>0</v>
          </cell>
          <cell r="E2111">
            <v>0</v>
          </cell>
          <cell r="F2111">
            <v>0</v>
          </cell>
        </row>
        <row r="2112">
          <cell r="B2112">
            <v>40058680</v>
          </cell>
          <cell r="C2112" t="str">
            <v>*NO1 JASMINE100G PO5 M145 P36 S40 RSTRD</v>
          </cell>
          <cell r="D2112">
            <v>0</v>
          </cell>
          <cell r="E2112">
            <v>0</v>
          </cell>
          <cell r="F2112">
            <v>0</v>
          </cell>
        </row>
        <row r="2113">
          <cell r="B2113">
            <v>40062509</v>
          </cell>
          <cell r="C2113" t="str">
            <v>NO1 JASMINE100G PO5 M120 P36 NDRSTRD</v>
          </cell>
          <cell r="D2113">
            <v>0</v>
          </cell>
          <cell r="E2113">
            <v>0</v>
          </cell>
          <cell r="F2113">
            <v>0</v>
          </cell>
        </row>
        <row r="2114">
          <cell r="B2114">
            <v>40063438</v>
          </cell>
          <cell r="C2114" t="str">
            <v>NO1 JASMINE100G PO5 M125 P36 NDRSTRD</v>
          </cell>
          <cell r="D2114">
            <v>0</v>
          </cell>
          <cell r="E2114">
            <v>0</v>
          </cell>
          <cell r="F2114">
            <v>0</v>
          </cell>
        </row>
        <row r="2115">
          <cell r="B2115">
            <v>40017615</v>
          </cell>
          <cell r="C2115" t="str">
            <v>*No1 Jasmine 100g B3G1 M68 PK36 CSD</v>
          </cell>
          <cell r="D2115">
            <v>0</v>
          </cell>
          <cell r="E2115">
            <v>0</v>
          </cell>
          <cell r="F2115">
            <v>0</v>
          </cell>
        </row>
        <row r="2116">
          <cell r="B2116">
            <v>40017299</v>
          </cell>
          <cell r="C2116" t="str">
            <v>*No1 Germ Protection125gPO3 M68P36</v>
          </cell>
          <cell r="D2116">
            <v>0</v>
          </cell>
          <cell r="E2116">
            <v>0</v>
          </cell>
          <cell r="F2116">
            <v>0</v>
          </cell>
        </row>
        <row r="2117">
          <cell r="B2117">
            <v>40017287</v>
          </cell>
          <cell r="C2117" t="str">
            <v>*No1 Germ Protection 70gPO4 M40P54</v>
          </cell>
          <cell r="D2117">
            <v>0</v>
          </cell>
          <cell r="E2117">
            <v>0</v>
          </cell>
          <cell r="F2117">
            <v>0</v>
          </cell>
        </row>
        <row r="2118">
          <cell r="B2118">
            <v>40018059</v>
          </cell>
          <cell r="C2118" t="str">
            <v>*No1 GermProtection65gHanger M10P216</v>
          </cell>
          <cell r="D2118">
            <v>0</v>
          </cell>
          <cell r="E2118">
            <v>0</v>
          </cell>
          <cell r="F2118">
            <v>0</v>
          </cell>
        </row>
        <row r="2119">
          <cell r="B2119">
            <v>40015241</v>
          </cell>
          <cell r="C2119" t="str">
            <v>*No1 lave milkcr 75g PO4 P54 M40</v>
          </cell>
          <cell r="D2119">
            <v>0</v>
          </cell>
          <cell r="E2119">
            <v>0</v>
          </cell>
          <cell r="F2119">
            <v>0</v>
          </cell>
        </row>
        <row r="2120">
          <cell r="B2120">
            <v>40017949</v>
          </cell>
          <cell r="C2120" t="str">
            <v>*No1 Lav&amp;MCr65g PO4 P54M40</v>
          </cell>
          <cell r="D2120">
            <v>0</v>
          </cell>
          <cell r="E2120">
            <v>0</v>
          </cell>
          <cell r="F2120">
            <v>0</v>
          </cell>
        </row>
        <row r="2121">
          <cell r="B2121">
            <v>40019342</v>
          </cell>
          <cell r="C2121" t="str">
            <v>*No1 63g PO4 Lavendar&amp;MC M40P54</v>
          </cell>
          <cell r="D2121">
            <v>0</v>
          </cell>
          <cell r="E2121">
            <v>0</v>
          </cell>
          <cell r="F2121">
            <v>0</v>
          </cell>
        </row>
        <row r="2122">
          <cell r="B2122">
            <v>40031496</v>
          </cell>
          <cell r="C2122" t="str">
            <v>*No157gPO4LavenMilkCreamM40P54NEW</v>
          </cell>
          <cell r="D2122">
            <v>0</v>
          </cell>
          <cell r="E2122">
            <v>0</v>
          </cell>
          <cell r="F2122">
            <v>0</v>
          </cell>
        </row>
        <row r="2123">
          <cell r="B2123">
            <v>40001402</v>
          </cell>
          <cell r="C2123" t="str">
            <v>*NO.1 LAVENDER 85G PO3 54 PKS MRP30</v>
          </cell>
          <cell r="D2123">
            <v>0</v>
          </cell>
          <cell r="E2123">
            <v>0</v>
          </cell>
          <cell r="F2123">
            <v>0</v>
          </cell>
        </row>
        <row r="2124">
          <cell r="B2124">
            <v>40003277</v>
          </cell>
          <cell r="C2124" t="str">
            <v>*NO.1 LAVENDER 110GM B3G1F 32PKS MRP54</v>
          </cell>
          <cell r="D2124">
            <v>0</v>
          </cell>
          <cell r="E2124">
            <v>0</v>
          </cell>
          <cell r="F2124">
            <v>0</v>
          </cell>
        </row>
        <row r="2125">
          <cell r="B2125">
            <v>40014131</v>
          </cell>
          <cell r="C2125" t="str">
            <v>*No1 L&amp;M100g B3G1F(NEW)M68P36</v>
          </cell>
          <cell r="D2125">
            <v>0</v>
          </cell>
          <cell r="E2125">
            <v>0</v>
          </cell>
          <cell r="F2125">
            <v>0</v>
          </cell>
        </row>
        <row r="2126">
          <cell r="B2126">
            <v>40025117</v>
          </cell>
          <cell r="C2126" t="str">
            <v>*No1 L&amp;M100g B3G1F M64P36</v>
          </cell>
          <cell r="D2126">
            <v>0</v>
          </cell>
          <cell r="E2126">
            <v>0</v>
          </cell>
          <cell r="F2126">
            <v>0</v>
          </cell>
        </row>
        <row r="2127">
          <cell r="B2127">
            <v>40028255</v>
          </cell>
          <cell r="C2127" t="str">
            <v>*No1 L&amp;M100g B3G1F(NEW)M68P36 TO</v>
          </cell>
          <cell r="D2127">
            <v>0</v>
          </cell>
          <cell r="E2127">
            <v>0</v>
          </cell>
          <cell r="F2127">
            <v>0</v>
          </cell>
        </row>
        <row r="2128">
          <cell r="B2128">
            <v>40028258</v>
          </cell>
          <cell r="C2128" t="str">
            <v>*No1L&amp;M100gB3G1F(NEW)M68P36FRWNo1100g</v>
          </cell>
          <cell r="D2128">
            <v>0</v>
          </cell>
          <cell r="E2128">
            <v>0</v>
          </cell>
          <cell r="F2128">
            <v>0</v>
          </cell>
        </row>
        <row r="2129">
          <cell r="B2129">
            <v>40029230</v>
          </cell>
          <cell r="C2129" t="str">
            <v>*No1LavenderMilkCream100gPO5M80P36</v>
          </cell>
          <cell r="D2129">
            <v>0</v>
          </cell>
          <cell r="E2129">
            <v>0</v>
          </cell>
          <cell r="F2129">
            <v>0</v>
          </cell>
        </row>
        <row r="2130">
          <cell r="B2130">
            <v>40033230</v>
          </cell>
          <cell r="C2130" t="str">
            <v>*GNo1 Laven&amp;MC100g PO5 M100 P36</v>
          </cell>
          <cell r="D2130">
            <v>0</v>
          </cell>
          <cell r="E2130">
            <v>0</v>
          </cell>
          <cell r="F2130">
            <v>0</v>
          </cell>
        </row>
        <row r="2131">
          <cell r="B2131">
            <v>40011532</v>
          </cell>
          <cell r="C2131" t="str">
            <v>*No1 Coco &amp; Neem 55g PO4 P50 M30</v>
          </cell>
          <cell r="D2131">
            <v>0</v>
          </cell>
          <cell r="E2131">
            <v>0</v>
          </cell>
          <cell r="F2131">
            <v>0</v>
          </cell>
        </row>
        <row r="2132">
          <cell r="B2132">
            <v>40014140</v>
          </cell>
          <cell r="C2132" t="str">
            <v>*No1 coconut 70g PO4(NEW)P54 M40</v>
          </cell>
          <cell r="D2132">
            <v>0</v>
          </cell>
          <cell r="E2132">
            <v>0</v>
          </cell>
          <cell r="F2132">
            <v>0</v>
          </cell>
        </row>
        <row r="2133">
          <cell r="B2133">
            <v>40019357</v>
          </cell>
          <cell r="C2133" t="str">
            <v>*No1CocoNeem63gPO4M40P54</v>
          </cell>
          <cell r="D2133">
            <v>0</v>
          </cell>
          <cell r="E2133">
            <v>0</v>
          </cell>
          <cell r="F2133">
            <v>0</v>
          </cell>
        </row>
        <row r="2134">
          <cell r="B2134">
            <v>40032404</v>
          </cell>
          <cell r="C2134" t="str">
            <v>*No1 Coconeem 53g PO4 M40 P54</v>
          </cell>
          <cell r="D2134">
            <v>0</v>
          </cell>
          <cell r="E2134">
            <v>0</v>
          </cell>
          <cell r="F2134">
            <v>0</v>
          </cell>
        </row>
        <row r="2135">
          <cell r="B2135">
            <v>40038272</v>
          </cell>
          <cell r="C2135" t="str">
            <v>*No1 CocoNeem 47g PO4 M40 P54 N</v>
          </cell>
          <cell r="D2135">
            <v>0</v>
          </cell>
          <cell r="E2135">
            <v>0</v>
          </cell>
          <cell r="F2135">
            <v>0</v>
          </cell>
        </row>
        <row r="2136">
          <cell r="B2136">
            <v>40042762</v>
          </cell>
          <cell r="C2136" t="str">
            <v>*No1 CocoNeem 53g PO4 M40 P54 N</v>
          </cell>
          <cell r="D2136">
            <v>0</v>
          </cell>
          <cell r="E2136">
            <v>0</v>
          </cell>
          <cell r="F2136">
            <v>0</v>
          </cell>
        </row>
        <row r="2137">
          <cell r="B2137">
            <v>40056307</v>
          </cell>
          <cell r="C2137" t="str">
            <v>*NO1 COCONEEM 47G PO4 M40 P54 OSND</v>
          </cell>
          <cell r="D2137">
            <v>0</v>
          </cell>
          <cell r="E2137">
            <v>0</v>
          </cell>
          <cell r="F2137">
            <v>0</v>
          </cell>
        </row>
        <row r="2138">
          <cell r="B2138">
            <v>40057862</v>
          </cell>
          <cell r="C2138" t="str">
            <v>*NO1 COCONEEM 47G PO4 M40 P54 TFM 70%</v>
          </cell>
          <cell r="D2138">
            <v>0</v>
          </cell>
          <cell r="E2138">
            <v>0</v>
          </cell>
          <cell r="F2138">
            <v>0</v>
          </cell>
        </row>
        <row r="2139">
          <cell r="B2139">
            <v>40058643</v>
          </cell>
          <cell r="C2139" t="str">
            <v>NO1 COCONEEM 43G PO4 M40 P54 TFM 70%</v>
          </cell>
          <cell r="D2139">
            <v>0</v>
          </cell>
          <cell r="E2139">
            <v>0</v>
          </cell>
          <cell r="F2139">
            <v>0</v>
          </cell>
        </row>
        <row r="2140">
          <cell r="B2140">
            <v>40060787</v>
          </cell>
          <cell r="C2140" t="str">
            <v>NO1 COCONEEM 45G PO4 M40 P54 TFM 70%</v>
          </cell>
          <cell r="D2140">
            <v>0</v>
          </cell>
          <cell r="E2140">
            <v>0</v>
          </cell>
          <cell r="F2140">
            <v>0</v>
          </cell>
        </row>
        <row r="2141">
          <cell r="B2141">
            <v>40001426</v>
          </cell>
          <cell r="C2141" t="str">
            <v>*NO 1 COCO  NEEM115GB3G1F 32PKS MRP52</v>
          </cell>
          <cell r="D2141">
            <v>0</v>
          </cell>
          <cell r="E2141">
            <v>0</v>
          </cell>
          <cell r="F2141">
            <v>0</v>
          </cell>
        </row>
        <row r="2142">
          <cell r="B2142">
            <v>40014132</v>
          </cell>
          <cell r="C2142" t="str">
            <v>*No1 C&amp;N100g B3G1F(NEW)M68P36</v>
          </cell>
          <cell r="D2142">
            <v>0</v>
          </cell>
          <cell r="E2142">
            <v>0</v>
          </cell>
          <cell r="F2142">
            <v>0</v>
          </cell>
        </row>
        <row r="2143">
          <cell r="B2143">
            <v>40020444</v>
          </cell>
          <cell r="C2143" t="str">
            <v>*No1Coc&amp;Neem100gB3G1FM66P36+1PcLMDRider</v>
          </cell>
          <cell r="D2143">
            <v>0</v>
          </cell>
          <cell r="E2143">
            <v>0</v>
          </cell>
          <cell r="F2143">
            <v>0</v>
          </cell>
        </row>
        <row r="2144">
          <cell r="B2144">
            <v>40035139</v>
          </cell>
          <cell r="C2144" t="str">
            <v>*GNo1 Coconut Neem 100g PO5 M115 P36 New</v>
          </cell>
          <cell r="D2144">
            <v>0</v>
          </cell>
          <cell r="E2144">
            <v>0</v>
          </cell>
          <cell r="F2144">
            <v>0</v>
          </cell>
        </row>
        <row r="2145">
          <cell r="B2145">
            <v>40041832</v>
          </cell>
          <cell r="C2145" t="str">
            <v>*No1 CocoNm 100g PO5 M120 P36 S40 Nrt C</v>
          </cell>
          <cell r="D2145">
            <v>0</v>
          </cell>
          <cell r="E2145">
            <v>0</v>
          </cell>
          <cell r="F2145">
            <v>0</v>
          </cell>
        </row>
        <row r="2146">
          <cell r="B2146">
            <v>40043968</v>
          </cell>
          <cell r="C2146" t="str">
            <v>*GNo1 CocoNm 100g PO5 M125 P36 S40 Nrt C</v>
          </cell>
          <cell r="D2146">
            <v>0</v>
          </cell>
          <cell r="E2146">
            <v>0</v>
          </cell>
          <cell r="F2146">
            <v>0</v>
          </cell>
        </row>
        <row r="2147">
          <cell r="B2147">
            <v>40056780</v>
          </cell>
          <cell r="C2147" t="str">
            <v>*GNO1 COCONM 100G PO5 M135 P36 ND</v>
          </cell>
          <cell r="D2147">
            <v>0</v>
          </cell>
          <cell r="E2147">
            <v>0</v>
          </cell>
          <cell r="F2147">
            <v>0</v>
          </cell>
        </row>
        <row r="2148">
          <cell r="B2148">
            <v>40057083</v>
          </cell>
          <cell r="C2148" t="str">
            <v>GNO1 COCONM 100G PO5 M145 P36 ND</v>
          </cell>
          <cell r="D2148">
            <v>0</v>
          </cell>
          <cell r="E2148">
            <v>0</v>
          </cell>
          <cell r="F2148">
            <v>0</v>
          </cell>
        </row>
        <row r="2149">
          <cell r="B2149">
            <v>40060202</v>
          </cell>
          <cell r="C2149" t="str">
            <v>NO1 COCONM 100G PO5 M120 P36 ND RSTRD</v>
          </cell>
          <cell r="D2149">
            <v>0</v>
          </cell>
          <cell r="E2149">
            <v>0</v>
          </cell>
          <cell r="F2149">
            <v>0</v>
          </cell>
        </row>
        <row r="2150">
          <cell r="B2150">
            <v>40062396</v>
          </cell>
          <cell r="C2150" t="str">
            <v>GNO1 COCONM 100G PO5 M110 P36 ND RSTRD</v>
          </cell>
          <cell r="D2150">
            <v>0</v>
          </cell>
          <cell r="E2150">
            <v>0</v>
          </cell>
          <cell r="F2150">
            <v>0</v>
          </cell>
        </row>
        <row r="2151">
          <cell r="B2151">
            <v>40063610</v>
          </cell>
          <cell r="C2151" t="str">
            <v>NO1 COCONM 100G PO5 M115 P36 ND RSTRD</v>
          </cell>
          <cell r="D2151">
            <v>0</v>
          </cell>
          <cell r="E2151">
            <v>0</v>
          </cell>
          <cell r="F2151">
            <v>0</v>
          </cell>
        </row>
        <row r="2152">
          <cell r="B2152">
            <v>40035575</v>
          </cell>
          <cell r="C2152" t="str">
            <v>*GNo1 Coconut Neem 100g PO5 M120 P36</v>
          </cell>
          <cell r="D2152">
            <v>0</v>
          </cell>
          <cell r="E2152">
            <v>0</v>
          </cell>
          <cell r="F2152">
            <v>0</v>
          </cell>
        </row>
        <row r="2153">
          <cell r="B2153">
            <v>40058681</v>
          </cell>
          <cell r="C2153" t="str">
            <v>*GNO1 COCONM 100G PO5 M145 P36 RSTRD</v>
          </cell>
          <cell r="D2153">
            <v>0</v>
          </cell>
          <cell r="E2153">
            <v>0</v>
          </cell>
          <cell r="F2153">
            <v>0</v>
          </cell>
        </row>
        <row r="2154">
          <cell r="B2154">
            <v>40036129</v>
          </cell>
          <cell r="C2154" t="str">
            <v>*No1Coconeem 150GB3G1FM189P24-MT(New)</v>
          </cell>
          <cell r="D2154">
            <v>0</v>
          </cell>
          <cell r="E2154">
            <v>0</v>
          </cell>
          <cell r="F2154">
            <v>0</v>
          </cell>
        </row>
        <row r="2155">
          <cell r="B2155">
            <v>40036440</v>
          </cell>
          <cell r="C2155" t="str">
            <v>*No1Coconeem 150GB3G1FM189P24-GT(New)</v>
          </cell>
          <cell r="D2155">
            <v>0</v>
          </cell>
          <cell r="E2155">
            <v>0</v>
          </cell>
          <cell r="F2155">
            <v>0</v>
          </cell>
        </row>
        <row r="2156">
          <cell r="B2156">
            <v>40037684</v>
          </cell>
          <cell r="C2156" t="str">
            <v>*No1Coconeem 150GB3G1FM189P24-Mt4+1frw</v>
          </cell>
          <cell r="D2156">
            <v>0</v>
          </cell>
          <cell r="E2156">
            <v>0</v>
          </cell>
          <cell r="F2156">
            <v>0</v>
          </cell>
        </row>
        <row r="2157">
          <cell r="B2157">
            <v>40037698</v>
          </cell>
          <cell r="C2157" t="str">
            <v>*No1 Coconeem 150G B3G1F M189 P24-MT4+1</v>
          </cell>
          <cell r="D2157">
            <v>0</v>
          </cell>
          <cell r="E2157">
            <v>0</v>
          </cell>
          <cell r="F2157">
            <v>0</v>
          </cell>
        </row>
        <row r="2158">
          <cell r="B2158">
            <v>40050797</v>
          </cell>
          <cell r="C2158" t="str">
            <v>*NO1 COCONEEM 150G B3G1F M189 P24-MT ND</v>
          </cell>
          <cell r="D2158">
            <v>0</v>
          </cell>
          <cell r="E2158">
            <v>0</v>
          </cell>
          <cell r="F2158">
            <v>0</v>
          </cell>
        </row>
        <row r="2159">
          <cell r="B2159">
            <v>40057883</v>
          </cell>
          <cell r="C2159" t="str">
            <v>*NO1 COCONEEM 150G B3G1 M189 P24-MT 70%</v>
          </cell>
          <cell r="D2159">
            <v>0</v>
          </cell>
          <cell r="E2159">
            <v>0</v>
          </cell>
          <cell r="F2159">
            <v>0</v>
          </cell>
        </row>
        <row r="2160">
          <cell r="B2160">
            <v>40059163</v>
          </cell>
          <cell r="C2160" t="str">
            <v>NO1 COCONEEM 150G B3G1F M190P24-MT4+1FRW</v>
          </cell>
          <cell r="D2160">
            <v>0</v>
          </cell>
          <cell r="E2160">
            <v>0</v>
          </cell>
          <cell r="F2160">
            <v>0</v>
          </cell>
        </row>
        <row r="2161">
          <cell r="B2161">
            <v>40059180</v>
          </cell>
          <cell r="C2161" t="str">
            <v>NO1 COCONEEM 150G B3G1F M190 P24-MT ND</v>
          </cell>
          <cell r="D2161">
            <v>0</v>
          </cell>
          <cell r="E2161">
            <v>0</v>
          </cell>
          <cell r="F2161">
            <v>0</v>
          </cell>
        </row>
        <row r="2162">
          <cell r="B2162">
            <v>40059274</v>
          </cell>
          <cell r="C2162" t="str">
            <v>NO1 COCONEEM 150G B3G1F M190 P24-MT4+1</v>
          </cell>
          <cell r="D2162">
            <v>0</v>
          </cell>
          <cell r="E2162">
            <v>0</v>
          </cell>
          <cell r="F2162">
            <v>0</v>
          </cell>
        </row>
        <row r="2163">
          <cell r="B2163">
            <v>40060038</v>
          </cell>
          <cell r="C2163" t="str">
            <v>*NO1COCONEEM 150GB3G1FM210P24-MT4+1FRW</v>
          </cell>
          <cell r="D2163">
            <v>0</v>
          </cell>
          <cell r="E2163">
            <v>0</v>
          </cell>
          <cell r="F2163">
            <v>0</v>
          </cell>
        </row>
        <row r="2164">
          <cell r="B2164">
            <v>40060148</v>
          </cell>
          <cell r="C2164" t="str">
            <v>*NO1 COCONEEM 150G B3G1F M210 P24-MT ND</v>
          </cell>
          <cell r="D2164">
            <v>0</v>
          </cell>
          <cell r="E2164">
            <v>0</v>
          </cell>
          <cell r="F2164">
            <v>0</v>
          </cell>
        </row>
        <row r="2165">
          <cell r="B2165">
            <v>40060964</v>
          </cell>
          <cell r="C2165" t="str">
            <v>NO1COCONEEM 150GB3G1F M190 P24MTND RSTRD</v>
          </cell>
          <cell r="D2165">
            <v>0</v>
          </cell>
          <cell r="E2165">
            <v>0</v>
          </cell>
          <cell r="F2165">
            <v>0</v>
          </cell>
        </row>
        <row r="2166">
          <cell r="B2166">
            <v>40062913</v>
          </cell>
          <cell r="C2166" t="str">
            <v>NO1COCONEEM 150GB3G1F M175P24 MTND RSTRD</v>
          </cell>
          <cell r="D2166">
            <v>0</v>
          </cell>
          <cell r="E2166">
            <v>0</v>
          </cell>
          <cell r="F2166">
            <v>0</v>
          </cell>
        </row>
        <row r="2167">
          <cell r="B2167">
            <v>40064281</v>
          </cell>
          <cell r="C2167" t="str">
            <v>NO1 COCO NEEM 150G B3G1F M175 P24-MT 4+1</v>
          </cell>
          <cell r="D2167">
            <v>0</v>
          </cell>
          <cell r="E2167">
            <v>0</v>
          </cell>
          <cell r="F2167">
            <v>0</v>
          </cell>
        </row>
        <row r="2168">
          <cell r="B2168">
            <v>40064829</v>
          </cell>
          <cell r="C2168" t="str">
            <v>NO1 COCONEEM 150G PO4 M190P24MT RSTRDNF2</v>
          </cell>
          <cell r="D2168">
            <v>0</v>
          </cell>
          <cell r="E2168">
            <v>0</v>
          </cell>
          <cell r="F2168">
            <v>0</v>
          </cell>
        </row>
        <row r="2169">
          <cell r="B2169">
            <v>40014425</v>
          </cell>
          <cell r="C2169" t="str">
            <v>*NO1 COCNUT&amp;NEEM 150G B3G1F M90 P24</v>
          </cell>
          <cell r="D2169">
            <v>0</v>
          </cell>
          <cell r="E2169">
            <v>0</v>
          </cell>
          <cell r="F2169">
            <v>0</v>
          </cell>
        </row>
        <row r="2170">
          <cell r="B2170">
            <v>40001387</v>
          </cell>
          <cell r="C2170" t="str">
            <v>*NO.1AYURVEDIC115GB3G1F32PKSMRP52</v>
          </cell>
          <cell r="D2170">
            <v>0</v>
          </cell>
          <cell r="E2170">
            <v>0</v>
          </cell>
          <cell r="F2170">
            <v>0</v>
          </cell>
        </row>
        <row r="2171">
          <cell r="B2171">
            <v>40014502</v>
          </cell>
          <cell r="C2171" t="str">
            <v>*No1 30g sand&amp;Tur Flowwrap M5PK240</v>
          </cell>
          <cell r="D2171">
            <v>0</v>
          </cell>
          <cell r="E2171">
            <v>0</v>
          </cell>
          <cell r="F2171">
            <v>0</v>
          </cell>
        </row>
        <row r="2172">
          <cell r="B2172">
            <v>40014660</v>
          </cell>
          <cell r="C2172" t="str">
            <v>*No1 S&amp;T 30g NP P240 M5 (new) 5cs+1 Fr</v>
          </cell>
          <cell r="D2172">
            <v>0</v>
          </cell>
          <cell r="E2172">
            <v>0</v>
          </cell>
          <cell r="F2172">
            <v>0</v>
          </cell>
        </row>
        <row r="2173">
          <cell r="B2173">
            <v>40037601</v>
          </cell>
          <cell r="C2173" t="str">
            <v>*No1SanTurmeric40gPO5M40P54GujNShp</v>
          </cell>
          <cell r="D2173">
            <v>0</v>
          </cell>
          <cell r="E2173">
            <v>0</v>
          </cell>
          <cell r="F2173">
            <v>0</v>
          </cell>
        </row>
        <row r="2174">
          <cell r="B2174">
            <v>40041397</v>
          </cell>
          <cell r="C2174" t="str">
            <v>*No1 Sandal Turmeric 47g PO5 M40 P54 N</v>
          </cell>
          <cell r="D2174">
            <v>0</v>
          </cell>
          <cell r="E2174">
            <v>0</v>
          </cell>
          <cell r="F2174">
            <v>0</v>
          </cell>
        </row>
        <row r="2175">
          <cell r="B2175">
            <v>40044032</v>
          </cell>
          <cell r="C2175" t="str">
            <v>*No1 Sandal &amp; Tur 51g PO5 M40 P54 N</v>
          </cell>
          <cell r="D2175">
            <v>0</v>
          </cell>
          <cell r="E2175">
            <v>0</v>
          </cell>
          <cell r="F2175">
            <v>0</v>
          </cell>
        </row>
        <row r="2176">
          <cell r="B2176">
            <v>40056271</v>
          </cell>
          <cell r="C2176" t="str">
            <v>*NO1SANDALTURMERIC47GPO5M40P54OSND</v>
          </cell>
          <cell r="D2176">
            <v>0</v>
          </cell>
          <cell r="E2176">
            <v>0</v>
          </cell>
          <cell r="F2176">
            <v>0</v>
          </cell>
        </row>
        <row r="2177">
          <cell r="B2177">
            <v>40057989</v>
          </cell>
          <cell r="C2177" t="str">
            <v>*NO1 SANDAL TURMERIC 43G PO5 M40 P54 ND</v>
          </cell>
          <cell r="D2177">
            <v>0</v>
          </cell>
          <cell r="E2177">
            <v>0</v>
          </cell>
          <cell r="F2177">
            <v>0</v>
          </cell>
        </row>
        <row r="2178">
          <cell r="B2178">
            <v>40058419</v>
          </cell>
          <cell r="C2178" t="str">
            <v>*NO1 SAN TURMERIC 43G PO5 M40 P54 RSTRD</v>
          </cell>
          <cell r="D2178">
            <v>0</v>
          </cell>
          <cell r="E2178">
            <v>0</v>
          </cell>
          <cell r="F2178">
            <v>0</v>
          </cell>
        </row>
        <row r="2179">
          <cell r="B2179">
            <v>40032724</v>
          </cell>
          <cell r="C2179" t="str">
            <v>*No1 Sandal &amp; Tur 53g M10 P216 Poly East</v>
          </cell>
          <cell r="D2179">
            <v>0</v>
          </cell>
          <cell r="E2179">
            <v>0</v>
          </cell>
          <cell r="F2179">
            <v>0</v>
          </cell>
        </row>
        <row r="2180">
          <cell r="B2180">
            <v>40036392</v>
          </cell>
          <cell r="C2180" t="str">
            <v>*No1Sandal&amp;Tur45gM10P216PolyNROI</v>
          </cell>
          <cell r="D2180">
            <v>0</v>
          </cell>
          <cell r="E2180">
            <v>0</v>
          </cell>
          <cell r="F2180">
            <v>0</v>
          </cell>
        </row>
        <row r="2181">
          <cell r="B2181">
            <v>40038335</v>
          </cell>
          <cell r="C2181" t="str">
            <v>*No1 Sandal &amp; Tur 47g M10 P216 Poly N E</v>
          </cell>
          <cell r="D2181">
            <v>0</v>
          </cell>
          <cell r="E2181">
            <v>0</v>
          </cell>
          <cell r="F2181">
            <v>0</v>
          </cell>
        </row>
        <row r="2182">
          <cell r="B2182">
            <v>40042767</v>
          </cell>
          <cell r="C2182" t="str">
            <v>*No1 Sandal &amp; Tur 53g M10 P216 Poly N</v>
          </cell>
          <cell r="D2182">
            <v>0</v>
          </cell>
          <cell r="E2182">
            <v>0</v>
          </cell>
          <cell r="F2182">
            <v>0</v>
          </cell>
        </row>
        <row r="2183">
          <cell r="B2183">
            <v>40049942</v>
          </cell>
          <cell r="C2183" t="str">
            <v>*No1 Sandal &amp; Tur 51g M10 P216 Owrp</v>
          </cell>
          <cell r="D2183">
            <v>0</v>
          </cell>
          <cell r="E2183">
            <v>0</v>
          </cell>
          <cell r="F2183">
            <v>0</v>
          </cell>
        </row>
        <row r="2184">
          <cell r="B2184">
            <v>40056267</v>
          </cell>
          <cell r="C2184" t="str">
            <v>NO1 SANDAL &amp; TUR 47G M10 P216 POLY OSND</v>
          </cell>
          <cell r="D2184">
            <v>0</v>
          </cell>
          <cell r="E2184">
            <v>0</v>
          </cell>
          <cell r="F2184">
            <v>0</v>
          </cell>
        </row>
        <row r="2185">
          <cell r="B2185">
            <v>40057987</v>
          </cell>
          <cell r="C2185" t="str">
            <v>*NO1 SANDAL &amp; TUR 43G M10 P216 POLY ND</v>
          </cell>
          <cell r="D2185">
            <v>0</v>
          </cell>
          <cell r="E2185">
            <v>0</v>
          </cell>
          <cell r="F2185">
            <v>0</v>
          </cell>
        </row>
        <row r="2186">
          <cell r="B2186">
            <v>40058416</v>
          </cell>
          <cell r="C2186" t="str">
            <v>*NO1SANDAL&amp;TUR43GM10P216POLYRSTRD</v>
          </cell>
          <cell r="D2186">
            <v>0</v>
          </cell>
          <cell r="E2186">
            <v>0</v>
          </cell>
          <cell r="F2186">
            <v>0</v>
          </cell>
        </row>
        <row r="2187">
          <cell r="B2187">
            <v>40058640</v>
          </cell>
          <cell r="C2187" t="str">
            <v>NO1 SANDAL &amp; TUR 43G M10 P216 SING RSTRD</v>
          </cell>
          <cell r="D2187">
            <v>0</v>
          </cell>
          <cell r="E2187">
            <v>0</v>
          </cell>
          <cell r="F2187">
            <v>0</v>
          </cell>
        </row>
        <row r="2188">
          <cell r="B2188">
            <v>40058642</v>
          </cell>
          <cell r="C2188" t="str">
            <v>*NO1SANDAL&amp;TUR43GM10P216POLYRSTRD</v>
          </cell>
          <cell r="D2188">
            <v>0</v>
          </cell>
          <cell r="E2188">
            <v>0</v>
          </cell>
          <cell r="F2188">
            <v>0</v>
          </cell>
        </row>
        <row r="2189">
          <cell r="B2189">
            <v>40060072</v>
          </cell>
          <cell r="C2189" t="str">
            <v>*NO1 SAN&amp;TUR 40GM M10P216 SNGLS RSTRD T2</v>
          </cell>
          <cell r="D2189">
            <v>0</v>
          </cell>
          <cell r="E2189">
            <v>0</v>
          </cell>
          <cell r="F2189">
            <v>0</v>
          </cell>
        </row>
        <row r="2190">
          <cell r="B2190">
            <v>40061037</v>
          </cell>
          <cell r="C2190" t="str">
            <v>NO1 SANDAL &amp; TUR 45G M10 P216 POLY RSTRD</v>
          </cell>
          <cell r="D2190">
            <v>0</v>
          </cell>
          <cell r="E2190">
            <v>0</v>
          </cell>
          <cell r="F2190">
            <v>0</v>
          </cell>
        </row>
        <row r="2191">
          <cell r="B2191">
            <v>40063258</v>
          </cell>
          <cell r="C2191" t="str">
            <v>NO1 SAN&amp;TUR 43G M10 P216 POLY RSTRD NF2</v>
          </cell>
          <cell r="D2191">
            <v>0</v>
          </cell>
          <cell r="E2191">
            <v>0</v>
          </cell>
          <cell r="F2191">
            <v>0</v>
          </cell>
        </row>
        <row r="2192">
          <cell r="B2192">
            <v>40059620</v>
          </cell>
          <cell r="C2192" t="str">
            <v>*NO1SANDAL&amp;TUR43GM10P216RSTRDINST</v>
          </cell>
          <cell r="D2192">
            <v>0</v>
          </cell>
          <cell r="E2192">
            <v>0</v>
          </cell>
          <cell r="F2192">
            <v>0</v>
          </cell>
        </row>
        <row r="2193">
          <cell r="B2193">
            <v>40041569</v>
          </cell>
          <cell r="C2193" t="str">
            <v>*No1 Sandal Turmeric 47g PO4 M30 P72 Tst</v>
          </cell>
          <cell r="D2193">
            <v>0</v>
          </cell>
          <cell r="E2193">
            <v>0</v>
          </cell>
          <cell r="F2193">
            <v>0</v>
          </cell>
        </row>
        <row r="2194">
          <cell r="B2194">
            <v>40017959</v>
          </cell>
          <cell r="C2194" t="str">
            <v>*No1 San&amp;Tur65g PO4 P54M40</v>
          </cell>
          <cell r="D2194">
            <v>0</v>
          </cell>
          <cell r="E2194">
            <v>0</v>
          </cell>
          <cell r="F2194">
            <v>0</v>
          </cell>
        </row>
        <row r="2195">
          <cell r="B2195">
            <v>40019358</v>
          </cell>
          <cell r="C2195" t="str">
            <v>*No1 63g PO4 Sandal&amp;Tur M40P54</v>
          </cell>
          <cell r="D2195">
            <v>0</v>
          </cell>
          <cell r="E2195">
            <v>0</v>
          </cell>
          <cell r="F2195">
            <v>0</v>
          </cell>
        </row>
        <row r="2196">
          <cell r="B2196">
            <v>40032403</v>
          </cell>
          <cell r="C2196" t="str">
            <v>*No1 Sandal Turmeric 53g PO4 M40 P54 RE</v>
          </cell>
          <cell r="D2196">
            <v>0</v>
          </cell>
          <cell r="E2196">
            <v>0</v>
          </cell>
          <cell r="F2196">
            <v>0</v>
          </cell>
        </row>
        <row r="2197">
          <cell r="B2197">
            <v>40034348</v>
          </cell>
          <cell r="C2197" t="str">
            <v>*No1 Sandal Turmeric 50g PO4 M40 P54 New</v>
          </cell>
          <cell r="D2197">
            <v>0</v>
          </cell>
          <cell r="E2197">
            <v>0</v>
          </cell>
          <cell r="F2197">
            <v>0</v>
          </cell>
        </row>
        <row r="2198">
          <cell r="B2198">
            <v>40035701</v>
          </cell>
          <cell r="C2198" t="str">
            <v>*No1 Sandal Turmeric 47g PO4 M40 P54 New</v>
          </cell>
          <cell r="D2198">
            <v>0</v>
          </cell>
          <cell r="E2198">
            <v>0</v>
          </cell>
          <cell r="F2198">
            <v>0</v>
          </cell>
        </row>
        <row r="2199">
          <cell r="B2199">
            <v>40036393</v>
          </cell>
          <cell r="C2199" t="str">
            <v>*No1 Sandal Turmeric 45g PO4 M40 P54 New</v>
          </cell>
          <cell r="D2199">
            <v>0</v>
          </cell>
          <cell r="E2199">
            <v>0</v>
          </cell>
          <cell r="F2199">
            <v>0</v>
          </cell>
        </row>
        <row r="2200">
          <cell r="B2200">
            <v>40038274</v>
          </cell>
          <cell r="C2200" t="str">
            <v>*No1 Sandal Turmeric 47g PO4 M40 P54 N</v>
          </cell>
          <cell r="D2200">
            <v>0</v>
          </cell>
          <cell r="E2200">
            <v>0</v>
          </cell>
          <cell r="F2200">
            <v>0</v>
          </cell>
        </row>
        <row r="2201">
          <cell r="B2201">
            <v>40042833</v>
          </cell>
          <cell r="C2201" t="str">
            <v>*No1 Sandal &amp; Tur 53g PO4 M40 P54 New</v>
          </cell>
          <cell r="D2201">
            <v>0</v>
          </cell>
          <cell r="E2201">
            <v>0</v>
          </cell>
          <cell r="F2201">
            <v>0</v>
          </cell>
        </row>
        <row r="2202">
          <cell r="B2202">
            <v>40049918</v>
          </cell>
          <cell r="C2202" t="str">
            <v>*No1 Sandal &amp; Tur 51g PO4 M40 P54 New</v>
          </cell>
          <cell r="D2202">
            <v>0</v>
          </cell>
          <cell r="E2202">
            <v>0</v>
          </cell>
          <cell r="F2202">
            <v>0</v>
          </cell>
        </row>
        <row r="2203">
          <cell r="B2203">
            <v>40056269</v>
          </cell>
          <cell r="C2203" t="str">
            <v>*NO1SANDALTURMERIC47GPO4M40P54OSND</v>
          </cell>
          <cell r="D2203">
            <v>0</v>
          </cell>
          <cell r="E2203">
            <v>0</v>
          </cell>
          <cell r="F2203">
            <v>0</v>
          </cell>
        </row>
        <row r="2204">
          <cell r="B2204">
            <v>40058005</v>
          </cell>
          <cell r="C2204" t="str">
            <v>*NO1 SAN TURMERIC 43G PO4 M40 P54 ND</v>
          </cell>
          <cell r="D2204">
            <v>0</v>
          </cell>
          <cell r="E2204">
            <v>0</v>
          </cell>
          <cell r="F2204">
            <v>0</v>
          </cell>
        </row>
        <row r="2205">
          <cell r="B2205">
            <v>40058428</v>
          </cell>
          <cell r="C2205" t="str">
            <v>NO1 SAN TURMERIC 43G PO4 M40 P54 RSTRD</v>
          </cell>
          <cell r="D2205">
            <v>0</v>
          </cell>
          <cell r="E2205">
            <v>0</v>
          </cell>
          <cell r="F2205">
            <v>0</v>
          </cell>
        </row>
        <row r="2206">
          <cell r="B2206">
            <v>40060786</v>
          </cell>
          <cell r="C2206" t="str">
            <v>NO1 SAN TURMERIC 45G PO4 M40 P54 RSTRD</v>
          </cell>
          <cell r="D2206">
            <v>0</v>
          </cell>
          <cell r="E2206">
            <v>0</v>
          </cell>
          <cell r="F2206">
            <v>0</v>
          </cell>
        </row>
        <row r="2207">
          <cell r="B2207">
            <v>40063194</v>
          </cell>
          <cell r="C2207" t="str">
            <v>NO1 SAN&amp;TUR 43G PO4 M40 P54 RSTRD NF2</v>
          </cell>
          <cell r="D2207">
            <v>0</v>
          </cell>
          <cell r="E2207">
            <v>0</v>
          </cell>
          <cell r="F2207">
            <v>0</v>
          </cell>
        </row>
        <row r="2208">
          <cell r="B2208">
            <v>40064923</v>
          </cell>
          <cell r="C2208" t="str">
            <v>NO1 SAN TURMERIC 43GPO4 M40 P75 RSTRD TT</v>
          </cell>
          <cell r="D2208">
            <v>0</v>
          </cell>
          <cell r="E2208">
            <v>0</v>
          </cell>
          <cell r="F2208">
            <v>0</v>
          </cell>
        </row>
        <row r="2209">
          <cell r="B2209">
            <v>40038293</v>
          </cell>
          <cell r="C2209" t="str">
            <v>*No1 Sandal Turmeric 53g PO4 M40 P54 N</v>
          </cell>
          <cell r="D2209">
            <v>0</v>
          </cell>
          <cell r="E2209">
            <v>0</v>
          </cell>
          <cell r="F2209">
            <v>0</v>
          </cell>
        </row>
        <row r="2210">
          <cell r="B2210">
            <v>40049920</v>
          </cell>
          <cell r="C2210" t="str">
            <v>*No1 Sandal Turmeric 55g PO4 M40 P54 N</v>
          </cell>
          <cell r="D2210">
            <v>0</v>
          </cell>
          <cell r="E2210">
            <v>0</v>
          </cell>
          <cell r="F2210">
            <v>0</v>
          </cell>
        </row>
        <row r="2211">
          <cell r="B2211">
            <v>40056311</v>
          </cell>
          <cell r="C2211" t="str">
            <v>*NO1 SANDAL TUR 53G PO4 M40 P54 NEW C ND</v>
          </cell>
          <cell r="D2211">
            <v>0</v>
          </cell>
          <cell r="E2211">
            <v>0</v>
          </cell>
          <cell r="F2211">
            <v>0</v>
          </cell>
        </row>
        <row r="2212">
          <cell r="B2212">
            <v>40057962</v>
          </cell>
          <cell r="C2212" t="str">
            <v>*NO1 SANDAL TUR 49G PO4 M40 P54 NEW C ND</v>
          </cell>
          <cell r="D2212">
            <v>0</v>
          </cell>
          <cell r="E2212">
            <v>0</v>
          </cell>
          <cell r="F2212">
            <v>0</v>
          </cell>
        </row>
        <row r="2213">
          <cell r="B2213">
            <v>40058811</v>
          </cell>
          <cell r="C2213" t="str">
            <v>NO1 SAN&amp;TUR 47G PO4 M40 P54 NEW ND RSTRD</v>
          </cell>
          <cell r="D2213">
            <v>0</v>
          </cell>
          <cell r="E2213">
            <v>0</v>
          </cell>
          <cell r="F2213">
            <v>0</v>
          </cell>
        </row>
        <row r="2214">
          <cell r="B2214">
            <v>40059784</v>
          </cell>
          <cell r="C2214" t="str">
            <v>*NO1SANTUR45GPO4M40P54NEWNDRSTRD</v>
          </cell>
          <cell r="D2214">
            <v>0</v>
          </cell>
          <cell r="E2214">
            <v>0</v>
          </cell>
          <cell r="F2214">
            <v>0</v>
          </cell>
        </row>
        <row r="2215">
          <cell r="B2215">
            <v>40063281</v>
          </cell>
          <cell r="C2215" t="str">
            <v>NO1 SAN&amp;TUR 47GPO4 M40P54 ND RSTRD NF2</v>
          </cell>
          <cell r="D2215">
            <v>0</v>
          </cell>
          <cell r="E2215">
            <v>0</v>
          </cell>
          <cell r="F2215">
            <v>0</v>
          </cell>
        </row>
        <row r="2216">
          <cell r="B2216">
            <v>40066207</v>
          </cell>
          <cell r="C2216" t="str">
            <v>NO1 SAN&amp;TUR 47GPO4 M40P75 ND RSTRD NF2</v>
          </cell>
          <cell r="D2216">
            <v>0</v>
          </cell>
          <cell r="E2216">
            <v>0</v>
          </cell>
          <cell r="F2216">
            <v>0</v>
          </cell>
        </row>
        <row r="2217">
          <cell r="B2217">
            <v>40058812</v>
          </cell>
          <cell r="C2217" t="str">
            <v>*NO1SAN&amp;TUR47GPO3M30P72CNDRSTRD</v>
          </cell>
          <cell r="D2217">
            <v>0</v>
          </cell>
          <cell r="E2217">
            <v>0</v>
          </cell>
          <cell r="F2217">
            <v>0</v>
          </cell>
        </row>
        <row r="2218">
          <cell r="B2218">
            <v>40059966</v>
          </cell>
          <cell r="C2218" t="str">
            <v>*NO1SAN&amp;TUR45GPO3M30P72CNDRSTRDTEMP</v>
          </cell>
          <cell r="D2218">
            <v>0</v>
          </cell>
          <cell r="E2218">
            <v>0</v>
          </cell>
          <cell r="F2218">
            <v>0</v>
          </cell>
        </row>
        <row r="2219">
          <cell r="B2219">
            <v>40063278</v>
          </cell>
          <cell r="C2219" t="str">
            <v>NO1 SAN&amp;TUR 47G PO3 M30P72 C NDRSTRD NF2</v>
          </cell>
          <cell r="D2219">
            <v>0</v>
          </cell>
          <cell r="E2219">
            <v>0</v>
          </cell>
          <cell r="F2219">
            <v>0</v>
          </cell>
        </row>
        <row r="2220">
          <cell r="B2220">
            <v>40066208</v>
          </cell>
          <cell r="C2220" t="str">
            <v>NO1 SAN&amp;TUR47G PO3 M30P100 C NDRSTRD NF2</v>
          </cell>
          <cell r="D2220">
            <v>0</v>
          </cell>
          <cell r="E2220">
            <v>0</v>
          </cell>
          <cell r="F2220">
            <v>0</v>
          </cell>
        </row>
        <row r="2221">
          <cell r="B2221">
            <v>40001412</v>
          </cell>
          <cell r="C2221" t="str">
            <v>*NO.1 SANDAL  TURM 115GM B3G1 FR MRP52</v>
          </cell>
          <cell r="D2221">
            <v>0</v>
          </cell>
          <cell r="E2221">
            <v>0</v>
          </cell>
          <cell r="F2221">
            <v>0</v>
          </cell>
        </row>
        <row r="2222">
          <cell r="B2222">
            <v>40002742</v>
          </cell>
          <cell r="C2222" t="str">
            <v>*NO.1 SANDAL  TURM 110GM B3G1 FR MRP52</v>
          </cell>
          <cell r="D2222">
            <v>0</v>
          </cell>
          <cell r="E2222">
            <v>0</v>
          </cell>
          <cell r="F2222">
            <v>0</v>
          </cell>
        </row>
        <row r="2223">
          <cell r="B2223">
            <v>40014133</v>
          </cell>
          <cell r="C2223" t="str">
            <v>*No1 S&amp;T100g  B3G1F(NEW)M68 P36</v>
          </cell>
          <cell r="D2223">
            <v>0</v>
          </cell>
          <cell r="E2223">
            <v>0</v>
          </cell>
          <cell r="F2223">
            <v>0</v>
          </cell>
        </row>
        <row r="2224">
          <cell r="B2224">
            <v>40019213</v>
          </cell>
          <cell r="C2224" t="str">
            <v>*No1Sandal&amp;Turmeric100gB3G1FM72P36</v>
          </cell>
          <cell r="D2224">
            <v>0</v>
          </cell>
          <cell r="E2224">
            <v>0</v>
          </cell>
          <cell r="F2224">
            <v>0</v>
          </cell>
        </row>
        <row r="2225">
          <cell r="B2225">
            <v>40033221</v>
          </cell>
          <cell r="C2225" t="str">
            <v>*No1 Sandal and Turmer 100g PO5 M100 P36</v>
          </cell>
          <cell r="D2225">
            <v>0</v>
          </cell>
          <cell r="E2225">
            <v>0</v>
          </cell>
          <cell r="F2225">
            <v>0</v>
          </cell>
        </row>
        <row r="2226">
          <cell r="B2226">
            <v>40034149</v>
          </cell>
          <cell r="C2226" t="str">
            <v>*GNo1SandalandTurmer100gPO5M110P36</v>
          </cell>
          <cell r="D2226">
            <v>0</v>
          </cell>
          <cell r="E2226">
            <v>0</v>
          </cell>
          <cell r="F2226">
            <v>0</v>
          </cell>
        </row>
        <row r="2227">
          <cell r="B2227">
            <v>40035130</v>
          </cell>
          <cell r="C2227" t="str">
            <v>*GNo1SandalandTurmer100gPO5M115P36</v>
          </cell>
          <cell r="D2227">
            <v>0</v>
          </cell>
          <cell r="E2227">
            <v>0</v>
          </cell>
          <cell r="F2227">
            <v>0</v>
          </cell>
        </row>
        <row r="2228">
          <cell r="B2228">
            <v>40036066</v>
          </cell>
          <cell r="C2228" t="str">
            <v>*No1 San and Tur 100g PO5 M120 P36 N ROI</v>
          </cell>
          <cell r="D2228">
            <v>0</v>
          </cell>
          <cell r="E2228">
            <v>0</v>
          </cell>
          <cell r="F2228">
            <v>0</v>
          </cell>
        </row>
        <row r="2229">
          <cell r="B2229">
            <v>40036929</v>
          </cell>
          <cell r="C2229" t="str">
            <v>*No1 San and Tur 100g PO5 M140 P36 N ROI</v>
          </cell>
          <cell r="D2229">
            <v>0</v>
          </cell>
          <cell r="E2229">
            <v>0</v>
          </cell>
          <cell r="F2229">
            <v>0</v>
          </cell>
        </row>
        <row r="2230">
          <cell r="B2230">
            <v>40039462</v>
          </cell>
          <cell r="C2230" t="str">
            <v>*No1 San &amp; Tur100g PO5 M120 P36ROI S40N</v>
          </cell>
          <cell r="D2230">
            <v>0</v>
          </cell>
          <cell r="E2230">
            <v>0</v>
          </cell>
          <cell r="F2230">
            <v>0</v>
          </cell>
        </row>
        <row r="2231">
          <cell r="B2231">
            <v>40050458</v>
          </cell>
          <cell r="C2231" t="str">
            <v>*NO1 SAN&amp; T 100G PO5 M130.00 P36 ROI S40</v>
          </cell>
          <cell r="D2231">
            <v>0</v>
          </cell>
          <cell r="E2231">
            <v>0</v>
          </cell>
          <cell r="F2231">
            <v>0</v>
          </cell>
        </row>
        <row r="2232">
          <cell r="B2232">
            <v>40050649</v>
          </cell>
          <cell r="C2232" t="str">
            <v>*NO1 SAN&amp; T 100G PO5 M130.00 P36 ROI ND</v>
          </cell>
          <cell r="D2232">
            <v>0</v>
          </cell>
          <cell r="E2232">
            <v>0</v>
          </cell>
          <cell r="F2232">
            <v>0</v>
          </cell>
        </row>
        <row r="2233">
          <cell r="B2233">
            <v>40056625</v>
          </cell>
          <cell r="C2233" t="str">
            <v>*NO1 SAN&amp; T 100G PO5 M135 P36 ROI ND</v>
          </cell>
          <cell r="D2233">
            <v>0</v>
          </cell>
          <cell r="E2233">
            <v>0</v>
          </cell>
          <cell r="F2233">
            <v>0</v>
          </cell>
        </row>
        <row r="2234">
          <cell r="B2234">
            <v>40057077</v>
          </cell>
          <cell r="C2234" t="str">
            <v>NO1 SAN&amp; T 100G PO5 M145 P36 ROI ND</v>
          </cell>
          <cell r="D2234">
            <v>0</v>
          </cell>
          <cell r="E2234">
            <v>0</v>
          </cell>
          <cell r="F2234">
            <v>0</v>
          </cell>
        </row>
        <row r="2235">
          <cell r="B2235">
            <v>40057696</v>
          </cell>
          <cell r="C2235" t="str">
            <v>*NO1 SAN&amp; T 100G PO5 M140 P36 ROI ND</v>
          </cell>
          <cell r="D2235">
            <v>0</v>
          </cell>
          <cell r="E2235">
            <v>0</v>
          </cell>
          <cell r="F2235">
            <v>0</v>
          </cell>
        </row>
        <row r="2236">
          <cell r="B2236">
            <v>40059529</v>
          </cell>
          <cell r="C2236" t="str">
            <v>NO1 SAN&amp; T 100G PO5 M130 P36 ROI ND NMP1</v>
          </cell>
          <cell r="D2236">
            <v>0</v>
          </cell>
          <cell r="E2236">
            <v>0</v>
          </cell>
          <cell r="F2236">
            <v>0</v>
          </cell>
        </row>
        <row r="2237">
          <cell r="B2237">
            <v>40060209</v>
          </cell>
          <cell r="C2237" t="str">
            <v>NO1 SAN&amp; T 100G PO5 M120P36 ROI ND RSTRD</v>
          </cell>
          <cell r="D2237">
            <v>0</v>
          </cell>
          <cell r="E2237">
            <v>0</v>
          </cell>
          <cell r="F2237">
            <v>0</v>
          </cell>
        </row>
        <row r="2238">
          <cell r="B2238">
            <v>40062393</v>
          </cell>
          <cell r="C2238" t="str">
            <v>NO1 SAN&amp; T 100G PO5 M110P36 ND RSTRD</v>
          </cell>
          <cell r="D2238">
            <v>0</v>
          </cell>
          <cell r="E2238">
            <v>0</v>
          </cell>
          <cell r="F2238">
            <v>0</v>
          </cell>
        </row>
        <row r="2239">
          <cell r="B2239">
            <v>40063192</v>
          </cell>
          <cell r="C2239" t="str">
            <v>NO1 SAN&amp;T 100G PO5 M115P36 ND RSTRD NF2</v>
          </cell>
          <cell r="D2239">
            <v>0</v>
          </cell>
          <cell r="E2239">
            <v>0</v>
          </cell>
          <cell r="F2239">
            <v>0</v>
          </cell>
        </row>
        <row r="2240">
          <cell r="B2240">
            <v>40063444</v>
          </cell>
          <cell r="C2240" t="str">
            <v>NO1 SAN&amp; T 100G PO5 M115P36 ND RSTRD</v>
          </cell>
          <cell r="D2240">
            <v>0</v>
          </cell>
          <cell r="E2240">
            <v>0</v>
          </cell>
          <cell r="F2240">
            <v>0</v>
          </cell>
        </row>
        <row r="2241">
          <cell r="B2241">
            <v>40063640</v>
          </cell>
          <cell r="C2241" t="str">
            <v>NO1 SAN&amp; T 100G PO5 M115P36 ND RSTRD</v>
          </cell>
          <cell r="D2241">
            <v>0</v>
          </cell>
          <cell r="E2241">
            <v>0</v>
          </cell>
          <cell r="F2241">
            <v>0</v>
          </cell>
        </row>
        <row r="2242">
          <cell r="B2242">
            <v>40036090</v>
          </cell>
          <cell r="C2242" t="str">
            <v>*GNo1 Sand and Tur 100g PO5 M130 P36 New</v>
          </cell>
          <cell r="D2242">
            <v>0</v>
          </cell>
          <cell r="E2242">
            <v>0</v>
          </cell>
          <cell r="F2242">
            <v>0</v>
          </cell>
        </row>
        <row r="2243">
          <cell r="B2243">
            <v>40036424</v>
          </cell>
          <cell r="C2243" t="str">
            <v>*No1 San and Tur 100g PO5 M130 P36 N ROI</v>
          </cell>
          <cell r="D2243">
            <v>0</v>
          </cell>
          <cell r="E2243">
            <v>0</v>
          </cell>
          <cell r="F2243">
            <v>0</v>
          </cell>
        </row>
        <row r="2244">
          <cell r="B2244">
            <v>40036926</v>
          </cell>
          <cell r="C2244" t="str">
            <v>*GNo1 Sand and Tur 100g PO5 M150 P36 New</v>
          </cell>
          <cell r="D2244">
            <v>0</v>
          </cell>
          <cell r="E2244">
            <v>0</v>
          </cell>
          <cell r="F2244">
            <v>0</v>
          </cell>
        </row>
        <row r="2245">
          <cell r="B2245">
            <v>40037946</v>
          </cell>
          <cell r="C2245" t="str">
            <v>*GNo1San&amp;Tur100gPO5M130P36NewS40</v>
          </cell>
          <cell r="D2245">
            <v>0</v>
          </cell>
          <cell r="E2245">
            <v>0</v>
          </cell>
          <cell r="F2245">
            <v>0</v>
          </cell>
        </row>
        <row r="2246">
          <cell r="B2246">
            <v>40038368</v>
          </cell>
          <cell r="C2246" t="str">
            <v>*GNo1San&amp;Tur100gPO5M135P36NewS40</v>
          </cell>
          <cell r="D2246">
            <v>0</v>
          </cell>
          <cell r="E2246">
            <v>0</v>
          </cell>
          <cell r="F2246">
            <v>0</v>
          </cell>
        </row>
        <row r="2247">
          <cell r="B2247">
            <v>40039463</v>
          </cell>
          <cell r="C2247" t="str">
            <v>*No1 Sand and Tur 100g PO5 M140 P36 S40</v>
          </cell>
          <cell r="D2247">
            <v>0</v>
          </cell>
          <cell r="E2247">
            <v>0</v>
          </cell>
          <cell r="F2247">
            <v>0</v>
          </cell>
        </row>
        <row r="2248">
          <cell r="B2248">
            <v>40050653</v>
          </cell>
          <cell r="C2248" t="str">
            <v>*NO1 SAN &amp; T 100G PO5 M135.00 P36 STH ND</v>
          </cell>
          <cell r="D2248">
            <v>0</v>
          </cell>
          <cell r="E2248">
            <v>0</v>
          </cell>
          <cell r="F2248">
            <v>0</v>
          </cell>
        </row>
        <row r="2249">
          <cell r="B2249">
            <v>40056656</v>
          </cell>
          <cell r="C2249" t="str">
            <v>*NO1 SAN &amp; T 100G PO5 M140 P36 STH ND</v>
          </cell>
          <cell r="D2249">
            <v>0</v>
          </cell>
          <cell r="E2249">
            <v>0</v>
          </cell>
          <cell r="F2249">
            <v>0</v>
          </cell>
        </row>
        <row r="2250">
          <cell r="B2250">
            <v>40057714</v>
          </cell>
          <cell r="C2250" t="str">
            <v>*NO1 SAN &amp; T 100G PO5 M145 P36 STH ND</v>
          </cell>
          <cell r="D2250">
            <v>0</v>
          </cell>
          <cell r="E2250">
            <v>0</v>
          </cell>
          <cell r="F2250">
            <v>0</v>
          </cell>
        </row>
        <row r="2251">
          <cell r="B2251">
            <v>40058683</v>
          </cell>
          <cell r="C2251" t="str">
            <v>NO1 SAN&amp; T 100G PO5 M150 P36 STH RSTRD</v>
          </cell>
          <cell r="D2251">
            <v>0</v>
          </cell>
          <cell r="E2251">
            <v>0</v>
          </cell>
          <cell r="F2251">
            <v>0</v>
          </cell>
        </row>
        <row r="2252">
          <cell r="B2252">
            <v>40060239</v>
          </cell>
          <cell r="C2252" t="str">
            <v>NO1 SAN&amp; T 100G M130P5 P36 ROI ND RSTRD</v>
          </cell>
          <cell r="D2252">
            <v>0</v>
          </cell>
          <cell r="E2252">
            <v>0</v>
          </cell>
          <cell r="F2252">
            <v>0</v>
          </cell>
        </row>
        <row r="2253">
          <cell r="B2253">
            <v>40063440</v>
          </cell>
          <cell r="C2253" t="str">
            <v>NO1 SAN&amp; T 100G M135P5 P36 SOUTH NDRSTRD</v>
          </cell>
          <cell r="D2253">
            <v>0</v>
          </cell>
          <cell r="E2253">
            <v>0</v>
          </cell>
          <cell r="F2253">
            <v>0</v>
          </cell>
        </row>
        <row r="2254">
          <cell r="B2254">
            <v>40064151</v>
          </cell>
          <cell r="C2254" t="str">
            <v>NO1 SAN&amp; T 100G M145P5 P36 SOUTH NDRSTRD</v>
          </cell>
          <cell r="D2254">
            <v>0</v>
          </cell>
          <cell r="E2254">
            <v>0</v>
          </cell>
          <cell r="F2254">
            <v>0</v>
          </cell>
        </row>
        <row r="2255">
          <cell r="B2255">
            <v>40062958</v>
          </cell>
          <cell r="C2255" t="str">
            <v>NO1RICH SANDALSOUTH100GPO5 M130P36 70TFM</v>
          </cell>
          <cell r="D2255">
            <v>0</v>
          </cell>
          <cell r="E2255">
            <v>0</v>
          </cell>
          <cell r="F2255">
            <v>0</v>
          </cell>
        </row>
        <row r="2256">
          <cell r="B2256">
            <v>40063767</v>
          </cell>
          <cell r="C2256" t="str">
            <v>NO1RICH SANDALSOUTH100GPO5 M140P36 RSTRD</v>
          </cell>
          <cell r="D2256">
            <v>0</v>
          </cell>
          <cell r="E2256">
            <v>0</v>
          </cell>
          <cell r="F2256">
            <v>0</v>
          </cell>
        </row>
        <row r="2257">
          <cell r="B2257">
            <v>40064152</v>
          </cell>
          <cell r="C2257" t="str">
            <v>NO1RICH SANDALSOUTH100GPO5 M145P36 RSTRD</v>
          </cell>
          <cell r="D2257">
            <v>0</v>
          </cell>
          <cell r="E2257">
            <v>0</v>
          </cell>
          <cell r="F2257">
            <v>0</v>
          </cell>
        </row>
        <row r="2258">
          <cell r="B2258">
            <v>40065889</v>
          </cell>
          <cell r="C2258" t="str">
            <v>NO1RICHSANDSOUTH100GPO5M155P36RSTRD</v>
          </cell>
          <cell r="D2258">
            <v>0</v>
          </cell>
          <cell r="E2258">
            <v>0</v>
          </cell>
          <cell r="F2258">
            <v>0</v>
          </cell>
        </row>
        <row r="2259">
          <cell r="B2259">
            <v>40039345</v>
          </cell>
          <cell r="C2259" t="str">
            <v>*GNo1 San &amp; Tur100g PO5 M99 P36 Est S40</v>
          </cell>
          <cell r="D2259">
            <v>0</v>
          </cell>
          <cell r="E2259">
            <v>0</v>
          </cell>
          <cell r="F2259">
            <v>0</v>
          </cell>
        </row>
        <row r="2260">
          <cell r="B2260">
            <v>40050296</v>
          </cell>
          <cell r="C2260" t="str">
            <v>*GNo1 San &amp; Tur100g PO5 M104 P36 Est S40</v>
          </cell>
          <cell r="D2260">
            <v>0</v>
          </cell>
          <cell r="E2260">
            <v>0</v>
          </cell>
          <cell r="F2260">
            <v>0</v>
          </cell>
        </row>
        <row r="2261">
          <cell r="B2261">
            <v>40057245</v>
          </cell>
          <cell r="C2261" t="str">
            <v>*GN1 SAN &amp;TUR100G PO5 M110 P36 EST NDSGN</v>
          </cell>
          <cell r="D2261">
            <v>0</v>
          </cell>
          <cell r="E2261">
            <v>0</v>
          </cell>
          <cell r="F2261">
            <v>0</v>
          </cell>
        </row>
        <row r="2262">
          <cell r="B2262">
            <v>40057850</v>
          </cell>
          <cell r="C2262" t="str">
            <v>GN1 SAN &amp;TUR100G PO5 M115 P36 EST NDSGN</v>
          </cell>
          <cell r="D2262">
            <v>0</v>
          </cell>
          <cell r="E2262">
            <v>0</v>
          </cell>
          <cell r="F2262">
            <v>0</v>
          </cell>
        </row>
        <row r="2263">
          <cell r="B2263">
            <v>40058459</v>
          </cell>
          <cell r="C2263" t="str">
            <v>GN1 SAN &amp;TUR100G PO5 M115 P36 EST RSTRD</v>
          </cell>
          <cell r="D2263">
            <v>0</v>
          </cell>
          <cell r="E2263">
            <v>0</v>
          </cell>
          <cell r="F2263">
            <v>0</v>
          </cell>
        </row>
        <row r="2264">
          <cell r="B2264">
            <v>40059745</v>
          </cell>
          <cell r="C2264" t="str">
            <v>*GN1 SAN &amp;TUR100G PO5 M130 P36 EST NDSGN</v>
          </cell>
          <cell r="D2264">
            <v>0</v>
          </cell>
          <cell r="E2264">
            <v>0</v>
          </cell>
          <cell r="F2264">
            <v>0</v>
          </cell>
        </row>
        <row r="2265">
          <cell r="B2265">
            <v>40059748</v>
          </cell>
          <cell r="C2265" t="str">
            <v>*GN1 SAN &amp;TUR100G PO5 M130 P36 EST RSTRD</v>
          </cell>
          <cell r="D2265">
            <v>0</v>
          </cell>
          <cell r="E2265">
            <v>0</v>
          </cell>
          <cell r="F2265">
            <v>0</v>
          </cell>
        </row>
        <row r="2266">
          <cell r="B2266">
            <v>40058679</v>
          </cell>
          <cell r="C2266" t="str">
            <v>NO1 SAN&amp; T 100G PO5 M145 P36 ROI RSTRD</v>
          </cell>
          <cell r="D2266">
            <v>0</v>
          </cell>
          <cell r="E2266">
            <v>0</v>
          </cell>
          <cell r="F2266">
            <v>0</v>
          </cell>
        </row>
        <row r="2267">
          <cell r="B2267">
            <v>40059528</v>
          </cell>
          <cell r="C2267" t="str">
            <v>NO1 SAN&amp; T 100G PO5 M130 P36 ROI RSTRD 1</v>
          </cell>
          <cell r="D2267">
            <v>0</v>
          </cell>
          <cell r="E2267">
            <v>0</v>
          </cell>
          <cell r="F2267">
            <v>0</v>
          </cell>
        </row>
        <row r="2268">
          <cell r="B2268">
            <v>40060210</v>
          </cell>
          <cell r="C2268" t="str">
            <v>NO1 SAN&amp; T 100G PO5 M125 P36 ROI RSTRD</v>
          </cell>
          <cell r="D2268">
            <v>0</v>
          </cell>
          <cell r="E2268">
            <v>0</v>
          </cell>
          <cell r="F2268">
            <v>0</v>
          </cell>
        </row>
        <row r="2269">
          <cell r="B2269">
            <v>40060250</v>
          </cell>
          <cell r="C2269" t="str">
            <v>NO1 SAN&amp; T 100G PO5 M125 P36 ROI 76TFM</v>
          </cell>
          <cell r="D2269">
            <v>0</v>
          </cell>
          <cell r="E2269">
            <v>0</v>
          </cell>
          <cell r="F2269">
            <v>0</v>
          </cell>
        </row>
        <row r="2270">
          <cell r="B2270">
            <v>40062510</v>
          </cell>
          <cell r="C2270" t="str">
            <v>NO1 SAN&amp; T 100G PO5 M120 P36 RSTRD</v>
          </cell>
          <cell r="D2270">
            <v>0</v>
          </cell>
          <cell r="E2270">
            <v>0</v>
          </cell>
          <cell r="F2270">
            <v>0</v>
          </cell>
        </row>
        <row r="2271">
          <cell r="B2271">
            <v>40062953</v>
          </cell>
          <cell r="C2271" t="str">
            <v>NO1SAN&amp;T 100GPO5 M120P36 ROI RSTRD140GSM</v>
          </cell>
          <cell r="D2271">
            <v>0</v>
          </cell>
          <cell r="E2271">
            <v>0</v>
          </cell>
          <cell r="F2271">
            <v>0</v>
          </cell>
        </row>
        <row r="2272">
          <cell r="B2272">
            <v>40063442</v>
          </cell>
          <cell r="C2272" t="str">
            <v>NO1 SAN&amp; T 100G PO5 M125 P36 ROI RSTRD</v>
          </cell>
          <cell r="D2272">
            <v>0</v>
          </cell>
          <cell r="E2272">
            <v>0</v>
          </cell>
          <cell r="F2272">
            <v>0</v>
          </cell>
        </row>
        <row r="2273">
          <cell r="B2273">
            <v>40041880</v>
          </cell>
          <cell r="C2273" t="str">
            <v>*No1Sandal&amp;Tur 125g PO4 M120 P30 N</v>
          </cell>
          <cell r="D2273">
            <v>0</v>
          </cell>
          <cell r="E2273">
            <v>0</v>
          </cell>
          <cell r="F2273">
            <v>0</v>
          </cell>
        </row>
        <row r="2274">
          <cell r="B2274">
            <v>40056652</v>
          </cell>
          <cell r="C2274" t="str">
            <v>*NO1SANDAL&amp;TUR 125G PO4 M135 P30 ND</v>
          </cell>
          <cell r="D2274">
            <v>0</v>
          </cell>
          <cell r="E2274">
            <v>0</v>
          </cell>
          <cell r="F2274">
            <v>0</v>
          </cell>
        </row>
        <row r="2275">
          <cell r="B2275">
            <v>40057071</v>
          </cell>
          <cell r="C2275" t="str">
            <v>*NO1SANDAL&amp;TUR 125G PO4 M145 P30 ND</v>
          </cell>
          <cell r="D2275">
            <v>0</v>
          </cell>
          <cell r="E2275">
            <v>0</v>
          </cell>
          <cell r="F2275">
            <v>0</v>
          </cell>
        </row>
        <row r="2276">
          <cell r="B2276">
            <v>40060203</v>
          </cell>
          <cell r="C2276" t="str">
            <v>NO1 SANDAL&amp;TUR 125G PO4 M120 P30 ND</v>
          </cell>
          <cell r="D2276">
            <v>0</v>
          </cell>
          <cell r="E2276">
            <v>0</v>
          </cell>
          <cell r="F2276">
            <v>0</v>
          </cell>
        </row>
        <row r="2277">
          <cell r="B2277">
            <v>40063768</v>
          </cell>
          <cell r="C2277" t="str">
            <v>NO1SANDAL&amp;TUR 125G PO4 M125 P30 ND RSTRD</v>
          </cell>
          <cell r="D2277">
            <v>0</v>
          </cell>
          <cell r="E2277">
            <v>0</v>
          </cell>
          <cell r="F2277">
            <v>0</v>
          </cell>
        </row>
        <row r="2278">
          <cell r="B2278">
            <v>40063942</v>
          </cell>
          <cell r="C2278" t="str">
            <v>NO1SANDAL&amp;TUR 125G PO4 M120 P30 RS GT</v>
          </cell>
          <cell r="D2278">
            <v>0</v>
          </cell>
          <cell r="E2278">
            <v>0</v>
          </cell>
          <cell r="F2278">
            <v>0</v>
          </cell>
        </row>
        <row r="2279">
          <cell r="B2279">
            <v>40064822</v>
          </cell>
          <cell r="C2279" t="str">
            <v>NO1SANDAL&amp;TUR 125GPO4 M115P30 NDRSTRDNF2</v>
          </cell>
          <cell r="D2279">
            <v>0</v>
          </cell>
          <cell r="E2279">
            <v>0</v>
          </cell>
          <cell r="F2279">
            <v>0</v>
          </cell>
        </row>
        <row r="2280">
          <cell r="B2280">
            <v>40014278</v>
          </cell>
          <cell r="C2280" t="str">
            <v>*NO1SANDAL150GB3G1FMrp96Pk24-MT(New)</v>
          </cell>
          <cell r="D2280">
            <v>0</v>
          </cell>
          <cell r="E2280">
            <v>0</v>
          </cell>
          <cell r="F2280">
            <v>0</v>
          </cell>
        </row>
        <row r="2281">
          <cell r="B2281">
            <v>40036404</v>
          </cell>
          <cell r="C2281" t="str">
            <v>*No1 San Tur 150G B3G1F M189 P24-GT(New)</v>
          </cell>
          <cell r="D2281">
            <v>0</v>
          </cell>
          <cell r="E2281">
            <v>0</v>
          </cell>
          <cell r="F2281">
            <v>0</v>
          </cell>
        </row>
        <row r="2282">
          <cell r="B2282">
            <v>40039210</v>
          </cell>
          <cell r="C2282" t="str">
            <v>*No1 San Tur 150G B3G1 M175 P24-MT(New)</v>
          </cell>
          <cell r="D2282">
            <v>0</v>
          </cell>
          <cell r="E2282">
            <v>0</v>
          </cell>
          <cell r="F2282">
            <v>0</v>
          </cell>
        </row>
        <row r="2283">
          <cell r="B2283">
            <v>40041713</v>
          </cell>
          <cell r="C2283" t="str">
            <v>*No1SanTur150GB3G1M175P24-MTFreeSku</v>
          </cell>
          <cell r="D2283">
            <v>0</v>
          </cell>
          <cell r="E2283">
            <v>0</v>
          </cell>
          <cell r="F2283">
            <v>0</v>
          </cell>
        </row>
        <row r="2284">
          <cell r="B2284">
            <v>40050698</v>
          </cell>
          <cell r="C2284" t="str">
            <v>*NO1 SAN TUR 150G B3G1 M175 P24-MT NDSGN</v>
          </cell>
          <cell r="D2284">
            <v>0</v>
          </cell>
          <cell r="E2284">
            <v>0</v>
          </cell>
          <cell r="F2284">
            <v>0</v>
          </cell>
        </row>
        <row r="2285">
          <cell r="B2285">
            <v>40056896</v>
          </cell>
          <cell r="C2285" t="str">
            <v>*NO1 SAN TUR 150G B3G1 M185 P24-MT NDSGN</v>
          </cell>
          <cell r="D2285">
            <v>0</v>
          </cell>
          <cell r="E2285">
            <v>0</v>
          </cell>
          <cell r="F2285">
            <v>0</v>
          </cell>
        </row>
        <row r="2286">
          <cell r="B2286">
            <v>40059046</v>
          </cell>
          <cell r="C2286" t="str">
            <v>NO1 SAN TUR 150G B3G1 M190 P24-MT NDSGN</v>
          </cell>
          <cell r="D2286">
            <v>0</v>
          </cell>
          <cell r="E2286">
            <v>0</v>
          </cell>
          <cell r="F2286">
            <v>0</v>
          </cell>
        </row>
        <row r="2287">
          <cell r="B2287">
            <v>40059162</v>
          </cell>
          <cell r="C2287" t="str">
            <v>NO1 SAN TUR 150G B3G1 M190 P24-MT (4+1)</v>
          </cell>
          <cell r="D2287">
            <v>0</v>
          </cell>
          <cell r="E2287">
            <v>0</v>
          </cell>
          <cell r="F2287">
            <v>0</v>
          </cell>
        </row>
        <row r="2288">
          <cell r="B2288">
            <v>40059171</v>
          </cell>
          <cell r="C2288" t="str">
            <v>NO1 SAN TUR 150G B3G1 M190 P24 FREE-MT</v>
          </cell>
          <cell r="D2288">
            <v>0</v>
          </cell>
          <cell r="E2288">
            <v>0</v>
          </cell>
          <cell r="F2288">
            <v>0</v>
          </cell>
        </row>
        <row r="2289">
          <cell r="B2289">
            <v>40060146</v>
          </cell>
          <cell r="C2289" t="str">
            <v>*NO1 SAN TUR 150G B3G1 M210 P24-MT NDSGN</v>
          </cell>
          <cell r="D2289">
            <v>0</v>
          </cell>
          <cell r="E2289">
            <v>0</v>
          </cell>
          <cell r="F2289">
            <v>0</v>
          </cell>
        </row>
        <row r="2290">
          <cell r="B2290">
            <v>40062155</v>
          </cell>
          <cell r="C2290" t="str">
            <v>NO1 SAN TUR 150G B3G1 M175P24-MT(NEW)LIQ</v>
          </cell>
          <cell r="D2290">
            <v>0</v>
          </cell>
          <cell r="E2290">
            <v>0</v>
          </cell>
          <cell r="F2290">
            <v>0</v>
          </cell>
        </row>
        <row r="2291">
          <cell r="B2291">
            <v>40063409</v>
          </cell>
          <cell r="C2291" t="str">
            <v>NO1 SAN TUR 150G B3G1 M175 P24 FREE-MT</v>
          </cell>
          <cell r="D2291">
            <v>0</v>
          </cell>
          <cell r="E2291">
            <v>0</v>
          </cell>
          <cell r="F2291">
            <v>0</v>
          </cell>
        </row>
        <row r="2292">
          <cell r="B2292">
            <v>40063415</v>
          </cell>
          <cell r="C2292" t="str">
            <v>NO1 SAN TUR 150G B3G1 M175 P24-MT (4+1)</v>
          </cell>
          <cell r="D2292">
            <v>0</v>
          </cell>
          <cell r="E2292">
            <v>0</v>
          </cell>
          <cell r="F2292">
            <v>0</v>
          </cell>
        </row>
        <row r="2293">
          <cell r="B2293">
            <v>40064729</v>
          </cell>
          <cell r="C2293" t="str">
            <v>NO1 SAN TUR 150G PO4 M190P24MT RSTRD NF2</v>
          </cell>
          <cell r="D2293">
            <v>0</v>
          </cell>
          <cell r="E2293">
            <v>0</v>
          </cell>
          <cell r="F2293">
            <v>0</v>
          </cell>
        </row>
        <row r="2294">
          <cell r="B2294">
            <v>40050457</v>
          </cell>
          <cell r="C2294" t="str">
            <v>*NO1 SAN &amp; TUR 150G SINGLES M39.00 P72</v>
          </cell>
          <cell r="D2294">
            <v>0</v>
          </cell>
          <cell r="E2294">
            <v>0</v>
          </cell>
          <cell r="F2294">
            <v>0</v>
          </cell>
        </row>
        <row r="2295">
          <cell r="B2295">
            <v>40060245</v>
          </cell>
          <cell r="C2295" t="str">
            <v>NO1 SAN &amp; TUR 150G SINGLES M35 P72 NDSGN</v>
          </cell>
          <cell r="D2295">
            <v>0</v>
          </cell>
          <cell r="E2295">
            <v>0</v>
          </cell>
          <cell r="F2295">
            <v>0</v>
          </cell>
        </row>
        <row r="2296">
          <cell r="B2296">
            <v>40060913</v>
          </cell>
          <cell r="C2296" t="str">
            <v>NO1SAN&amp;TUR 150G SNGLS M35P72 NDSGN RSTRD</v>
          </cell>
          <cell r="D2296">
            <v>0</v>
          </cell>
          <cell r="E2296">
            <v>0</v>
          </cell>
          <cell r="F2296">
            <v>0</v>
          </cell>
        </row>
        <row r="2297">
          <cell r="B2297">
            <v>40014223</v>
          </cell>
          <cell r="C2297" t="str">
            <v>*No1 S&amp;T100g  B3G1F(NEW)M68P36-MT</v>
          </cell>
          <cell r="D2297">
            <v>0</v>
          </cell>
          <cell r="E2297">
            <v>0</v>
          </cell>
          <cell r="F2297">
            <v>0</v>
          </cell>
        </row>
        <row r="2298">
          <cell r="B2298">
            <v>40019568</v>
          </cell>
          <cell r="C2298" t="str">
            <v>*No1Sandal&amp;Turmeric100gB3G1FM76P36-MT</v>
          </cell>
          <cell r="D2298">
            <v>0</v>
          </cell>
          <cell r="E2298">
            <v>0</v>
          </cell>
          <cell r="F2298">
            <v>0</v>
          </cell>
        </row>
        <row r="2299">
          <cell r="B2299">
            <v>40041627</v>
          </cell>
          <cell r="C2299" t="str">
            <v>*No.1 Sand&amp;Tur 150gx6 P16 M289 MCRT- MT</v>
          </cell>
          <cell r="D2299">
            <v>0</v>
          </cell>
          <cell r="E2299">
            <v>0</v>
          </cell>
          <cell r="F2299">
            <v>0</v>
          </cell>
        </row>
        <row r="2300">
          <cell r="B2300">
            <v>40056155</v>
          </cell>
          <cell r="C2300" t="str">
            <v>*NO.1SAN&amp;TUR150GX6P16M289MCRT-MTND</v>
          </cell>
          <cell r="D2300">
            <v>0</v>
          </cell>
          <cell r="E2300">
            <v>0</v>
          </cell>
          <cell r="F2300">
            <v>0</v>
          </cell>
        </row>
        <row r="2301">
          <cell r="B2301">
            <v>40056715</v>
          </cell>
          <cell r="C2301" t="str">
            <v>*NO.1SAND&amp;TUR150GX6P16M289_LIQ</v>
          </cell>
          <cell r="D2301">
            <v>0</v>
          </cell>
          <cell r="E2301">
            <v>0</v>
          </cell>
          <cell r="F2301">
            <v>0</v>
          </cell>
        </row>
        <row r="2302">
          <cell r="B2302">
            <v>40037269</v>
          </cell>
          <cell r="C2302" t="str">
            <v>*No1 Sandal&amp;Tur150gPO9 M419P10 EcomFK</v>
          </cell>
          <cell r="D2302">
            <v>0</v>
          </cell>
          <cell r="E2302">
            <v>0</v>
          </cell>
          <cell r="F2302">
            <v>0</v>
          </cell>
        </row>
        <row r="2303">
          <cell r="B2303">
            <v>40050803</v>
          </cell>
          <cell r="C2303" t="str">
            <v>*NO1 SANDAL&amp;TUR150GPO9 M419P10 ECOMFK ND</v>
          </cell>
          <cell r="D2303">
            <v>0</v>
          </cell>
          <cell r="E2303">
            <v>0</v>
          </cell>
          <cell r="F2303">
            <v>0</v>
          </cell>
        </row>
        <row r="2304">
          <cell r="B2304">
            <v>40060248</v>
          </cell>
          <cell r="C2304" t="str">
            <v>NO1 SANDAL&amp;TUR150GPO9 M380P10 ECOMFK ND</v>
          </cell>
          <cell r="D2304">
            <v>0</v>
          </cell>
          <cell r="E2304">
            <v>0</v>
          </cell>
          <cell r="F2304">
            <v>0</v>
          </cell>
        </row>
        <row r="2305">
          <cell r="B2305">
            <v>40061038</v>
          </cell>
          <cell r="C2305" t="str">
            <v>NO1 SAN&amp;TUR150GPO9 M449P10ECOMFKND RSTRD</v>
          </cell>
          <cell r="D2305">
            <v>0</v>
          </cell>
          <cell r="E2305">
            <v>0</v>
          </cell>
          <cell r="F2305">
            <v>0</v>
          </cell>
        </row>
        <row r="2306">
          <cell r="B2306">
            <v>40061836</v>
          </cell>
          <cell r="C2306" t="str">
            <v>NO1 SANDAL&amp;TUR150GPO9 M449P10 ECOMFK ND</v>
          </cell>
          <cell r="D2306">
            <v>0</v>
          </cell>
          <cell r="E2306">
            <v>0</v>
          </cell>
          <cell r="F2306">
            <v>0</v>
          </cell>
        </row>
        <row r="2307">
          <cell r="B2307">
            <v>40063243</v>
          </cell>
          <cell r="C2307" t="str">
            <v>NO1SAN&amp;T150GPO9M449P10 ECOFKND RSTRD NF2</v>
          </cell>
          <cell r="D2307">
            <v>0</v>
          </cell>
          <cell r="E2307">
            <v>0</v>
          </cell>
          <cell r="F2307">
            <v>0</v>
          </cell>
        </row>
        <row r="2308">
          <cell r="B2308">
            <v>40012185</v>
          </cell>
          <cell r="C2308" t="str">
            <v>*NO1San&amp;Tur100g+25g(25%extra)SngM24P120</v>
          </cell>
          <cell r="D2308">
            <v>0</v>
          </cell>
          <cell r="E2308">
            <v>0</v>
          </cell>
          <cell r="F2308">
            <v>0</v>
          </cell>
        </row>
        <row r="2309">
          <cell r="B2309">
            <v>40019422</v>
          </cell>
          <cell r="C2309" t="str">
            <v>*No1 63g Sandal63gPolybagM10P216</v>
          </cell>
          <cell r="D2309">
            <v>0</v>
          </cell>
          <cell r="E2309">
            <v>0</v>
          </cell>
          <cell r="F2309">
            <v>0</v>
          </cell>
        </row>
        <row r="2310">
          <cell r="B2310">
            <v>40015676</v>
          </cell>
          <cell r="C2310" t="str">
            <v>*No1San&amp;Tr70gM10P216FRWNo1100GPO4</v>
          </cell>
          <cell r="D2310">
            <v>0</v>
          </cell>
          <cell r="E2310">
            <v>0</v>
          </cell>
          <cell r="F2310">
            <v>0</v>
          </cell>
        </row>
        <row r="2311">
          <cell r="B2311">
            <v>40050875</v>
          </cell>
          <cell r="C2311" t="str">
            <v>*NO1 SANDAL &amp; TUR 47G M10 P216 POLY INST</v>
          </cell>
          <cell r="D2311">
            <v>0</v>
          </cell>
          <cell r="E2311">
            <v>0</v>
          </cell>
          <cell r="F2311">
            <v>0</v>
          </cell>
        </row>
        <row r="2312">
          <cell r="B2312">
            <v>40019649</v>
          </cell>
          <cell r="C2312" t="str">
            <v>*No1Rosewater&amp;Alm100gB3G1FM76P36</v>
          </cell>
          <cell r="D2312">
            <v>0</v>
          </cell>
          <cell r="E2312">
            <v>0</v>
          </cell>
          <cell r="F2312">
            <v>0</v>
          </cell>
        </row>
        <row r="2313">
          <cell r="B2313">
            <v>40033255</v>
          </cell>
          <cell r="C2313" t="str">
            <v>*No1 Rosewater Almond 100g PO5 M90 P36</v>
          </cell>
          <cell r="D2313">
            <v>0</v>
          </cell>
          <cell r="E2313">
            <v>0</v>
          </cell>
          <cell r="F2313">
            <v>0</v>
          </cell>
        </row>
        <row r="2314">
          <cell r="B2314">
            <v>40034142</v>
          </cell>
          <cell r="C2314" t="str">
            <v>*No1 Rose Almond 100g PO5 M110 P36 New</v>
          </cell>
          <cell r="D2314">
            <v>0</v>
          </cell>
          <cell r="E2314">
            <v>0</v>
          </cell>
          <cell r="F2314">
            <v>0</v>
          </cell>
        </row>
        <row r="2315">
          <cell r="B2315">
            <v>40035138</v>
          </cell>
          <cell r="C2315" t="str">
            <v>*No1 Rose Almond 100g PO5 M115 P36 New</v>
          </cell>
          <cell r="D2315">
            <v>0</v>
          </cell>
          <cell r="E2315">
            <v>0</v>
          </cell>
          <cell r="F2315">
            <v>0</v>
          </cell>
        </row>
        <row r="2316">
          <cell r="B2316">
            <v>40043967</v>
          </cell>
          <cell r="C2316" t="str">
            <v>*No1RseAlmond100gPO5M135P36ROIS40M</v>
          </cell>
          <cell r="D2316">
            <v>0</v>
          </cell>
          <cell r="E2316">
            <v>0</v>
          </cell>
          <cell r="F2316">
            <v>0</v>
          </cell>
        </row>
        <row r="2317">
          <cell r="B2317">
            <v>40050669</v>
          </cell>
          <cell r="C2317" t="str">
            <v>*NO1RSEALMD100GPO5M140.00P36ROIND</v>
          </cell>
          <cell r="D2317">
            <v>0</v>
          </cell>
          <cell r="E2317">
            <v>0</v>
          </cell>
          <cell r="F2317">
            <v>0</v>
          </cell>
        </row>
        <row r="2318">
          <cell r="B2318">
            <v>40056781</v>
          </cell>
          <cell r="C2318" t="str">
            <v>*NO1 RSE ALMD 100G PO5 M145 P36 ROI ND</v>
          </cell>
          <cell r="D2318">
            <v>0</v>
          </cell>
          <cell r="E2318">
            <v>0</v>
          </cell>
          <cell r="F2318">
            <v>0</v>
          </cell>
        </row>
        <row r="2319">
          <cell r="B2319">
            <v>40057080</v>
          </cell>
          <cell r="C2319" t="str">
            <v>*NO1 RSE ALMD 100G PO5 M150 P36 ROI ND</v>
          </cell>
          <cell r="D2319">
            <v>0</v>
          </cell>
          <cell r="E2319">
            <v>0</v>
          </cell>
          <cell r="F2319">
            <v>0</v>
          </cell>
        </row>
        <row r="2320">
          <cell r="B2320">
            <v>40058412</v>
          </cell>
          <cell r="C2320" t="str">
            <v>*NO1 RSE ALMD 100G PO5 M155 P36 ROI ND</v>
          </cell>
          <cell r="D2320">
            <v>0</v>
          </cell>
          <cell r="E2320">
            <v>0</v>
          </cell>
          <cell r="F2320">
            <v>0</v>
          </cell>
        </row>
        <row r="2321">
          <cell r="B2321">
            <v>40059879</v>
          </cell>
          <cell r="C2321" t="str">
            <v>*NO1RSEALMD100GPO5M155P36ROINDRSTRD</v>
          </cell>
          <cell r="D2321">
            <v>0</v>
          </cell>
          <cell r="E2321">
            <v>0</v>
          </cell>
          <cell r="F2321">
            <v>0</v>
          </cell>
        </row>
        <row r="2322">
          <cell r="B2322">
            <v>40060212</v>
          </cell>
          <cell r="C2322" t="str">
            <v>NO1 RSEALMD 100GPO5 M130P36 ROI ND RSTRD</v>
          </cell>
          <cell r="D2322">
            <v>0</v>
          </cell>
          <cell r="E2322">
            <v>0</v>
          </cell>
          <cell r="F2322">
            <v>0</v>
          </cell>
        </row>
        <row r="2323">
          <cell r="B2323">
            <v>40060854</v>
          </cell>
          <cell r="C2323" t="str">
            <v>NO1 RSEALMD 100GPO5M130P36ROI NDRSTRD NF</v>
          </cell>
          <cell r="D2323">
            <v>0</v>
          </cell>
          <cell r="E2323">
            <v>0</v>
          </cell>
          <cell r="F2323">
            <v>0</v>
          </cell>
        </row>
        <row r="2324">
          <cell r="B2324">
            <v>40062398</v>
          </cell>
          <cell r="C2324" t="str">
            <v>NO1RSEALMD 100GPO5M120P36 ROI NDRSTRD NF</v>
          </cell>
          <cell r="D2324">
            <v>0</v>
          </cell>
          <cell r="E2324">
            <v>0</v>
          </cell>
          <cell r="F2324">
            <v>0</v>
          </cell>
        </row>
        <row r="2325">
          <cell r="B2325">
            <v>40063286</v>
          </cell>
          <cell r="C2325" t="str">
            <v>NO1RSEALMD 100GPO5M120P36 ROINDRSTRD NF2</v>
          </cell>
          <cell r="D2325">
            <v>0</v>
          </cell>
          <cell r="E2325">
            <v>0</v>
          </cell>
          <cell r="F2325">
            <v>0</v>
          </cell>
        </row>
        <row r="2326">
          <cell r="B2326">
            <v>40036432</v>
          </cell>
          <cell r="C2326" t="str">
            <v>*No1 Rose Almond 100g PO5 M140 P36</v>
          </cell>
          <cell r="D2326">
            <v>0</v>
          </cell>
          <cell r="E2326">
            <v>0</v>
          </cell>
          <cell r="F2326">
            <v>0</v>
          </cell>
        </row>
        <row r="2327">
          <cell r="B2327">
            <v>40036903</v>
          </cell>
          <cell r="C2327" t="str">
            <v>*No1 Rose Almond 100g PO5 M145 P36</v>
          </cell>
          <cell r="D2327">
            <v>0</v>
          </cell>
          <cell r="E2327">
            <v>0</v>
          </cell>
          <cell r="F2327">
            <v>0</v>
          </cell>
        </row>
        <row r="2328">
          <cell r="B2328">
            <v>40037167</v>
          </cell>
          <cell r="C2328" t="str">
            <v>*No1 Rose Almond 100g PO5 M155 P36</v>
          </cell>
          <cell r="D2328">
            <v>0</v>
          </cell>
          <cell r="E2328">
            <v>0</v>
          </cell>
          <cell r="F2328">
            <v>0</v>
          </cell>
        </row>
        <row r="2329">
          <cell r="B2329">
            <v>40037989</v>
          </cell>
          <cell r="C2329" t="str">
            <v>*No1 Rose Almond 100g PO5 M135 P36 S40</v>
          </cell>
          <cell r="D2329">
            <v>0</v>
          </cell>
          <cell r="E2329">
            <v>0</v>
          </cell>
          <cell r="F2329">
            <v>0</v>
          </cell>
        </row>
        <row r="2330">
          <cell r="B2330">
            <v>40058685</v>
          </cell>
          <cell r="C2330" t="str">
            <v>*NO1RSEALMD100GPO5M155P36ROIRSTRD</v>
          </cell>
          <cell r="D2330">
            <v>0</v>
          </cell>
          <cell r="E2330">
            <v>0</v>
          </cell>
          <cell r="F2330">
            <v>0</v>
          </cell>
        </row>
        <row r="2331">
          <cell r="B2331">
            <v>40062506</v>
          </cell>
          <cell r="C2331" t="str">
            <v>NO1 RSE ALMD 100G PO5 M130 P36 RSTRD NF</v>
          </cell>
          <cell r="D2331">
            <v>0</v>
          </cell>
          <cell r="E2331">
            <v>0</v>
          </cell>
          <cell r="F2331">
            <v>0</v>
          </cell>
        </row>
        <row r="2332">
          <cell r="B2332">
            <v>40013224</v>
          </cell>
          <cell r="C2332" t="str">
            <v>*No 1 rosewater 65g PO4P54 M40</v>
          </cell>
          <cell r="D2332">
            <v>0</v>
          </cell>
          <cell r="E2332">
            <v>0</v>
          </cell>
          <cell r="F2332">
            <v>0</v>
          </cell>
        </row>
        <row r="2333">
          <cell r="B2333">
            <v>40019344</v>
          </cell>
          <cell r="C2333" t="str">
            <v>*No1Rosewater&amp;Alm63gPO4M40P54</v>
          </cell>
          <cell r="D2333">
            <v>0</v>
          </cell>
          <cell r="E2333">
            <v>0</v>
          </cell>
          <cell r="F2333">
            <v>0</v>
          </cell>
        </row>
        <row r="2334">
          <cell r="B2334">
            <v>40034312</v>
          </cell>
          <cell r="C2334" t="str">
            <v>*No1RoseWaterAlmond50gPO4M40P54New</v>
          </cell>
          <cell r="D2334">
            <v>0</v>
          </cell>
          <cell r="E2334">
            <v>0</v>
          </cell>
          <cell r="F2334">
            <v>0</v>
          </cell>
        </row>
        <row r="2335">
          <cell r="B2335">
            <v>40036379</v>
          </cell>
          <cell r="C2335" t="str">
            <v>*No1RoseWaterAlmond45gPO4M40P54New</v>
          </cell>
          <cell r="D2335">
            <v>0</v>
          </cell>
          <cell r="E2335">
            <v>0</v>
          </cell>
          <cell r="F2335">
            <v>0</v>
          </cell>
        </row>
        <row r="2336">
          <cell r="B2336">
            <v>40038253</v>
          </cell>
          <cell r="C2336" t="str">
            <v>*No1 RoseWater Almond 47g PO4 M40 P54 N</v>
          </cell>
          <cell r="D2336">
            <v>0</v>
          </cell>
          <cell r="E2336">
            <v>0</v>
          </cell>
          <cell r="F2336">
            <v>0</v>
          </cell>
        </row>
        <row r="2337">
          <cell r="B2337">
            <v>40049998</v>
          </cell>
          <cell r="C2337" t="str">
            <v>*No1 RoseWater Almond 51g PO4 M40 P54 N</v>
          </cell>
          <cell r="D2337">
            <v>0</v>
          </cell>
          <cell r="E2337">
            <v>0</v>
          </cell>
          <cell r="F2337">
            <v>0</v>
          </cell>
        </row>
        <row r="2338">
          <cell r="B2338">
            <v>40056322</v>
          </cell>
          <cell r="C2338" t="str">
            <v>*NO1 RSEWTR ALMND 47G PO4 M40 P54 OSND</v>
          </cell>
          <cell r="D2338">
            <v>0</v>
          </cell>
          <cell r="E2338">
            <v>0</v>
          </cell>
          <cell r="F2338">
            <v>0</v>
          </cell>
        </row>
        <row r="2339">
          <cell r="B2339">
            <v>40058421</v>
          </cell>
          <cell r="C2339" t="str">
            <v>*NO1 RSEWTR ALMND 43G PO4 M40 P54 RSTRD</v>
          </cell>
          <cell r="D2339">
            <v>0</v>
          </cell>
          <cell r="E2339">
            <v>0</v>
          </cell>
          <cell r="F2339">
            <v>0</v>
          </cell>
        </row>
        <row r="2340">
          <cell r="B2340">
            <v>40061703</v>
          </cell>
          <cell r="C2340" t="str">
            <v>NO1 RSEWTR ALMND 45G PO4 M40P54 RSTRD NF</v>
          </cell>
          <cell r="D2340">
            <v>0</v>
          </cell>
          <cell r="E2340">
            <v>0</v>
          </cell>
          <cell r="F2340">
            <v>0</v>
          </cell>
        </row>
        <row r="2341">
          <cell r="B2341">
            <v>40031490</v>
          </cell>
          <cell r="C2341" t="str">
            <v>*No1 57g PO4 Rose Almond M40 P54 NEW</v>
          </cell>
          <cell r="D2341">
            <v>0</v>
          </cell>
          <cell r="E2341">
            <v>0</v>
          </cell>
          <cell r="F2341">
            <v>0</v>
          </cell>
        </row>
        <row r="2342">
          <cell r="B2342">
            <v>40064826</v>
          </cell>
          <cell r="C2342" t="str">
            <v>NO1 ROSE ALMND 150G PO4 M200P24 MT RSTRD</v>
          </cell>
          <cell r="D2342">
            <v>0</v>
          </cell>
          <cell r="E2342">
            <v>0</v>
          </cell>
          <cell r="F2342">
            <v>0</v>
          </cell>
        </row>
        <row r="2343">
          <cell r="B2343">
            <v>40019201</v>
          </cell>
          <cell r="C2343" t="str">
            <v>*No1AloeVera&amp;WL100gB3G1FM72P36</v>
          </cell>
          <cell r="D2343">
            <v>0</v>
          </cell>
          <cell r="E2343">
            <v>0</v>
          </cell>
          <cell r="F2343">
            <v>0</v>
          </cell>
        </row>
        <row r="2344">
          <cell r="B2344">
            <v>40019345</v>
          </cell>
          <cell r="C2344" t="str">
            <v>*No1Aloevera&amp;WL63gPO4M40P54</v>
          </cell>
          <cell r="D2344">
            <v>0</v>
          </cell>
          <cell r="E2344">
            <v>0</v>
          </cell>
          <cell r="F2344">
            <v>0</v>
          </cell>
        </row>
        <row r="2345">
          <cell r="B2345">
            <v>40033689</v>
          </cell>
          <cell r="C2345" t="str">
            <v>*No1 Gly&amp;HoneySoap 75g Sing M25 P108 NEW</v>
          </cell>
          <cell r="D2345">
            <v>0</v>
          </cell>
          <cell r="E2345">
            <v>0</v>
          </cell>
          <cell r="F2345">
            <v>0</v>
          </cell>
        </row>
        <row r="2346">
          <cell r="B2346">
            <v>40015553</v>
          </cell>
          <cell r="C2346" t="str">
            <v>*No1 NS Glycerin&amp;HoneySoap50g PO3 M45P48</v>
          </cell>
          <cell r="D2346">
            <v>0</v>
          </cell>
          <cell r="E2346">
            <v>0</v>
          </cell>
          <cell r="F2346">
            <v>0</v>
          </cell>
        </row>
        <row r="2347">
          <cell r="B2347">
            <v>40021940</v>
          </cell>
          <cell r="C2347" t="str">
            <v>*No1 NS Glyn&amp;HoneySoap50g PO3 M45P48 New</v>
          </cell>
          <cell r="D2347">
            <v>0</v>
          </cell>
          <cell r="E2347">
            <v>0</v>
          </cell>
          <cell r="F2347">
            <v>0</v>
          </cell>
        </row>
        <row r="2348">
          <cell r="B2348">
            <v>40029367</v>
          </cell>
          <cell r="C2348" t="str">
            <v>*GodrejProtekt HealthSoap 50g M10P216</v>
          </cell>
          <cell r="D2348">
            <v>0</v>
          </cell>
          <cell r="E2348">
            <v>0</v>
          </cell>
          <cell r="F2348">
            <v>0</v>
          </cell>
        </row>
        <row r="2349">
          <cell r="B2349">
            <v>40029593</v>
          </cell>
          <cell r="C2349" t="str">
            <v>GodrejProtekt HealthSoap 50g M10P216 MT</v>
          </cell>
          <cell r="D2349">
            <v>0</v>
          </cell>
          <cell r="E2349">
            <v>0</v>
          </cell>
          <cell r="F2349">
            <v>0</v>
          </cell>
        </row>
        <row r="2350">
          <cell r="B2350">
            <v>40030213</v>
          </cell>
          <cell r="C2350" t="str">
            <v>*GodrejProtktAntiGerm50gM10P216FRWsoap</v>
          </cell>
          <cell r="D2350">
            <v>0</v>
          </cell>
          <cell r="E2350">
            <v>0</v>
          </cell>
          <cell r="F2350">
            <v>0</v>
          </cell>
        </row>
        <row r="2351">
          <cell r="B2351">
            <v>40001891</v>
          </cell>
          <cell r="C2351" t="str">
            <v>SWASTIK NEEM 70G PO3 64 SET MRP 39</v>
          </cell>
          <cell r="D2351">
            <v>0</v>
          </cell>
          <cell r="E2351">
            <v>0</v>
          </cell>
          <cell r="F2351">
            <v>0</v>
          </cell>
        </row>
        <row r="2352">
          <cell r="B2352">
            <v>40006800</v>
          </cell>
          <cell r="C2352" t="str">
            <v>*GODREJ SHIKAKAI 75g P:160 M:16</v>
          </cell>
          <cell r="D2352">
            <v>0</v>
          </cell>
          <cell r="E2352">
            <v>0</v>
          </cell>
          <cell r="F2352">
            <v>0</v>
          </cell>
        </row>
        <row r="2353">
          <cell r="B2353">
            <v>40011589</v>
          </cell>
          <cell r="C2353" t="str">
            <v>*GODREJSHIKAKAI(newcolor)75GP160M16</v>
          </cell>
          <cell r="D2353">
            <v>0</v>
          </cell>
          <cell r="E2353">
            <v>0</v>
          </cell>
          <cell r="F2353">
            <v>0</v>
          </cell>
        </row>
        <row r="2354">
          <cell r="B2354">
            <v>40020549</v>
          </cell>
          <cell r="C2354" t="str">
            <v>*Godrej Shikakai 75g M18 P160</v>
          </cell>
          <cell r="D2354">
            <v>0</v>
          </cell>
          <cell r="E2354">
            <v>0</v>
          </cell>
          <cell r="F2354">
            <v>0</v>
          </cell>
        </row>
        <row r="2355">
          <cell r="B2355">
            <v>40032826</v>
          </cell>
          <cell r="C2355" t="str">
            <v>*Godrej Shikakai 75g M24 P160</v>
          </cell>
          <cell r="D2355">
            <v>0</v>
          </cell>
          <cell r="E2355">
            <v>0</v>
          </cell>
          <cell r="F2355">
            <v>0</v>
          </cell>
        </row>
        <row r="2356">
          <cell r="B2356">
            <v>40035234</v>
          </cell>
          <cell r="C2356" t="str">
            <v>*Godrej Shikakai 75g M30 P160 New</v>
          </cell>
          <cell r="D2356">
            <v>0</v>
          </cell>
          <cell r="E2356">
            <v>0</v>
          </cell>
          <cell r="F2356">
            <v>0</v>
          </cell>
        </row>
        <row r="2357">
          <cell r="B2357">
            <v>40041292</v>
          </cell>
          <cell r="C2357" t="str">
            <v>*Godrej Shikakai 75g M36 P160</v>
          </cell>
          <cell r="D2357">
            <v>0</v>
          </cell>
          <cell r="E2357">
            <v>0</v>
          </cell>
          <cell r="F2357">
            <v>0</v>
          </cell>
        </row>
        <row r="2358">
          <cell r="B2358">
            <v>40050206</v>
          </cell>
          <cell r="C2358" t="str">
            <v>*Godrej Shikakai 75g M38 P160</v>
          </cell>
          <cell r="D2358">
            <v>0</v>
          </cell>
          <cell r="E2358">
            <v>0</v>
          </cell>
          <cell r="F2358">
            <v>0</v>
          </cell>
        </row>
        <row r="2359">
          <cell r="B2359">
            <v>40060344</v>
          </cell>
          <cell r="C2359" t="str">
            <v>GODREJ SHIKAKAI 75G M34 P160</v>
          </cell>
          <cell r="D2359">
            <v>0</v>
          </cell>
          <cell r="E2359">
            <v>0</v>
          </cell>
          <cell r="F2359">
            <v>0</v>
          </cell>
        </row>
        <row r="2360">
          <cell r="B2360">
            <v>40040998</v>
          </cell>
          <cell r="C2360" t="str">
            <v>*PA Soap New Lemon 75g MRP 35P192</v>
          </cell>
          <cell r="D2360">
            <v>0</v>
          </cell>
          <cell r="E2360">
            <v>0</v>
          </cell>
          <cell r="F2360">
            <v>0</v>
          </cell>
        </row>
        <row r="2361">
          <cell r="B2361">
            <v>40041039</v>
          </cell>
          <cell r="C2361" t="str">
            <v>*PA Soap G2 Lemon Storm125g B3G1 M210P27</v>
          </cell>
          <cell r="D2361">
            <v>0</v>
          </cell>
          <cell r="E2361">
            <v>0</v>
          </cell>
          <cell r="F2361">
            <v>0</v>
          </cell>
        </row>
        <row r="2362">
          <cell r="B2362">
            <v>40042102</v>
          </cell>
          <cell r="C2362" t="str">
            <v>*PASoapG2Luxury125g(MRP70)P108GCPL</v>
          </cell>
          <cell r="D2362">
            <v>0</v>
          </cell>
          <cell r="E2362">
            <v>0</v>
          </cell>
          <cell r="F2362">
            <v>0</v>
          </cell>
        </row>
        <row r="2363">
          <cell r="B2363">
            <v>40060223</v>
          </cell>
          <cell r="C2363" t="str">
            <v>PA SOAP LUXURY 125G M70 P108 GCPL</v>
          </cell>
          <cell r="D2363">
            <v>0</v>
          </cell>
          <cell r="E2363">
            <v>0</v>
          </cell>
          <cell r="F2363">
            <v>0</v>
          </cell>
        </row>
        <row r="2364">
          <cell r="B2364">
            <v>40001897</v>
          </cell>
          <cell r="C2364" t="str">
            <v>SWASTIK SHIKAKAI 90G PACK 144 MRP 16</v>
          </cell>
          <cell r="D2364">
            <v>0</v>
          </cell>
          <cell r="E2364">
            <v>0</v>
          </cell>
          <cell r="F2364">
            <v>0</v>
          </cell>
        </row>
        <row r="2365">
          <cell r="B2365">
            <v>40001934</v>
          </cell>
          <cell r="C2365" t="str">
            <v>VIGIL STRONG 120G P04 30PCKS 60.0</v>
          </cell>
          <cell r="D2365">
            <v>0</v>
          </cell>
          <cell r="E2365">
            <v>0</v>
          </cell>
          <cell r="F2365">
            <v>0</v>
          </cell>
        </row>
        <row r="2366">
          <cell r="B2366">
            <v>40006608</v>
          </cell>
          <cell r="C2366" t="str">
            <v>*Vigil 100g PO4 PK 30 MRP65</v>
          </cell>
          <cell r="D2366">
            <v>0</v>
          </cell>
          <cell r="E2366">
            <v>0</v>
          </cell>
          <cell r="F2366">
            <v>0</v>
          </cell>
        </row>
        <row r="2367">
          <cell r="B2367">
            <v>40050205</v>
          </cell>
          <cell r="C2367" t="str">
            <v>*Crowning Glory 75g PO4 M150 P50 New</v>
          </cell>
          <cell r="D2367">
            <v>0</v>
          </cell>
          <cell r="E2367">
            <v>0</v>
          </cell>
          <cell r="F2367">
            <v>0</v>
          </cell>
        </row>
        <row r="2368">
          <cell r="B2368">
            <v>40063504</v>
          </cell>
          <cell r="C2368" t="str">
            <v>CIN CL BDYWASH BTTLE 200ML M99P30 STCKR</v>
          </cell>
          <cell r="D2368">
            <v>0</v>
          </cell>
          <cell r="E2368">
            <v>0</v>
          </cell>
          <cell r="F2368">
            <v>0</v>
          </cell>
        </row>
        <row r="2369">
          <cell r="B2369">
            <v>40065843</v>
          </cell>
          <cell r="C2369" t="str">
            <v>CIN COOL BDYWASH BTTLE 200ML M99P30 GT</v>
          </cell>
          <cell r="D2369">
            <v>0</v>
          </cell>
          <cell r="E2369">
            <v>0</v>
          </cell>
          <cell r="F2369">
            <v>0</v>
          </cell>
        </row>
        <row r="2370">
          <cell r="B2370">
            <v>40049659</v>
          </cell>
          <cell r="C2370" t="str">
            <v>Cin Lime Bdywsh 600mlCombi(B+2R) M280P12</v>
          </cell>
          <cell r="D2370">
            <v>0</v>
          </cell>
          <cell r="E2370">
            <v>0</v>
          </cell>
          <cell r="F2370">
            <v>0</v>
          </cell>
        </row>
        <row r="2371">
          <cell r="B2371">
            <v>40049660</v>
          </cell>
          <cell r="C2371" t="str">
            <v>Cin Org Bdywsh 600mlCombi(B+2R) M280 P12</v>
          </cell>
          <cell r="D2371">
            <v>0</v>
          </cell>
          <cell r="E2371">
            <v>0</v>
          </cell>
          <cell r="F2371">
            <v>0</v>
          </cell>
        </row>
        <row r="2372">
          <cell r="B2372">
            <v>40063505</v>
          </cell>
          <cell r="C2372" t="str">
            <v>CIN LIME BDWSH BTTLE 200ML M99P30 STKR</v>
          </cell>
          <cell r="D2372">
            <v>0</v>
          </cell>
          <cell r="E2372">
            <v>0</v>
          </cell>
          <cell r="F2372">
            <v>0</v>
          </cell>
        </row>
        <row r="2373">
          <cell r="B2373">
            <v>40063507</v>
          </cell>
          <cell r="C2373" t="str">
            <v>CIN ORG BDWSH BTTLE 200ML M99P30 STKR</v>
          </cell>
          <cell r="D2373">
            <v>0</v>
          </cell>
          <cell r="E2373">
            <v>0</v>
          </cell>
          <cell r="F2373">
            <v>0</v>
          </cell>
        </row>
        <row r="2374">
          <cell r="B2374">
            <v>40059773</v>
          </cell>
          <cell r="C2374" t="str">
            <v>CIN ORG BDYWASH BOTTLE 750ML M330P12</v>
          </cell>
          <cell r="D2374">
            <v>0</v>
          </cell>
          <cell r="E2374">
            <v>0</v>
          </cell>
          <cell r="F2374">
            <v>0</v>
          </cell>
        </row>
        <row r="2375">
          <cell r="B2375">
            <v>40037457</v>
          </cell>
          <cell r="C2375" t="str">
            <v>No1Sandal&amp;Tur100g Singles NPR45-NPL P144</v>
          </cell>
          <cell r="D2375">
            <v>0</v>
          </cell>
          <cell r="E2375">
            <v>0</v>
          </cell>
          <cell r="F2375">
            <v>0</v>
          </cell>
        </row>
        <row r="2376">
          <cell r="B2376">
            <v>40042887</v>
          </cell>
          <cell r="C2376" t="str">
            <v>*GPSmoothRenewShampo250mlMRP1100PS24AMZ</v>
          </cell>
          <cell r="D2376">
            <v>0</v>
          </cell>
          <cell r="E2376">
            <v>0</v>
          </cell>
          <cell r="F2376">
            <v>0</v>
          </cell>
        </row>
        <row r="2377">
          <cell r="B2377">
            <v>40043650</v>
          </cell>
          <cell r="C2377" t="str">
            <v>GP Color Play Shade 1 M370 70g P24</v>
          </cell>
          <cell r="D2377">
            <v>0</v>
          </cell>
          <cell r="E2377">
            <v>0</v>
          </cell>
          <cell r="F2377">
            <v>0</v>
          </cell>
        </row>
        <row r="2378">
          <cell r="B2378">
            <v>40043665</v>
          </cell>
          <cell r="C2378" t="str">
            <v>GP Color Play Shade 1 M370 70g P24 FRW</v>
          </cell>
          <cell r="D2378">
            <v>0</v>
          </cell>
          <cell r="E2378">
            <v>0</v>
          </cell>
          <cell r="F2378">
            <v>0</v>
          </cell>
        </row>
        <row r="2379">
          <cell r="B2379">
            <v>40050190</v>
          </cell>
          <cell r="C2379" t="str">
            <v>GPBrwn wthBrwngoldreflct 5.8370G M370P24</v>
          </cell>
          <cell r="D2379">
            <v>0</v>
          </cell>
          <cell r="E2379">
            <v>0</v>
          </cell>
          <cell r="F2379">
            <v>0</v>
          </cell>
        </row>
        <row r="2380">
          <cell r="B2380">
            <v>40050197</v>
          </cell>
          <cell r="C2380" t="str">
            <v>GPBrwnwthBrwngoldreflct5.8370GM370P24FRW</v>
          </cell>
          <cell r="D2380">
            <v>0</v>
          </cell>
          <cell r="E2380">
            <v>0</v>
          </cell>
          <cell r="F2380">
            <v>0</v>
          </cell>
        </row>
        <row r="2381">
          <cell r="B2381">
            <v>40050198</v>
          </cell>
          <cell r="C2381" t="str">
            <v>GPDrkBlndwthBrwnReflc 6.870G M370 P24FRW</v>
          </cell>
          <cell r="D2381">
            <v>0</v>
          </cell>
          <cell r="E2381">
            <v>0</v>
          </cell>
          <cell r="F2381">
            <v>0</v>
          </cell>
        </row>
        <row r="2382">
          <cell r="B2382">
            <v>40050187</v>
          </cell>
          <cell r="C2382" t="str">
            <v>GPLghtblndgldcoprreflct8.3470GM370P24FRW</v>
          </cell>
          <cell r="D2382">
            <v>0</v>
          </cell>
          <cell r="E2382">
            <v>0</v>
          </cell>
          <cell r="F2382">
            <v>0</v>
          </cell>
        </row>
        <row r="2383">
          <cell r="B2383">
            <v>40050189</v>
          </cell>
          <cell r="C2383" t="str">
            <v>GPLghtblndwthgldcoprreflct8.3470GM370P24</v>
          </cell>
          <cell r="D2383">
            <v>0</v>
          </cell>
          <cell r="E2383">
            <v>0</v>
          </cell>
          <cell r="F2383">
            <v>0</v>
          </cell>
        </row>
        <row r="2384">
          <cell r="B2384">
            <v>40057099</v>
          </cell>
          <cell r="C2384" t="str">
            <v>GPCP12.3VRYLIGHTBLNDGOLD M370 70G P24</v>
          </cell>
          <cell r="D2384">
            <v>0</v>
          </cell>
          <cell r="E2384">
            <v>0</v>
          </cell>
          <cell r="F2384">
            <v>0</v>
          </cell>
        </row>
        <row r="2385">
          <cell r="B2385">
            <v>40057288</v>
          </cell>
          <cell r="C2385" t="str">
            <v>GPCP12.3VRYLGHTBLNDGOLD M370 70G P24 FRW</v>
          </cell>
          <cell r="D2385">
            <v>0</v>
          </cell>
          <cell r="E2385">
            <v>0</v>
          </cell>
          <cell r="F2385">
            <v>0</v>
          </cell>
        </row>
        <row r="2386">
          <cell r="B2386">
            <v>40057289</v>
          </cell>
          <cell r="C2386" t="str">
            <v>GPCP12.7VRYLGHTBLDE MAT M370 70G P24 FRW</v>
          </cell>
          <cell r="D2386">
            <v>0</v>
          </cell>
          <cell r="E2386">
            <v>0</v>
          </cell>
          <cell r="F2386">
            <v>0</v>
          </cell>
        </row>
        <row r="2387">
          <cell r="B2387">
            <v>40057292</v>
          </cell>
          <cell r="C2387" t="str">
            <v>GPCP9.26VRYLGHTBLNRDIRD M370 70G P24 FRW</v>
          </cell>
          <cell r="D2387">
            <v>0</v>
          </cell>
          <cell r="E2387">
            <v>0</v>
          </cell>
          <cell r="F2387">
            <v>0</v>
          </cell>
        </row>
        <row r="2388">
          <cell r="B2388">
            <v>40057295</v>
          </cell>
          <cell r="C2388" t="str">
            <v>GPCP12.13VRYLGTBLNDBEIG M370 70G P24 FRW</v>
          </cell>
          <cell r="D2388">
            <v>0</v>
          </cell>
          <cell r="E2388">
            <v>0</v>
          </cell>
          <cell r="F2388">
            <v>0</v>
          </cell>
        </row>
        <row r="2389">
          <cell r="B2389">
            <v>40057299</v>
          </cell>
          <cell r="C2389" t="str">
            <v>GPCP7.11BLND INTENSEASH M370 70G P24 FRW</v>
          </cell>
          <cell r="D2389">
            <v>0</v>
          </cell>
          <cell r="E2389">
            <v>0</v>
          </cell>
          <cell r="F2389">
            <v>0</v>
          </cell>
        </row>
        <row r="2390">
          <cell r="B2390">
            <v>40057270</v>
          </cell>
          <cell r="C2390" t="str">
            <v>GPCP4.26BRWNIRDSCNT RED M370 70G P24 FRW</v>
          </cell>
          <cell r="D2390">
            <v>0</v>
          </cell>
          <cell r="E2390">
            <v>0</v>
          </cell>
          <cell r="F2390">
            <v>0</v>
          </cell>
        </row>
        <row r="2391">
          <cell r="B2391">
            <v>40057281</v>
          </cell>
          <cell r="C2391" t="str">
            <v>GPCP12.1VRYLIGHTBLNDASH M370 70G P24</v>
          </cell>
          <cell r="D2391">
            <v>0</v>
          </cell>
          <cell r="E2391">
            <v>0</v>
          </cell>
          <cell r="F2391">
            <v>0</v>
          </cell>
        </row>
        <row r="2392">
          <cell r="B2392">
            <v>40057306</v>
          </cell>
          <cell r="C2392" t="str">
            <v>GPCP12.1VRYLIGHTBLNDASH M370 70G P24 FRW</v>
          </cell>
          <cell r="D2392">
            <v>0</v>
          </cell>
          <cell r="E2392">
            <v>0</v>
          </cell>
          <cell r="F2392">
            <v>0</v>
          </cell>
        </row>
        <row r="2393">
          <cell r="B2393">
            <v>40057285</v>
          </cell>
          <cell r="C2393" t="str">
            <v>GP CP 4.3 BRWN WITH GLD M370 70G P24</v>
          </cell>
          <cell r="D2393">
            <v>0</v>
          </cell>
          <cell r="E2393">
            <v>0</v>
          </cell>
          <cell r="F2393">
            <v>0</v>
          </cell>
        </row>
        <row r="2394">
          <cell r="B2394">
            <v>40057300</v>
          </cell>
          <cell r="C2394" t="str">
            <v>GP CP 4.3 BRWN WITH GLD M370 70G P24 FRW</v>
          </cell>
          <cell r="D2394">
            <v>0</v>
          </cell>
          <cell r="E2394">
            <v>0</v>
          </cell>
          <cell r="F2394">
            <v>0</v>
          </cell>
        </row>
        <row r="2395">
          <cell r="B2395">
            <v>40057353</v>
          </cell>
          <cell r="C2395" t="str">
            <v>GPCP6.62DRKBLNDRED IRDS M370 70G P24 FRW</v>
          </cell>
          <cell r="D2395">
            <v>0</v>
          </cell>
          <cell r="E2395">
            <v>0</v>
          </cell>
          <cell r="F2395">
            <v>0</v>
          </cell>
        </row>
        <row r="2396">
          <cell r="B2396">
            <v>40057282</v>
          </cell>
          <cell r="C2396" t="str">
            <v>GPCP7.33BLND INTENSE GLD M370 70G P24</v>
          </cell>
          <cell r="D2396">
            <v>0</v>
          </cell>
          <cell r="E2396">
            <v>0</v>
          </cell>
          <cell r="F2396">
            <v>0</v>
          </cell>
        </row>
        <row r="2397">
          <cell r="B2397">
            <v>40057304</v>
          </cell>
          <cell r="C2397" t="str">
            <v>GPCP7.33BLNDINTENSE GLD M370 70G P24 FRW</v>
          </cell>
          <cell r="D2397">
            <v>0</v>
          </cell>
          <cell r="E2397">
            <v>0</v>
          </cell>
          <cell r="F2397">
            <v>0</v>
          </cell>
        </row>
        <row r="2398">
          <cell r="B2398">
            <v>40057664</v>
          </cell>
          <cell r="C2398" t="str">
            <v>GPCP6.66BLNDINTENSE RED M370 70G P24 FRW</v>
          </cell>
          <cell r="D2398">
            <v>0</v>
          </cell>
          <cell r="E2398">
            <v>0</v>
          </cell>
          <cell r="F2398">
            <v>0</v>
          </cell>
        </row>
        <row r="2399">
          <cell r="B2399">
            <v>40057286</v>
          </cell>
          <cell r="C2399" t="str">
            <v>GPCP6.13DRKBLND ASH GLD M370 70G P24</v>
          </cell>
          <cell r="D2399">
            <v>0</v>
          </cell>
          <cell r="E2399">
            <v>0</v>
          </cell>
          <cell r="F2399">
            <v>0</v>
          </cell>
        </row>
        <row r="2400">
          <cell r="B2400">
            <v>40057303</v>
          </cell>
          <cell r="C2400" t="str">
            <v>GPCP6.13DRKBLND ASH GLD M370 70G P24 FRW</v>
          </cell>
          <cell r="D2400">
            <v>0</v>
          </cell>
          <cell r="E2400">
            <v>0</v>
          </cell>
          <cell r="F2400">
            <v>0</v>
          </cell>
        </row>
        <row r="2401">
          <cell r="B2401">
            <v>40043654</v>
          </cell>
          <cell r="C2401" t="str">
            <v>GP Color Play Shade 3 M370 70g P24 FRW</v>
          </cell>
          <cell r="D2401">
            <v>0</v>
          </cell>
          <cell r="E2401">
            <v>0</v>
          </cell>
          <cell r="F2401">
            <v>0</v>
          </cell>
        </row>
        <row r="2402">
          <cell r="B2402">
            <v>40043671</v>
          </cell>
          <cell r="C2402" t="str">
            <v>GP Color Play Shade 3 M370 70g P24</v>
          </cell>
          <cell r="D2402">
            <v>0</v>
          </cell>
          <cell r="E2402">
            <v>0</v>
          </cell>
          <cell r="F2402">
            <v>0</v>
          </cell>
        </row>
        <row r="2403">
          <cell r="B2403">
            <v>40062208</v>
          </cell>
          <cell r="C2403" t="str">
            <v>GP NEW COLORPLAYSHADE 3 M370 70G P24 FRW</v>
          </cell>
          <cell r="D2403">
            <v>0</v>
          </cell>
          <cell r="E2403">
            <v>0</v>
          </cell>
          <cell r="F2403">
            <v>0</v>
          </cell>
        </row>
        <row r="2404">
          <cell r="B2404">
            <v>40043642</v>
          </cell>
          <cell r="C2404" t="str">
            <v>GP Color Play Shade 4 M370 70gm P24 FRW</v>
          </cell>
          <cell r="D2404">
            <v>0</v>
          </cell>
          <cell r="E2404">
            <v>0</v>
          </cell>
          <cell r="F2404">
            <v>0</v>
          </cell>
        </row>
        <row r="2405">
          <cell r="B2405">
            <v>40062207</v>
          </cell>
          <cell r="C2405" t="str">
            <v>GP NEWCOLORPLAYSHADE 4 M370 70GM P24 FRW</v>
          </cell>
          <cell r="D2405">
            <v>0</v>
          </cell>
          <cell r="E2405">
            <v>0</v>
          </cell>
          <cell r="F2405">
            <v>0</v>
          </cell>
        </row>
        <row r="2406">
          <cell r="B2406">
            <v>40043644</v>
          </cell>
          <cell r="C2406" t="str">
            <v>GP Color Play Shade 5 M370 70g P24 FRW</v>
          </cell>
          <cell r="D2406">
            <v>0</v>
          </cell>
          <cell r="E2406">
            <v>0</v>
          </cell>
          <cell r="F2406">
            <v>0</v>
          </cell>
        </row>
        <row r="2407">
          <cell r="B2407">
            <v>40062206</v>
          </cell>
          <cell r="C2407" t="str">
            <v>GP NEW COLORPLAYSHADE 5 M370 70G P24 FRW</v>
          </cell>
          <cell r="D2407">
            <v>0</v>
          </cell>
          <cell r="E2407">
            <v>0</v>
          </cell>
          <cell r="F2407">
            <v>0</v>
          </cell>
        </row>
        <row r="2408">
          <cell r="B2408">
            <v>40043675</v>
          </cell>
          <cell r="C2408" t="str">
            <v>GP Color Play Shade 6 M370 70g P24 FRW</v>
          </cell>
          <cell r="D2408">
            <v>0</v>
          </cell>
          <cell r="E2408">
            <v>0</v>
          </cell>
          <cell r="F2408">
            <v>0</v>
          </cell>
        </row>
        <row r="2409">
          <cell r="B2409">
            <v>40050196</v>
          </cell>
          <cell r="C2409" t="str">
            <v>GPColorPlayShade Blonde 7 70G M370P24FRW</v>
          </cell>
          <cell r="D2409">
            <v>0</v>
          </cell>
          <cell r="E2409">
            <v>0</v>
          </cell>
          <cell r="F2409">
            <v>0</v>
          </cell>
        </row>
        <row r="2410">
          <cell r="B2410">
            <v>40050170</v>
          </cell>
          <cell r="C2410" t="str">
            <v>GPDark brown Red reflct 4.670G M370P24FW</v>
          </cell>
          <cell r="D2410">
            <v>0</v>
          </cell>
          <cell r="E2410">
            <v>0</v>
          </cell>
          <cell r="F2410">
            <v>0</v>
          </cell>
        </row>
        <row r="2411">
          <cell r="B2411">
            <v>40050195</v>
          </cell>
          <cell r="C2411" t="str">
            <v>GPDark brown Red reflect 4.670G M370 P24</v>
          </cell>
          <cell r="D2411">
            <v>0</v>
          </cell>
          <cell r="E2411">
            <v>0</v>
          </cell>
          <cell r="F2411">
            <v>0</v>
          </cell>
        </row>
        <row r="2412">
          <cell r="B2412">
            <v>40050172</v>
          </cell>
          <cell r="C2412" t="str">
            <v>GPDarkBrwn wthBrwnreflct 4.8 70G M370P24</v>
          </cell>
          <cell r="D2412">
            <v>0</v>
          </cell>
          <cell r="E2412">
            <v>0</v>
          </cell>
          <cell r="F2412">
            <v>0</v>
          </cell>
        </row>
        <row r="2413">
          <cell r="B2413">
            <v>40050208</v>
          </cell>
          <cell r="C2413" t="str">
            <v>GPDarkBrwn wthBrwnreflct4.870GM370P24FRW</v>
          </cell>
          <cell r="D2413">
            <v>0</v>
          </cell>
          <cell r="E2413">
            <v>0</v>
          </cell>
          <cell r="F2413">
            <v>0</v>
          </cell>
        </row>
        <row r="2414">
          <cell r="B2414">
            <v>40043593</v>
          </cell>
          <cell r="C2414" t="str">
            <v>GP Color Play Dev 20 Vol 1000ml M400 P9</v>
          </cell>
          <cell r="D2414">
            <v>0</v>
          </cell>
          <cell r="E2414">
            <v>0</v>
          </cell>
          <cell r="F2414">
            <v>0</v>
          </cell>
        </row>
        <row r="2415">
          <cell r="B2415">
            <v>40043667</v>
          </cell>
          <cell r="C2415" t="str">
            <v>GP Color Play Dev20 Vol1000ml M400 P9FRW</v>
          </cell>
          <cell r="D2415">
            <v>0</v>
          </cell>
          <cell r="E2415">
            <v>0</v>
          </cell>
          <cell r="F2415">
            <v>0</v>
          </cell>
        </row>
        <row r="2416">
          <cell r="B2416">
            <v>40050019</v>
          </cell>
          <cell r="C2416" t="str">
            <v>GP ColorPlay Devl20 Vol1000ml M500 P9FRW</v>
          </cell>
          <cell r="D2416">
            <v>0</v>
          </cell>
          <cell r="E2416">
            <v>0</v>
          </cell>
          <cell r="F2416">
            <v>0</v>
          </cell>
        </row>
        <row r="2417">
          <cell r="B2417">
            <v>40061957</v>
          </cell>
          <cell r="C2417" t="str">
            <v>GPCOLORPLAYDEV 20VOL 1000ML M0.01 P9 LIQ</v>
          </cell>
          <cell r="D2417">
            <v>0</v>
          </cell>
          <cell r="E2417">
            <v>0</v>
          </cell>
          <cell r="F2417">
            <v>0</v>
          </cell>
        </row>
        <row r="2418">
          <cell r="B2418">
            <v>40050016</v>
          </cell>
          <cell r="C2418" t="str">
            <v>GP ColorPlay Dev30 Vol1000ml M500 P9FRW</v>
          </cell>
          <cell r="D2418">
            <v>0</v>
          </cell>
          <cell r="E2418">
            <v>0</v>
          </cell>
          <cell r="F2418">
            <v>0</v>
          </cell>
        </row>
        <row r="2419">
          <cell r="B2419">
            <v>40039330</v>
          </cell>
          <cell r="C2419" t="str">
            <v>GP Blonde Fix PL 400 g MRP 1300 P9</v>
          </cell>
          <cell r="D2419">
            <v>0</v>
          </cell>
          <cell r="E2419">
            <v>0</v>
          </cell>
          <cell r="F2419">
            <v>0</v>
          </cell>
        </row>
        <row r="2420">
          <cell r="B2420">
            <v>40039341</v>
          </cell>
          <cell r="C2420" t="str">
            <v>GP Blonde Fix PL 400 g MRP 1300 P9FRW</v>
          </cell>
          <cell r="D2420">
            <v>0</v>
          </cell>
          <cell r="E2420">
            <v>0</v>
          </cell>
          <cell r="F2420">
            <v>0</v>
          </cell>
        </row>
        <row r="2421">
          <cell r="B2421">
            <v>40042418</v>
          </cell>
          <cell r="C2421" t="str">
            <v>GP Botosmooth 1000g MRP20000 PS6</v>
          </cell>
          <cell r="D2421">
            <v>0</v>
          </cell>
          <cell r="E2421">
            <v>0</v>
          </cell>
          <cell r="F2421">
            <v>0</v>
          </cell>
        </row>
        <row r="2422">
          <cell r="B2422">
            <v>40042448</v>
          </cell>
          <cell r="C2422" t="str">
            <v>GP Botosmooth 1000g MRP20000 PS6 FRW</v>
          </cell>
          <cell r="D2422">
            <v>0</v>
          </cell>
          <cell r="E2422">
            <v>0</v>
          </cell>
          <cell r="F2422">
            <v>0</v>
          </cell>
        </row>
        <row r="2423">
          <cell r="B2423">
            <v>40050544</v>
          </cell>
          <cell r="C2423" t="str">
            <v>GP Botosmooth 1000g DSTBUTION M20000 PS6</v>
          </cell>
          <cell r="D2423">
            <v>0</v>
          </cell>
          <cell r="E2423">
            <v>0</v>
          </cell>
          <cell r="F2423">
            <v>0</v>
          </cell>
        </row>
        <row r="2424">
          <cell r="B2424">
            <v>40061958</v>
          </cell>
          <cell r="C2424" t="str">
            <v>GP BOTOSMOOTH 1000GM M0.01 P6 LIQ</v>
          </cell>
          <cell r="D2424">
            <v>0</v>
          </cell>
          <cell r="E2424">
            <v>0</v>
          </cell>
          <cell r="F2424">
            <v>0</v>
          </cell>
        </row>
        <row r="2425">
          <cell r="B2425">
            <v>40057858</v>
          </cell>
          <cell r="C2425" t="str">
            <v>GP BOTOSMOOTH 120GM M2950P36</v>
          </cell>
          <cell r="D2425">
            <v>0</v>
          </cell>
          <cell r="E2425">
            <v>0</v>
          </cell>
          <cell r="F2425">
            <v>0</v>
          </cell>
        </row>
        <row r="2426">
          <cell r="B2426">
            <v>40059315</v>
          </cell>
          <cell r="C2426" t="str">
            <v>GP BOTOSMOOTH 120GM M2950 P36 FRW</v>
          </cell>
          <cell r="D2426">
            <v>0</v>
          </cell>
          <cell r="E2426">
            <v>0</v>
          </cell>
          <cell r="F2426">
            <v>0</v>
          </cell>
        </row>
        <row r="2427">
          <cell r="B2427">
            <v>40025408</v>
          </cell>
          <cell r="C2427" t="str">
            <v>GP ColorPlayCaramel70g FRW Color M310P24</v>
          </cell>
          <cell r="D2427">
            <v>0</v>
          </cell>
          <cell r="E2427">
            <v>0</v>
          </cell>
          <cell r="F2427">
            <v>0</v>
          </cell>
        </row>
        <row r="2428">
          <cell r="B2428">
            <v>40037414</v>
          </cell>
          <cell r="C2428" t="str">
            <v>GP ColorPlay - Caramel 70g M370 P24</v>
          </cell>
          <cell r="D2428">
            <v>0</v>
          </cell>
          <cell r="E2428">
            <v>0</v>
          </cell>
          <cell r="F2428">
            <v>0</v>
          </cell>
        </row>
        <row r="2429">
          <cell r="B2429">
            <v>40037517</v>
          </cell>
          <cell r="C2429" t="str">
            <v>GP ColorPlay - Caramel 70g M370 P24 FRW</v>
          </cell>
          <cell r="D2429">
            <v>0</v>
          </cell>
          <cell r="E2429">
            <v>0</v>
          </cell>
          <cell r="F2429">
            <v>0</v>
          </cell>
        </row>
        <row r="2430">
          <cell r="B2430">
            <v>40041348</v>
          </cell>
          <cell r="C2430" t="str">
            <v>GP Colour Play Shade 7.3 70g M370P24</v>
          </cell>
          <cell r="D2430">
            <v>0</v>
          </cell>
          <cell r="E2430">
            <v>0</v>
          </cell>
          <cell r="F2430">
            <v>0</v>
          </cell>
        </row>
        <row r="2431">
          <cell r="B2431">
            <v>40043652</v>
          </cell>
          <cell r="C2431" t="str">
            <v>GP COLOUR PLAY SHADE 7.3 70G M370P24 FRW</v>
          </cell>
          <cell r="D2431">
            <v>0</v>
          </cell>
          <cell r="E2431">
            <v>0</v>
          </cell>
          <cell r="F2431">
            <v>0</v>
          </cell>
        </row>
        <row r="2432">
          <cell r="B2432">
            <v>40020174</v>
          </cell>
          <cell r="C2432" t="str">
            <v>GP ColorPlay-HazelGold 70g M310 P24</v>
          </cell>
          <cell r="D2432">
            <v>0</v>
          </cell>
          <cell r="E2432">
            <v>0</v>
          </cell>
          <cell r="F2432">
            <v>0</v>
          </cell>
        </row>
        <row r="2433">
          <cell r="B2433">
            <v>40025417</v>
          </cell>
          <cell r="C2433" t="str">
            <v>GP ColrPlyHazelGold70gFRW Colr M310 P24</v>
          </cell>
          <cell r="D2433">
            <v>0</v>
          </cell>
          <cell r="E2433">
            <v>0</v>
          </cell>
          <cell r="F2433">
            <v>0</v>
          </cell>
        </row>
        <row r="2434">
          <cell r="B2434">
            <v>40041347</v>
          </cell>
          <cell r="C2434" t="str">
            <v>GP ColourPlay Shade 7.43 70g M370P24</v>
          </cell>
          <cell r="D2434">
            <v>0</v>
          </cell>
          <cell r="E2434">
            <v>0</v>
          </cell>
          <cell r="F2434">
            <v>0</v>
          </cell>
        </row>
        <row r="2435">
          <cell r="B2435">
            <v>40043688</v>
          </cell>
          <cell r="C2435" t="str">
            <v>GP COLOURPLAY SHADE 7.43 70G M370P24 FRW</v>
          </cell>
          <cell r="D2435">
            <v>0</v>
          </cell>
          <cell r="E2435">
            <v>0</v>
          </cell>
          <cell r="F2435">
            <v>0</v>
          </cell>
        </row>
        <row r="2436">
          <cell r="B2436">
            <v>40041356</v>
          </cell>
          <cell r="C2436" t="str">
            <v>GPColour PlayShade 11.26 70g M370 P24</v>
          </cell>
          <cell r="D2436">
            <v>0</v>
          </cell>
          <cell r="E2436">
            <v>0</v>
          </cell>
          <cell r="F2436">
            <v>0</v>
          </cell>
        </row>
        <row r="2437">
          <cell r="B2437">
            <v>40043683</v>
          </cell>
          <cell r="C2437" t="str">
            <v>GPCOLOURPLAYSHADE 11.26 70G M370 P24 FRW</v>
          </cell>
          <cell r="D2437">
            <v>0</v>
          </cell>
          <cell r="E2437">
            <v>0</v>
          </cell>
          <cell r="F2437">
            <v>0</v>
          </cell>
        </row>
        <row r="2438">
          <cell r="B2438">
            <v>40038414</v>
          </cell>
          <cell r="C2438" t="str">
            <v>GPColorPlay IrdescentBlonde 70g M370 P24</v>
          </cell>
          <cell r="D2438">
            <v>0</v>
          </cell>
          <cell r="E2438">
            <v>0</v>
          </cell>
          <cell r="F2438">
            <v>0</v>
          </cell>
        </row>
        <row r="2439">
          <cell r="B2439">
            <v>40039326</v>
          </cell>
          <cell r="C2439" t="str">
            <v>GPColorPlay IrdescentBlonde70gM370P24FRW</v>
          </cell>
          <cell r="D2439">
            <v>0</v>
          </cell>
          <cell r="E2439">
            <v>0</v>
          </cell>
          <cell r="F2439">
            <v>0</v>
          </cell>
        </row>
        <row r="2440">
          <cell r="B2440">
            <v>40041328</v>
          </cell>
          <cell r="C2440" t="str">
            <v>GP Colour Play Shade 11.2 70g M370P24</v>
          </cell>
          <cell r="D2440">
            <v>0</v>
          </cell>
          <cell r="E2440">
            <v>0</v>
          </cell>
          <cell r="F2440">
            <v>0</v>
          </cell>
        </row>
        <row r="2441">
          <cell r="B2441">
            <v>40043643</v>
          </cell>
          <cell r="C2441" t="str">
            <v>GP COLOURPLAY SHADE 11.2 70G M370P24 FRW</v>
          </cell>
          <cell r="D2441">
            <v>0</v>
          </cell>
          <cell r="E2441">
            <v>0</v>
          </cell>
          <cell r="F2441">
            <v>0</v>
          </cell>
        </row>
        <row r="2442">
          <cell r="B2442">
            <v>40028542</v>
          </cell>
          <cell r="C2442" t="str">
            <v>GP Keratin Crème  1000 ml MRP 25000 PS 6</v>
          </cell>
          <cell r="D2442">
            <v>0</v>
          </cell>
          <cell r="E2442">
            <v>0</v>
          </cell>
          <cell r="F2442">
            <v>0</v>
          </cell>
        </row>
        <row r="2443">
          <cell r="B2443">
            <v>40028849</v>
          </cell>
          <cell r="C2443" t="str">
            <v>GP KeratinCrèmFRW 1000 ml MRP 25000 PS 6</v>
          </cell>
          <cell r="D2443">
            <v>0</v>
          </cell>
          <cell r="E2443">
            <v>0</v>
          </cell>
          <cell r="F2443">
            <v>0</v>
          </cell>
        </row>
        <row r="2444">
          <cell r="B2444">
            <v>40036383</v>
          </cell>
          <cell r="C2444" t="str">
            <v>GP KeratinCrème 1000ml MRP25000 PS6 NEW</v>
          </cell>
          <cell r="D2444">
            <v>0</v>
          </cell>
          <cell r="E2444">
            <v>0</v>
          </cell>
          <cell r="F2444">
            <v>0</v>
          </cell>
        </row>
        <row r="2445">
          <cell r="B2445">
            <v>40020220</v>
          </cell>
          <cell r="C2445" t="str">
            <v>GP DeFriz SmothLeaveInCream120mlM400 P24</v>
          </cell>
          <cell r="D2445">
            <v>0</v>
          </cell>
          <cell r="E2445">
            <v>0</v>
          </cell>
          <cell r="F2445">
            <v>0</v>
          </cell>
        </row>
        <row r="2446">
          <cell r="B2446">
            <v>40050599</v>
          </cell>
          <cell r="C2446" t="str">
            <v>GPPROBIOQUNSHMPDEFRIZ 110ML M400 P24</v>
          </cell>
          <cell r="D2446">
            <v>0</v>
          </cell>
          <cell r="E2446">
            <v>0</v>
          </cell>
          <cell r="F2446">
            <v>0</v>
          </cell>
        </row>
        <row r="2447">
          <cell r="B2447">
            <v>40059313</v>
          </cell>
          <cell r="C2447" t="str">
            <v>GPPROBIOQUNDEFRIZ CRM 110ML M400 P24 FRW</v>
          </cell>
          <cell r="D2447">
            <v>0</v>
          </cell>
          <cell r="E2447">
            <v>0</v>
          </cell>
          <cell r="F2447">
            <v>0</v>
          </cell>
        </row>
        <row r="2448">
          <cell r="B2448">
            <v>40059613</v>
          </cell>
          <cell r="C2448" t="str">
            <v>GPPROBIOQUNDEFRIZ CRM 110GM M400 P24 FRW</v>
          </cell>
          <cell r="D2448">
            <v>0</v>
          </cell>
          <cell r="E2448">
            <v>0</v>
          </cell>
          <cell r="F2448">
            <v>0</v>
          </cell>
        </row>
        <row r="2449">
          <cell r="B2449">
            <v>40059614</v>
          </cell>
          <cell r="C2449" t="str">
            <v>GPPROBIOQUNDEFRIZ CRM 110GM M400 P24</v>
          </cell>
          <cell r="D2449">
            <v>0</v>
          </cell>
          <cell r="E2449">
            <v>0</v>
          </cell>
          <cell r="F2449">
            <v>0</v>
          </cell>
        </row>
        <row r="2450">
          <cell r="B2450">
            <v>40020175</v>
          </cell>
          <cell r="C2450" t="str">
            <v>GP ColorPlay - MoltonGold 70g M310 P24</v>
          </cell>
          <cell r="D2450">
            <v>0</v>
          </cell>
          <cell r="E2450">
            <v>0</v>
          </cell>
          <cell r="F2450">
            <v>0</v>
          </cell>
        </row>
        <row r="2451">
          <cell r="B2451">
            <v>40025407</v>
          </cell>
          <cell r="C2451" t="str">
            <v>GP ColrPlayMoltonGold70g FRWColr M310P24</v>
          </cell>
          <cell r="D2451">
            <v>0</v>
          </cell>
          <cell r="E2451">
            <v>0</v>
          </cell>
          <cell r="F2451">
            <v>0</v>
          </cell>
        </row>
        <row r="2452">
          <cell r="B2452">
            <v>40037437</v>
          </cell>
          <cell r="C2452" t="str">
            <v>GP ColorPlay - MoltonGold 70g M370 P24</v>
          </cell>
          <cell r="D2452">
            <v>0</v>
          </cell>
          <cell r="E2452">
            <v>0</v>
          </cell>
          <cell r="F2452">
            <v>0</v>
          </cell>
        </row>
        <row r="2453">
          <cell r="B2453">
            <v>40037563</v>
          </cell>
          <cell r="C2453" t="str">
            <v>GP ColorPlay - MoltonGold 70g M370 P24FR</v>
          </cell>
          <cell r="D2453">
            <v>0</v>
          </cell>
          <cell r="E2453">
            <v>0</v>
          </cell>
          <cell r="F2453">
            <v>0</v>
          </cell>
        </row>
        <row r="2454">
          <cell r="B2454">
            <v>40041357</v>
          </cell>
          <cell r="C2454" t="str">
            <v>GP ColourPlay Shade 8.31 70g M370P24</v>
          </cell>
          <cell r="D2454">
            <v>0</v>
          </cell>
          <cell r="E2454">
            <v>0</v>
          </cell>
          <cell r="F2454">
            <v>0</v>
          </cell>
        </row>
        <row r="2455">
          <cell r="B2455">
            <v>40043636</v>
          </cell>
          <cell r="C2455" t="str">
            <v>GP COLOURPLAY SHADE 8.31 70G M370P24 FRW</v>
          </cell>
          <cell r="D2455">
            <v>0</v>
          </cell>
          <cell r="E2455">
            <v>0</v>
          </cell>
          <cell r="F2455">
            <v>0</v>
          </cell>
        </row>
        <row r="2456">
          <cell r="B2456">
            <v>40039349</v>
          </cell>
          <cell r="C2456" t="str">
            <v>GPSpaSysNorish&amp;RepairConce48mlM500P12</v>
          </cell>
          <cell r="D2456">
            <v>0</v>
          </cell>
          <cell r="E2456">
            <v>0</v>
          </cell>
          <cell r="F2456">
            <v>0</v>
          </cell>
        </row>
        <row r="2457">
          <cell r="B2457">
            <v>40039447</v>
          </cell>
          <cell r="C2457" t="str">
            <v>GPSpaSysNorish&amp;RepairConce48mlM500P12FRW</v>
          </cell>
          <cell r="D2457">
            <v>0</v>
          </cell>
          <cell r="E2457">
            <v>0</v>
          </cell>
          <cell r="F2457">
            <v>0</v>
          </cell>
        </row>
        <row r="2458">
          <cell r="B2458">
            <v>40020193</v>
          </cell>
          <cell r="C2458" t="str">
            <v>GP ColorPlay - RedPassion 70g M310 P24</v>
          </cell>
          <cell r="D2458">
            <v>0</v>
          </cell>
          <cell r="E2458">
            <v>0</v>
          </cell>
          <cell r="F2458">
            <v>0</v>
          </cell>
        </row>
        <row r="2459">
          <cell r="B2459">
            <v>40032633</v>
          </cell>
          <cell r="C2459" t="str">
            <v>GPHairColorColorPlayRedPassion70gM330P24</v>
          </cell>
          <cell r="D2459">
            <v>0</v>
          </cell>
          <cell r="E2459">
            <v>0</v>
          </cell>
          <cell r="F2459">
            <v>0</v>
          </cell>
        </row>
        <row r="2460">
          <cell r="B2460">
            <v>40037404</v>
          </cell>
          <cell r="C2460" t="str">
            <v>GP ColorPlay - RedPassion 70g M370 P24</v>
          </cell>
          <cell r="D2460">
            <v>0</v>
          </cell>
          <cell r="E2460">
            <v>0</v>
          </cell>
          <cell r="F2460">
            <v>0</v>
          </cell>
        </row>
        <row r="2461">
          <cell r="B2461">
            <v>40043646</v>
          </cell>
          <cell r="C2461" t="str">
            <v>GP COLOURPLAY SHADE 11.6 70G M370P24 FRW</v>
          </cell>
          <cell r="D2461">
            <v>0</v>
          </cell>
          <cell r="E2461">
            <v>0</v>
          </cell>
          <cell r="F2461">
            <v>0</v>
          </cell>
        </row>
        <row r="2462">
          <cell r="B2462">
            <v>40039353</v>
          </cell>
          <cell r="C2462" t="str">
            <v>GPSpaSysSmooth&amp;ShineConcen48mlM500P12</v>
          </cell>
          <cell r="D2462">
            <v>0</v>
          </cell>
          <cell r="E2462">
            <v>0</v>
          </cell>
          <cell r="F2462">
            <v>0</v>
          </cell>
        </row>
        <row r="2463">
          <cell r="B2463">
            <v>40039448</v>
          </cell>
          <cell r="C2463" t="str">
            <v>GPSpaSysSmooth&amp;ShineConcen48mlM500P12FRW</v>
          </cell>
          <cell r="D2463">
            <v>0</v>
          </cell>
          <cell r="E2463">
            <v>0</v>
          </cell>
          <cell r="F2463">
            <v>0</v>
          </cell>
        </row>
        <row r="2464">
          <cell r="B2464">
            <v>40020216</v>
          </cell>
          <cell r="C2464" t="str">
            <v>GP Developer 10Vol 1Ltr M650 P 9</v>
          </cell>
          <cell r="D2464">
            <v>0</v>
          </cell>
          <cell r="E2464">
            <v>0</v>
          </cell>
          <cell r="F2464">
            <v>0</v>
          </cell>
        </row>
        <row r="2465">
          <cell r="B2465">
            <v>40035484</v>
          </cell>
          <cell r="C2465" t="str">
            <v>GP Developer 10Vol 1Ltr M650 P 9 FRW</v>
          </cell>
          <cell r="D2465">
            <v>0</v>
          </cell>
          <cell r="E2465">
            <v>0</v>
          </cell>
          <cell r="F2465">
            <v>0</v>
          </cell>
        </row>
        <row r="2466">
          <cell r="B2466">
            <v>40037508</v>
          </cell>
          <cell r="C2466" t="str">
            <v>GP Developer 10Vol 1Ltr M800 P 9</v>
          </cell>
          <cell r="D2466">
            <v>0</v>
          </cell>
          <cell r="E2466">
            <v>0</v>
          </cell>
          <cell r="F2466">
            <v>0</v>
          </cell>
        </row>
        <row r="2467">
          <cell r="B2467">
            <v>40037510</v>
          </cell>
          <cell r="C2467" t="str">
            <v>GP Developer 10Vol 1Ltr M800 P 9 FRW</v>
          </cell>
          <cell r="D2467">
            <v>0</v>
          </cell>
          <cell r="E2467">
            <v>0</v>
          </cell>
          <cell r="F2467">
            <v>0</v>
          </cell>
        </row>
        <row r="2468">
          <cell r="B2468">
            <v>40039445</v>
          </cell>
          <cell r="C2468" t="str">
            <v>GP Dimension Dev 10Vol 1000ml M800 P9FRW</v>
          </cell>
          <cell r="D2468">
            <v>0</v>
          </cell>
          <cell r="E2468">
            <v>0</v>
          </cell>
          <cell r="F2468">
            <v>0</v>
          </cell>
        </row>
        <row r="2469">
          <cell r="B2469">
            <v>40020188</v>
          </cell>
          <cell r="C2469" t="str">
            <v>GP Developer 20Vol 1Ltr M650 P9</v>
          </cell>
          <cell r="D2469">
            <v>0</v>
          </cell>
          <cell r="E2469">
            <v>0</v>
          </cell>
          <cell r="F2469">
            <v>0</v>
          </cell>
        </row>
        <row r="2470">
          <cell r="B2470">
            <v>40020494</v>
          </cell>
          <cell r="C2470" t="str">
            <v>GP Developer 20Vol FRW GP Color</v>
          </cell>
          <cell r="D2470">
            <v>0</v>
          </cell>
          <cell r="E2470">
            <v>0</v>
          </cell>
          <cell r="F2470">
            <v>0</v>
          </cell>
        </row>
        <row r="2471">
          <cell r="B2471">
            <v>40037447</v>
          </cell>
          <cell r="C2471" t="str">
            <v>GP Developer 20Vol FRW P9 M800</v>
          </cell>
          <cell r="D2471">
            <v>0</v>
          </cell>
          <cell r="E2471">
            <v>0</v>
          </cell>
          <cell r="F2471">
            <v>0</v>
          </cell>
        </row>
        <row r="2472">
          <cell r="B2472">
            <v>40037515</v>
          </cell>
          <cell r="C2472" t="str">
            <v>GP Developer 20Vol 1Ltr M800 P9</v>
          </cell>
          <cell r="D2472">
            <v>0</v>
          </cell>
          <cell r="E2472">
            <v>0</v>
          </cell>
          <cell r="F2472">
            <v>0</v>
          </cell>
        </row>
        <row r="2473">
          <cell r="B2473">
            <v>40039434</v>
          </cell>
          <cell r="C2473" t="str">
            <v>GP Dimension Dev 20Vol 1000ml M800 P9FRW</v>
          </cell>
          <cell r="D2473">
            <v>0</v>
          </cell>
          <cell r="E2473">
            <v>0</v>
          </cell>
          <cell r="F2473">
            <v>0</v>
          </cell>
        </row>
        <row r="2474">
          <cell r="B2474">
            <v>40020204</v>
          </cell>
          <cell r="C2474" t="str">
            <v>GP Developer 30Vol 1Ltr M650 P9</v>
          </cell>
          <cell r="D2474">
            <v>0</v>
          </cell>
          <cell r="E2474">
            <v>0</v>
          </cell>
          <cell r="F2474">
            <v>0</v>
          </cell>
        </row>
        <row r="2475">
          <cell r="B2475">
            <v>40037438</v>
          </cell>
          <cell r="C2475" t="str">
            <v>GP Developer 30Vol 1Ltr M800 P9 FRW</v>
          </cell>
          <cell r="D2475">
            <v>0</v>
          </cell>
          <cell r="E2475">
            <v>0</v>
          </cell>
          <cell r="F2475">
            <v>0</v>
          </cell>
        </row>
        <row r="2476">
          <cell r="B2476">
            <v>40037509</v>
          </cell>
          <cell r="C2476" t="str">
            <v>GP Developer 30Vol 1Ltr M800 P9</v>
          </cell>
          <cell r="D2476">
            <v>0</v>
          </cell>
          <cell r="E2476">
            <v>0</v>
          </cell>
          <cell r="F2476">
            <v>0</v>
          </cell>
        </row>
        <row r="2477">
          <cell r="B2477">
            <v>40039417</v>
          </cell>
          <cell r="C2477" t="str">
            <v>GP Dimension Dev 30Vol 1000ml M800 P9</v>
          </cell>
          <cell r="D2477">
            <v>0</v>
          </cell>
          <cell r="E2477">
            <v>0</v>
          </cell>
          <cell r="F2477">
            <v>0</v>
          </cell>
        </row>
        <row r="2478">
          <cell r="B2478">
            <v>40039424</v>
          </cell>
          <cell r="C2478" t="str">
            <v>GP Dimension Dev 30Vol 1000ml M800 P9FRW</v>
          </cell>
          <cell r="D2478">
            <v>0</v>
          </cell>
          <cell r="E2478">
            <v>0</v>
          </cell>
          <cell r="F2478">
            <v>0</v>
          </cell>
        </row>
        <row r="2479">
          <cell r="B2479">
            <v>40020209</v>
          </cell>
          <cell r="C2479" t="str">
            <v>GP Developer 40Vol 1Ltr M650 P9</v>
          </cell>
          <cell r="D2479">
            <v>0</v>
          </cell>
          <cell r="E2479">
            <v>0</v>
          </cell>
          <cell r="F2479">
            <v>0</v>
          </cell>
        </row>
        <row r="2480">
          <cell r="B2480">
            <v>40037498</v>
          </cell>
          <cell r="C2480" t="str">
            <v>GP Developer 40Vol 1Ltr M800 P9</v>
          </cell>
          <cell r="D2480">
            <v>0</v>
          </cell>
          <cell r="E2480">
            <v>0</v>
          </cell>
          <cell r="F2480">
            <v>0</v>
          </cell>
        </row>
        <row r="2481">
          <cell r="B2481">
            <v>40037710</v>
          </cell>
          <cell r="C2481" t="str">
            <v>GP Developer 40Vol 1Ltr M800 P9 FRW</v>
          </cell>
          <cell r="D2481">
            <v>0</v>
          </cell>
          <cell r="E2481">
            <v>0</v>
          </cell>
          <cell r="F2481">
            <v>0</v>
          </cell>
        </row>
        <row r="2482">
          <cell r="B2482">
            <v>40039425</v>
          </cell>
          <cell r="C2482" t="str">
            <v>GP Dimension Dev 40Vol 1000ml M800 P9</v>
          </cell>
          <cell r="D2482">
            <v>0</v>
          </cell>
          <cell r="E2482">
            <v>0</v>
          </cell>
          <cell r="F2482">
            <v>0</v>
          </cell>
        </row>
        <row r="2483">
          <cell r="B2483">
            <v>40039446</v>
          </cell>
          <cell r="C2483" t="str">
            <v>GP Dimension Dev 40Vol 1000ml M800 P9FRW</v>
          </cell>
          <cell r="D2483">
            <v>0</v>
          </cell>
          <cell r="E2483">
            <v>0</v>
          </cell>
          <cell r="F2483">
            <v>0</v>
          </cell>
        </row>
        <row r="2484">
          <cell r="B2484">
            <v>40037326</v>
          </cell>
          <cell r="C2484" t="str">
            <v>GP Probio HM Spray Cond 100ml M350 P24</v>
          </cell>
          <cell r="D2484">
            <v>0</v>
          </cell>
          <cell r="E2484">
            <v>0</v>
          </cell>
          <cell r="F2484">
            <v>0</v>
          </cell>
        </row>
        <row r="2485">
          <cell r="B2485">
            <v>40037600</v>
          </cell>
          <cell r="C2485" t="str">
            <v>GP Probio HM Spray Cnd 100ml M350P24 FRW</v>
          </cell>
          <cell r="D2485">
            <v>0</v>
          </cell>
          <cell r="E2485">
            <v>0</v>
          </cell>
          <cell r="F2485">
            <v>0</v>
          </cell>
        </row>
        <row r="2486">
          <cell r="B2486">
            <v>40042079</v>
          </cell>
          <cell r="C2486" t="str">
            <v>GP Probio HM Spray Cond 110ml M375 P24</v>
          </cell>
          <cell r="D2486">
            <v>0</v>
          </cell>
          <cell r="E2486">
            <v>0</v>
          </cell>
          <cell r="F2486">
            <v>0</v>
          </cell>
        </row>
        <row r="2487">
          <cell r="B2487">
            <v>40043371</v>
          </cell>
          <cell r="C2487" t="str">
            <v>GP Probio HM Spray Cnd 100ml M350 P24 EC</v>
          </cell>
          <cell r="D2487">
            <v>0</v>
          </cell>
          <cell r="E2487">
            <v>0</v>
          </cell>
          <cell r="F2487">
            <v>0</v>
          </cell>
        </row>
        <row r="2488">
          <cell r="B2488">
            <v>40059179</v>
          </cell>
          <cell r="C2488" t="str">
            <v>GP PROBIO HMSPRAYCOND 110ML M375 P24 FRW</v>
          </cell>
          <cell r="D2488">
            <v>0</v>
          </cell>
          <cell r="E2488">
            <v>0</v>
          </cell>
          <cell r="F2488">
            <v>0</v>
          </cell>
        </row>
        <row r="2489">
          <cell r="B2489">
            <v>40035617</v>
          </cell>
          <cell r="C2489" t="str">
            <v>GP Kerasmooth Monodose M2200 P12</v>
          </cell>
          <cell r="D2489">
            <v>0</v>
          </cell>
          <cell r="E2489">
            <v>0</v>
          </cell>
          <cell r="F2489">
            <v>0</v>
          </cell>
        </row>
        <row r="2490">
          <cell r="B2490">
            <v>40031945</v>
          </cell>
          <cell r="C2490" t="str">
            <v>GP AvocadoNourish Mask 100g M300 P12</v>
          </cell>
          <cell r="D2490">
            <v>0</v>
          </cell>
          <cell r="E2490">
            <v>0</v>
          </cell>
          <cell r="F2490">
            <v>0</v>
          </cell>
        </row>
        <row r="2491">
          <cell r="B2491">
            <v>40032871</v>
          </cell>
          <cell r="C2491" t="str">
            <v>GP AvocadoNourish Mask 100g M300 P12 FRW</v>
          </cell>
          <cell r="D2491">
            <v>0</v>
          </cell>
          <cell r="E2491">
            <v>0</v>
          </cell>
          <cell r="F2491">
            <v>0</v>
          </cell>
        </row>
        <row r="2492">
          <cell r="B2492">
            <v>40037318</v>
          </cell>
          <cell r="C2492" t="str">
            <v>GP Probio AvoNorshMask 200g M600 P12</v>
          </cell>
          <cell r="D2492">
            <v>0</v>
          </cell>
          <cell r="E2492">
            <v>0</v>
          </cell>
          <cell r="F2492">
            <v>0</v>
          </cell>
        </row>
        <row r="2493">
          <cell r="B2493">
            <v>40037572</v>
          </cell>
          <cell r="C2493" t="str">
            <v>GP Probio AvcadoNorishMask200gM600P12FRW</v>
          </cell>
          <cell r="D2493">
            <v>0</v>
          </cell>
          <cell r="E2493">
            <v>0</v>
          </cell>
          <cell r="F2493">
            <v>0</v>
          </cell>
        </row>
        <row r="2494">
          <cell r="B2494">
            <v>40043388</v>
          </cell>
          <cell r="C2494" t="str">
            <v>GP Probio AvoNorshMask 200g M600 P12 EC</v>
          </cell>
          <cell r="D2494">
            <v>0</v>
          </cell>
          <cell r="E2494">
            <v>0</v>
          </cell>
          <cell r="F2494">
            <v>0</v>
          </cell>
        </row>
        <row r="2495">
          <cell r="B2495">
            <v>40031939</v>
          </cell>
          <cell r="C2495" t="str">
            <v>GP AvocadoNourish BW Mask 500g M800 P6</v>
          </cell>
          <cell r="D2495">
            <v>0</v>
          </cell>
          <cell r="E2495">
            <v>0</v>
          </cell>
          <cell r="F2495">
            <v>0</v>
          </cell>
        </row>
        <row r="2496">
          <cell r="B2496">
            <v>40032907</v>
          </cell>
          <cell r="C2496" t="str">
            <v>GP AvocadoNorish BWMask 500g M800 P6 FRW</v>
          </cell>
          <cell r="D2496">
            <v>0</v>
          </cell>
          <cell r="E2496">
            <v>0</v>
          </cell>
          <cell r="F2496">
            <v>0</v>
          </cell>
        </row>
        <row r="2497">
          <cell r="B2497">
            <v>40036714</v>
          </cell>
          <cell r="C2497" t="str">
            <v>GP Probio AvocdoNourishMask 500g M900 P6</v>
          </cell>
          <cell r="D2497">
            <v>0</v>
          </cell>
          <cell r="E2497">
            <v>0</v>
          </cell>
          <cell r="F2497">
            <v>0</v>
          </cell>
        </row>
        <row r="2498">
          <cell r="B2498">
            <v>40037597</v>
          </cell>
          <cell r="C2498" t="str">
            <v>GP Probio AvocdoNourishMask500gM900P6FRW</v>
          </cell>
          <cell r="D2498">
            <v>0</v>
          </cell>
          <cell r="E2498">
            <v>0</v>
          </cell>
          <cell r="F2498">
            <v>0</v>
          </cell>
        </row>
        <row r="2499">
          <cell r="B2499">
            <v>40031940</v>
          </cell>
          <cell r="C2499" t="str">
            <v>GP ColorLock Mask 500g M800 P6</v>
          </cell>
          <cell r="D2499">
            <v>0</v>
          </cell>
          <cell r="E2499">
            <v>0</v>
          </cell>
          <cell r="F2499">
            <v>0</v>
          </cell>
        </row>
        <row r="2500">
          <cell r="B2500">
            <v>40024750</v>
          </cell>
          <cell r="C2500" t="str">
            <v>GP Honey MoistureMask100g FRW 4+1M250P12</v>
          </cell>
          <cell r="D2500">
            <v>0</v>
          </cell>
          <cell r="E2500">
            <v>0</v>
          </cell>
          <cell r="F2500">
            <v>0</v>
          </cell>
        </row>
        <row r="2501">
          <cell r="B2501">
            <v>40031960</v>
          </cell>
          <cell r="C2501" t="str">
            <v>GP Honey Moisture Mask 100g M300 P12</v>
          </cell>
          <cell r="D2501">
            <v>0</v>
          </cell>
          <cell r="E2501">
            <v>0</v>
          </cell>
          <cell r="F2501">
            <v>0</v>
          </cell>
        </row>
        <row r="2502">
          <cell r="B2502">
            <v>40032883</v>
          </cell>
          <cell r="C2502" t="str">
            <v>GP Honey Moisture Mask 100g M300 P12 FRW</v>
          </cell>
          <cell r="D2502">
            <v>0</v>
          </cell>
          <cell r="E2502">
            <v>0</v>
          </cell>
          <cell r="F2502">
            <v>0</v>
          </cell>
        </row>
        <row r="2503">
          <cell r="B2503">
            <v>40037573</v>
          </cell>
          <cell r="C2503" t="str">
            <v>GP Probio HoneyMoistreMask200gM600P12FRW</v>
          </cell>
          <cell r="D2503">
            <v>0</v>
          </cell>
          <cell r="E2503">
            <v>0</v>
          </cell>
          <cell r="F2503">
            <v>0</v>
          </cell>
        </row>
        <row r="2504">
          <cell r="B2504">
            <v>40043373</v>
          </cell>
          <cell r="C2504" t="str">
            <v>GP Probio HoneyMoistMask 200g M600P12 EC</v>
          </cell>
          <cell r="D2504">
            <v>0</v>
          </cell>
          <cell r="E2504">
            <v>0</v>
          </cell>
          <cell r="F2504">
            <v>0</v>
          </cell>
        </row>
        <row r="2505">
          <cell r="B2505">
            <v>40036743</v>
          </cell>
          <cell r="C2505" t="str">
            <v>GPProbioHoneyMoistureMask 500g M900 P6</v>
          </cell>
          <cell r="D2505">
            <v>0</v>
          </cell>
          <cell r="E2505">
            <v>0</v>
          </cell>
          <cell r="F2505">
            <v>0</v>
          </cell>
        </row>
        <row r="2506">
          <cell r="B2506">
            <v>40037637</v>
          </cell>
          <cell r="C2506" t="str">
            <v>GPProbioHoneyMoistureMask500gM900 P6 FRW</v>
          </cell>
          <cell r="D2506">
            <v>0</v>
          </cell>
          <cell r="E2506">
            <v>0</v>
          </cell>
          <cell r="F2506">
            <v>0</v>
          </cell>
        </row>
        <row r="2507">
          <cell r="B2507">
            <v>40050088</v>
          </cell>
          <cell r="C2507" t="str">
            <v>GPProbioHoneyMoistreMask 500g M1000 P6</v>
          </cell>
          <cell r="D2507">
            <v>0</v>
          </cell>
          <cell r="E2507">
            <v>0</v>
          </cell>
          <cell r="F2507">
            <v>0</v>
          </cell>
        </row>
        <row r="2508">
          <cell r="B2508">
            <v>40050125</v>
          </cell>
          <cell r="C2508" t="str">
            <v>GPProbioHoneyMoistreMask500g M1000 P6FRW</v>
          </cell>
          <cell r="D2508">
            <v>0</v>
          </cell>
          <cell r="E2508">
            <v>0</v>
          </cell>
          <cell r="F2508">
            <v>0</v>
          </cell>
        </row>
        <row r="2509">
          <cell r="B2509">
            <v>40064316</v>
          </cell>
          <cell r="C2509" t="str">
            <v>GP PROBIO HONYMOIST MASK 500G M1100 P6</v>
          </cell>
          <cell r="D2509">
            <v>0</v>
          </cell>
          <cell r="E2509">
            <v>0</v>
          </cell>
          <cell r="F2509">
            <v>0</v>
          </cell>
        </row>
        <row r="2510">
          <cell r="B2510">
            <v>40064569</v>
          </cell>
          <cell r="C2510" t="str">
            <v>GP PROBIO HONYMOIS MASK 500G M1100 P6 FR</v>
          </cell>
          <cell r="D2510">
            <v>0</v>
          </cell>
          <cell r="E2510">
            <v>0</v>
          </cell>
          <cell r="F2510">
            <v>0</v>
          </cell>
        </row>
        <row r="2511">
          <cell r="B2511">
            <v>40032901</v>
          </cell>
          <cell r="C2511" t="str">
            <v>GP KeratinRich Mask 100g M300 P12 FRW</v>
          </cell>
          <cell r="D2511">
            <v>0</v>
          </cell>
          <cell r="E2511">
            <v>0</v>
          </cell>
          <cell r="F2511">
            <v>0</v>
          </cell>
        </row>
        <row r="2512">
          <cell r="B2512">
            <v>40037320</v>
          </cell>
          <cell r="C2512" t="str">
            <v>GP Probio KeratinRevivMask200gM600 P12</v>
          </cell>
          <cell r="D2512">
            <v>0</v>
          </cell>
          <cell r="E2512">
            <v>0</v>
          </cell>
          <cell r="F2512">
            <v>0</v>
          </cell>
        </row>
        <row r="2513">
          <cell r="B2513">
            <v>40037620</v>
          </cell>
          <cell r="C2513" t="str">
            <v>GP probio KeratinRevivMask200gM600P12FRW</v>
          </cell>
          <cell r="D2513">
            <v>0</v>
          </cell>
          <cell r="E2513">
            <v>0</v>
          </cell>
          <cell r="F2513">
            <v>0</v>
          </cell>
        </row>
        <row r="2514">
          <cell r="B2514">
            <v>40043376</v>
          </cell>
          <cell r="C2514" t="str">
            <v>GP Probio KeratinRevivMssk200gM600 P12EC</v>
          </cell>
          <cell r="D2514">
            <v>0</v>
          </cell>
          <cell r="E2514">
            <v>0</v>
          </cell>
          <cell r="F2514">
            <v>0</v>
          </cell>
        </row>
        <row r="2515">
          <cell r="B2515">
            <v>40059577</v>
          </cell>
          <cell r="C2515" t="str">
            <v>GP PROBIO KERTINREVIVMSK200GM M600 P12</v>
          </cell>
          <cell r="D2515">
            <v>0</v>
          </cell>
          <cell r="E2515">
            <v>0</v>
          </cell>
          <cell r="F2515">
            <v>0</v>
          </cell>
        </row>
        <row r="2516">
          <cell r="B2516">
            <v>40059607</v>
          </cell>
          <cell r="C2516" t="str">
            <v>GP PROBIO KERTINREVIVMSK200GM M600P12FRW</v>
          </cell>
          <cell r="D2516">
            <v>0</v>
          </cell>
          <cell r="E2516">
            <v>0</v>
          </cell>
          <cell r="F2516">
            <v>0</v>
          </cell>
        </row>
        <row r="2517">
          <cell r="B2517">
            <v>40031946</v>
          </cell>
          <cell r="C2517" t="str">
            <v>GP Keratin Rich BW Mask 500g M800 P6</v>
          </cell>
          <cell r="D2517">
            <v>0</v>
          </cell>
          <cell r="E2517">
            <v>0</v>
          </cell>
          <cell r="F2517">
            <v>0</v>
          </cell>
        </row>
        <row r="2518">
          <cell r="B2518">
            <v>40036763</v>
          </cell>
          <cell r="C2518" t="str">
            <v>GPProbioKeratinReviveMask 500g M900 P6</v>
          </cell>
          <cell r="D2518">
            <v>0</v>
          </cell>
          <cell r="E2518">
            <v>0</v>
          </cell>
          <cell r="F2518">
            <v>0</v>
          </cell>
        </row>
        <row r="2519">
          <cell r="B2519">
            <v>40037618</v>
          </cell>
          <cell r="C2519" t="str">
            <v>GPProbioKeratinReviveMask500gM900 P6 FRW</v>
          </cell>
          <cell r="D2519">
            <v>0</v>
          </cell>
          <cell r="E2519">
            <v>0</v>
          </cell>
          <cell r="F2519">
            <v>0</v>
          </cell>
        </row>
        <row r="2520">
          <cell r="B2520">
            <v>40050104</v>
          </cell>
          <cell r="C2520" t="str">
            <v>GPProbioKeratinReviveMsk500g M1000 P6FRW</v>
          </cell>
          <cell r="D2520">
            <v>0</v>
          </cell>
          <cell r="E2520">
            <v>0</v>
          </cell>
          <cell r="F2520">
            <v>0</v>
          </cell>
        </row>
        <row r="2521">
          <cell r="B2521">
            <v>40050105</v>
          </cell>
          <cell r="C2521" t="str">
            <v>GPProbioKertnRevivMsk 500g M1000 P6</v>
          </cell>
          <cell r="D2521">
            <v>0</v>
          </cell>
          <cell r="E2521">
            <v>0</v>
          </cell>
          <cell r="F2521">
            <v>0</v>
          </cell>
        </row>
        <row r="2522">
          <cell r="B2522">
            <v>40059608</v>
          </cell>
          <cell r="C2522" t="str">
            <v>GPPROBIOKERTNREVIVMSK 500GM M1000 P6 FRW</v>
          </cell>
          <cell r="D2522">
            <v>0</v>
          </cell>
          <cell r="E2522">
            <v>0</v>
          </cell>
          <cell r="F2522">
            <v>0</v>
          </cell>
        </row>
        <row r="2523">
          <cell r="B2523">
            <v>40064313</v>
          </cell>
          <cell r="C2523" t="str">
            <v>GP PROBIOKERATINREV MASK 500G M1100 P6</v>
          </cell>
          <cell r="D2523">
            <v>0</v>
          </cell>
          <cell r="E2523">
            <v>0</v>
          </cell>
          <cell r="F2523">
            <v>0</v>
          </cell>
        </row>
        <row r="2524">
          <cell r="B2524">
            <v>40064574</v>
          </cell>
          <cell r="C2524" t="str">
            <v>GP PROBIOKERTINREV MASK 500G M1100 P6 FR</v>
          </cell>
          <cell r="D2524">
            <v>0</v>
          </cell>
          <cell r="E2524">
            <v>0</v>
          </cell>
          <cell r="F2524">
            <v>0</v>
          </cell>
        </row>
        <row r="2525">
          <cell r="B2525">
            <v>40037837</v>
          </cell>
          <cell r="C2525" t="str">
            <v>GPSpaSysNorish&amp;RepairMask500gM600P6</v>
          </cell>
          <cell r="D2525">
            <v>0</v>
          </cell>
          <cell r="E2525">
            <v>0</v>
          </cell>
          <cell r="F2525">
            <v>0</v>
          </cell>
        </row>
        <row r="2526">
          <cell r="B2526">
            <v>40039433</v>
          </cell>
          <cell r="C2526" t="str">
            <v>GPSpaSysNorish&amp;RepairMask500gM600P6FRW</v>
          </cell>
          <cell r="D2526">
            <v>0</v>
          </cell>
          <cell r="E2526">
            <v>0</v>
          </cell>
          <cell r="F2526">
            <v>0</v>
          </cell>
        </row>
        <row r="2527">
          <cell r="B2527">
            <v>40050539</v>
          </cell>
          <cell r="C2527" t="str">
            <v>GPSPASYSNRSHRPAIRMSK 500G M800.00 P6 FRW</v>
          </cell>
          <cell r="D2527">
            <v>0</v>
          </cell>
          <cell r="E2527">
            <v>0</v>
          </cell>
          <cell r="F2527">
            <v>0</v>
          </cell>
        </row>
        <row r="2528">
          <cell r="B2528">
            <v>40050545</v>
          </cell>
          <cell r="C2528" t="str">
            <v>GPSPASYSNRSHRPAIRMSK 500G M800.00 P6</v>
          </cell>
          <cell r="D2528">
            <v>0</v>
          </cell>
          <cell r="E2528">
            <v>0</v>
          </cell>
          <cell r="F2528">
            <v>0</v>
          </cell>
        </row>
        <row r="2529">
          <cell r="B2529">
            <v>40028532</v>
          </cell>
          <cell r="C2529" t="str">
            <v>GP Repair Mask 250 gm MRP 1050 PS 12</v>
          </cell>
          <cell r="D2529">
            <v>0</v>
          </cell>
          <cell r="E2529">
            <v>0</v>
          </cell>
          <cell r="F2529">
            <v>0</v>
          </cell>
        </row>
        <row r="2530">
          <cell r="B2530">
            <v>40028839</v>
          </cell>
          <cell r="C2530" t="str">
            <v>GP Repair Mask FRW 250 gm MRP 1050 PS 12</v>
          </cell>
          <cell r="D2530">
            <v>0</v>
          </cell>
          <cell r="E2530">
            <v>0</v>
          </cell>
          <cell r="F2530">
            <v>0</v>
          </cell>
        </row>
        <row r="2531">
          <cell r="B2531">
            <v>40036112</v>
          </cell>
          <cell r="C2531" t="str">
            <v>GP KeratinRepairMask 200gm MRP1100PS12</v>
          </cell>
          <cell r="D2531">
            <v>0</v>
          </cell>
          <cell r="E2531">
            <v>0</v>
          </cell>
          <cell r="F2531">
            <v>0</v>
          </cell>
        </row>
        <row r="2532">
          <cell r="B2532">
            <v>40037621</v>
          </cell>
          <cell r="C2532" t="str">
            <v>GP KeratinRepairMask 200gmMRP1100PS12 FW</v>
          </cell>
          <cell r="D2532">
            <v>0</v>
          </cell>
          <cell r="E2532">
            <v>0</v>
          </cell>
          <cell r="F2532">
            <v>0</v>
          </cell>
        </row>
        <row r="2533">
          <cell r="B2533">
            <v>40050024</v>
          </cell>
          <cell r="C2533" t="str">
            <v>GP KeratinRepairMask 200gm MRP1200PS12FR</v>
          </cell>
          <cell r="D2533">
            <v>0</v>
          </cell>
          <cell r="E2533">
            <v>0</v>
          </cell>
          <cell r="F2533">
            <v>0</v>
          </cell>
        </row>
        <row r="2534">
          <cell r="B2534">
            <v>40057275</v>
          </cell>
          <cell r="C2534" t="str">
            <v>GP KeratinRepairMask 200gm MRP1200PS12EC</v>
          </cell>
          <cell r="D2534">
            <v>0</v>
          </cell>
          <cell r="E2534">
            <v>0</v>
          </cell>
          <cell r="F2534">
            <v>0</v>
          </cell>
        </row>
        <row r="2535">
          <cell r="B2535">
            <v>40028832</v>
          </cell>
          <cell r="C2535" t="str">
            <v>GP Repair Mask FRW 500 gm MRP 2000 PS 6</v>
          </cell>
          <cell r="D2535">
            <v>0</v>
          </cell>
          <cell r="E2535">
            <v>0</v>
          </cell>
          <cell r="F2535">
            <v>0</v>
          </cell>
        </row>
        <row r="2536">
          <cell r="B2536">
            <v>40036143</v>
          </cell>
          <cell r="C2536" t="str">
            <v>GP KeratinRepairMask500g MRP2000 PS 6</v>
          </cell>
          <cell r="D2536">
            <v>0</v>
          </cell>
          <cell r="E2536">
            <v>0</v>
          </cell>
          <cell r="F2536">
            <v>0</v>
          </cell>
        </row>
        <row r="2537">
          <cell r="B2537">
            <v>40037596</v>
          </cell>
          <cell r="C2537" t="str">
            <v>GP KeratinRepairMask500g MRP2000 PS 6FRW</v>
          </cell>
          <cell r="D2537">
            <v>0</v>
          </cell>
          <cell r="E2537">
            <v>0</v>
          </cell>
          <cell r="F2537">
            <v>0</v>
          </cell>
        </row>
        <row r="2538">
          <cell r="B2538">
            <v>40050040</v>
          </cell>
          <cell r="C2538" t="str">
            <v>GP KeratnReprMask 500 g MRP 2200 PS 6</v>
          </cell>
          <cell r="D2538">
            <v>0</v>
          </cell>
          <cell r="E2538">
            <v>0</v>
          </cell>
          <cell r="F2538">
            <v>0</v>
          </cell>
        </row>
        <row r="2539">
          <cell r="B2539">
            <v>40050127</v>
          </cell>
          <cell r="C2539" t="str">
            <v>GP KeratnReprMask 500 g MRP 2200 PS 6FRW</v>
          </cell>
          <cell r="D2539">
            <v>0</v>
          </cell>
          <cell r="E2539">
            <v>0</v>
          </cell>
          <cell r="F2539">
            <v>0</v>
          </cell>
        </row>
        <row r="2540">
          <cell r="B2540">
            <v>40050166</v>
          </cell>
          <cell r="C2540" t="str">
            <v>GP Keracare RepairMask60ml M0.02P48Sampl</v>
          </cell>
          <cell r="D2540">
            <v>0</v>
          </cell>
          <cell r="E2540">
            <v>0</v>
          </cell>
          <cell r="F2540">
            <v>0</v>
          </cell>
        </row>
        <row r="2541">
          <cell r="B2541">
            <v>40056337</v>
          </cell>
          <cell r="C2541" t="str">
            <v>*GPKERACAREMONOREPAIRSHAMPOOM1P48SAMPLE</v>
          </cell>
          <cell r="D2541">
            <v>0</v>
          </cell>
          <cell r="E2541">
            <v>0</v>
          </cell>
          <cell r="F2541">
            <v>0</v>
          </cell>
        </row>
        <row r="2542">
          <cell r="B2542">
            <v>40031910</v>
          </cell>
          <cell r="C2542" t="str">
            <v>GP Quinoa Smooth Mask 100g M300 P12</v>
          </cell>
          <cell r="D2542">
            <v>0</v>
          </cell>
          <cell r="E2542">
            <v>0</v>
          </cell>
          <cell r="F2542">
            <v>0</v>
          </cell>
        </row>
        <row r="2543">
          <cell r="B2543">
            <v>40032862</v>
          </cell>
          <cell r="C2543" t="str">
            <v>GP Quinoa Smooth Mask 100g M300 P12 FRW</v>
          </cell>
          <cell r="D2543">
            <v>0</v>
          </cell>
          <cell r="E2543">
            <v>0</v>
          </cell>
          <cell r="F2543">
            <v>0</v>
          </cell>
        </row>
        <row r="2544">
          <cell r="B2544">
            <v>40037310</v>
          </cell>
          <cell r="C2544" t="str">
            <v>GPProbioQuinoaSmootMask 200g M600 P12</v>
          </cell>
          <cell r="D2544">
            <v>0</v>
          </cell>
          <cell r="E2544">
            <v>0</v>
          </cell>
          <cell r="F2544">
            <v>0</v>
          </cell>
        </row>
        <row r="2545">
          <cell r="B2545">
            <v>40037630</v>
          </cell>
          <cell r="C2545" t="str">
            <v>GPProbioQuinoaSmootMask200g M600 P12 FRW</v>
          </cell>
          <cell r="D2545">
            <v>0</v>
          </cell>
          <cell r="E2545">
            <v>0</v>
          </cell>
          <cell r="F2545">
            <v>0</v>
          </cell>
        </row>
        <row r="2546">
          <cell r="B2546">
            <v>40043370</v>
          </cell>
          <cell r="C2546" t="str">
            <v>GPProbioQuinoaSmootMask 200g M600 P12 EC</v>
          </cell>
          <cell r="D2546">
            <v>0</v>
          </cell>
          <cell r="E2546">
            <v>0</v>
          </cell>
          <cell r="F2546">
            <v>0</v>
          </cell>
        </row>
        <row r="2547">
          <cell r="B2547">
            <v>40031904</v>
          </cell>
          <cell r="C2547" t="str">
            <v>GP Quinoa Smooth BW Mask  500g M800 P6</v>
          </cell>
          <cell r="D2547">
            <v>0</v>
          </cell>
          <cell r="E2547">
            <v>0</v>
          </cell>
          <cell r="F2547">
            <v>0</v>
          </cell>
        </row>
        <row r="2548">
          <cell r="B2548">
            <v>40032906</v>
          </cell>
          <cell r="C2548" t="str">
            <v>GP Quinoa Smooth BWMask 500g M800 P6 FRW</v>
          </cell>
          <cell r="D2548">
            <v>0</v>
          </cell>
          <cell r="E2548">
            <v>0</v>
          </cell>
          <cell r="F2548">
            <v>0</v>
          </cell>
        </row>
        <row r="2549">
          <cell r="B2549">
            <v>40036767</v>
          </cell>
          <cell r="C2549" t="str">
            <v>GP Probio QuinoaSmoothMask  500g M900 P6</v>
          </cell>
          <cell r="D2549">
            <v>0</v>
          </cell>
          <cell r="E2549">
            <v>0</v>
          </cell>
          <cell r="F2549">
            <v>0</v>
          </cell>
        </row>
        <row r="2550">
          <cell r="B2550">
            <v>40037711</v>
          </cell>
          <cell r="C2550" t="str">
            <v>GP Probio QuinoaSmoothMask500gM900 P6FRW</v>
          </cell>
          <cell r="D2550">
            <v>0</v>
          </cell>
          <cell r="E2550">
            <v>0</v>
          </cell>
          <cell r="F2550">
            <v>0</v>
          </cell>
        </row>
        <row r="2551">
          <cell r="B2551">
            <v>40050072</v>
          </cell>
          <cell r="C2551" t="str">
            <v>GPProbioQuinoaSmoothMsk 500g M1000 P6</v>
          </cell>
          <cell r="D2551">
            <v>0</v>
          </cell>
          <cell r="E2551">
            <v>0</v>
          </cell>
          <cell r="F2551">
            <v>0</v>
          </cell>
        </row>
        <row r="2552">
          <cell r="B2552">
            <v>40050111</v>
          </cell>
          <cell r="C2552" t="str">
            <v>GPProbioQuinoaSmoothMsk 500g M1000 P6FRW</v>
          </cell>
          <cell r="D2552">
            <v>0</v>
          </cell>
          <cell r="E2552">
            <v>0</v>
          </cell>
          <cell r="F2552">
            <v>0</v>
          </cell>
        </row>
        <row r="2553">
          <cell r="B2553">
            <v>40064311</v>
          </cell>
          <cell r="C2553" t="str">
            <v>GP PROBIOQUINOSMOOTH MASK 500G M1100P6</v>
          </cell>
          <cell r="D2553">
            <v>0</v>
          </cell>
          <cell r="E2553">
            <v>0</v>
          </cell>
          <cell r="F2553">
            <v>0</v>
          </cell>
        </row>
        <row r="2554">
          <cell r="B2554">
            <v>40064581</v>
          </cell>
          <cell r="C2554" t="str">
            <v>GP PROBIOQUINOSMOOTHMASK 500G M1100 P6FR</v>
          </cell>
          <cell r="D2554">
            <v>0</v>
          </cell>
          <cell r="E2554">
            <v>0</v>
          </cell>
          <cell r="F2554">
            <v>0</v>
          </cell>
        </row>
        <row r="2555">
          <cell r="B2555">
            <v>40028580</v>
          </cell>
          <cell r="C2555" t="str">
            <v>GPRechrgCondtioner 1000 gm M1900 P9</v>
          </cell>
          <cell r="D2555">
            <v>0</v>
          </cell>
          <cell r="E2555">
            <v>0</v>
          </cell>
          <cell r="F2555">
            <v>0</v>
          </cell>
        </row>
        <row r="2556">
          <cell r="B2556">
            <v>40036187</v>
          </cell>
          <cell r="C2556" t="str">
            <v>GPMoisRechrgCondtionr 1000g MRP1900 PS9</v>
          </cell>
          <cell r="D2556">
            <v>0</v>
          </cell>
          <cell r="E2556">
            <v>0</v>
          </cell>
          <cell r="F2556">
            <v>0</v>
          </cell>
        </row>
        <row r="2557">
          <cell r="B2557">
            <v>40037635</v>
          </cell>
          <cell r="C2557" t="str">
            <v>GPMoisRechrgCondtionr1000gMRP1900PS9 FRW</v>
          </cell>
          <cell r="D2557">
            <v>0</v>
          </cell>
          <cell r="E2557">
            <v>0</v>
          </cell>
          <cell r="F2557">
            <v>0</v>
          </cell>
        </row>
        <row r="2558">
          <cell r="B2558">
            <v>40050083</v>
          </cell>
          <cell r="C2558" t="str">
            <v>GPMoisRechrgCondtionr 1000g MRP2100 PS9</v>
          </cell>
          <cell r="D2558">
            <v>0</v>
          </cell>
          <cell r="E2558">
            <v>0</v>
          </cell>
          <cell r="F2558">
            <v>0</v>
          </cell>
        </row>
        <row r="2559">
          <cell r="B2559">
            <v>40050098</v>
          </cell>
          <cell r="C2559" t="str">
            <v>GPMoisRechrgConditr 1000g MRP2100 PS9FRW</v>
          </cell>
          <cell r="D2559">
            <v>0</v>
          </cell>
          <cell r="E2559">
            <v>0</v>
          </cell>
          <cell r="F2559">
            <v>0</v>
          </cell>
        </row>
        <row r="2560">
          <cell r="B2560">
            <v>40028601</v>
          </cell>
          <cell r="C2560" t="str">
            <v>GP RechrgConditoner 225 gm MRP 990 PS 12</v>
          </cell>
          <cell r="D2560">
            <v>0</v>
          </cell>
          <cell r="E2560">
            <v>0</v>
          </cell>
          <cell r="F2560">
            <v>0</v>
          </cell>
        </row>
        <row r="2561">
          <cell r="B2561">
            <v>40028840</v>
          </cell>
          <cell r="C2561" t="str">
            <v>GP RechrgCndtnerFRW 225 gm MRP 990 PS 12</v>
          </cell>
          <cell r="D2561">
            <v>0</v>
          </cell>
          <cell r="E2561">
            <v>0</v>
          </cell>
          <cell r="F2561">
            <v>0</v>
          </cell>
        </row>
        <row r="2562">
          <cell r="B2562">
            <v>40036206</v>
          </cell>
          <cell r="C2562" t="str">
            <v>GP MoisRechrgCondr 250g MRP1100 PS24</v>
          </cell>
          <cell r="D2562">
            <v>0</v>
          </cell>
          <cell r="E2562">
            <v>0</v>
          </cell>
          <cell r="F2562">
            <v>0</v>
          </cell>
        </row>
        <row r="2563">
          <cell r="B2563">
            <v>40037605</v>
          </cell>
          <cell r="C2563" t="str">
            <v>GP MoisRechrgConditner250gMRP1100PS24FRW</v>
          </cell>
          <cell r="D2563">
            <v>0</v>
          </cell>
          <cell r="E2563">
            <v>0</v>
          </cell>
          <cell r="F2563">
            <v>0</v>
          </cell>
        </row>
        <row r="2564">
          <cell r="B2564">
            <v>40043382</v>
          </cell>
          <cell r="C2564" t="str">
            <v>GP MoisRechrgCondr 250g MRP1100 PS24 EC</v>
          </cell>
          <cell r="D2564">
            <v>0</v>
          </cell>
          <cell r="E2564">
            <v>0</v>
          </cell>
          <cell r="F2564">
            <v>0</v>
          </cell>
        </row>
        <row r="2565">
          <cell r="B2565">
            <v>40050021</v>
          </cell>
          <cell r="C2565" t="str">
            <v>GP MoisRchrgCondtner 250gMRP1200 PS24FRW</v>
          </cell>
          <cell r="D2565">
            <v>0</v>
          </cell>
          <cell r="E2565">
            <v>0</v>
          </cell>
          <cell r="F2565">
            <v>0</v>
          </cell>
        </row>
        <row r="2566">
          <cell r="B2566">
            <v>40050099</v>
          </cell>
          <cell r="C2566" t="str">
            <v>GP MoisRechrgConditner 250g MRP1200 PS24</v>
          </cell>
          <cell r="D2566">
            <v>0</v>
          </cell>
          <cell r="E2566">
            <v>0</v>
          </cell>
          <cell r="F2566">
            <v>0</v>
          </cell>
        </row>
        <row r="2567">
          <cell r="B2567">
            <v>40036286</v>
          </cell>
          <cell r="C2567" t="str">
            <v>GPSmoothRenewMask200g MRP1100 PS 12</v>
          </cell>
          <cell r="D2567">
            <v>0</v>
          </cell>
          <cell r="E2567">
            <v>0</v>
          </cell>
          <cell r="F2567">
            <v>0</v>
          </cell>
        </row>
        <row r="2568">
          <cell r="B2568">
            <v>40037619</v>
          </cell>
          <cell r="C2568" t="str">
            <v>GPSmoothRenewMask200gMRP1100 PS 12 FRW</v>
          </cell>
          <cell r="D2568">
            <v>0</v>
          </cell>
          <cell r="E2568">
            <v>0</v>
          </cell>
          <cell r="F2568">
            <v>0</v>
          </cell>
        </row>
        <row r="2569">
          <cell r="B2569">
            <v>40050003</v>
          </cell>
          <cell r="C2569" t="str">
            <v>GPSmoothRenewMask200g MRP1200 PS 12FRW</v>
          </cell>
          <cell r="D2569">
            <v>0</v>
          </cell>
          <cell r="E2569">
            <v>0</v>
          </cell>
          <cell r="F2569">
            <v>0</v>
          </cell>
        </row>
        <row r="2570">
          <cell r="B2570">
            <v>40050113</v>
          </cell>
          <cell r="C2570" t="str">
            <v>GPSmoothRenewMask200g MRP1200 PS 12</v>
          </cell>
          <cell r="D2570">
            <v>0</v>
          </cell>
          <cell r="E2570">
            <v>0</v>
          </cell>
          <cell r="F2570">
            <v>0</v>
          </cell>
        </row>
        <row r="2571">
          <cell r="B2571">
            <v>40036276</v>
          </cell>
          <cell r="C2571" t="str">
            <v>GPSmoothRenewMask500gMRP2000 PS 6</v>
          </cell>
          <cell r="D2571">
            <v>0</v>
          </cell>
          <cell r="E2571">
            <v>0</v>
          </cell>
          <cell r="F2571">
            <v>0</v>
          </cell>
        </row>
        <row r="2572">
          <cell r="B2572">
            <v>40037636</v>
          </cell>
          <cell r="C2572" t="str">
            <v>GPSmoothRenewMask500g MRP2000 PS 6 FRW</v>
          </cell>
          <cell r="D2572">
            <v>0</v>
          </cell>
          <cell r="E2572">
            <v>0</v>
          </cell>
          <cell r="F2572">
            <v>0</v>
          </cell>
        </row>
        <row r="2573">
          <cell r="B2573">
            <v>40050025</v>
          </cell>
          <cell r="C2573" t="str">
            <v>GPSmoothRenewMask500gMRP2200 PS 6FRW</v>
          </cell>
          <cell r="D2573">
            <v>0</v>
          </cell>
          <cell r="E2573">
            <v>0</v>
          </cell>
          <cell r="F2573">
            <v>0</v>
          </cell>
        </row>
        <row r="2574">
          <cell r="B2574">
            <v>40050101</v>
          </cell>
          <cell r="C2574" t="str">
            <v>GPSmoothRenewMask500gMRP2200 PS 6</v>
          </cell>
          <cell r="D2574">
            <v>0</v>
          </cell>
          <cell r="E2574">
            <v>0</v>
          </cell>
          <cell r="F2574">
            <v>0</v>
          </cell>
        </row>
        <row r="2575">
          <cell r="B2575">
            <v>40056991</v>
          </cell>
          <cell r="C2575" t="str">
            <v>GPKERAKRSHMP&amp;MASKCOMBO60MLM700P18</v>
          </cell>
          <cell r="D2575">
            <v>0</v>
          </cell>
          <cell r="E2575">
            <v>0</v>
          </cell>
          <cell r="F2575">
            <v>0</v>
          </cell>
        </row>
        <row r="2576">
          <cell r="B2576">
            <v>40059747</v>
          </cell>
          <cell r="C2576" t="str">
            <v>GPKERA KR SHMP&amp;MSKCOMB 60ML M700 P18 FRW</v>
          </cell>
          <cell r="D2576">
            <v>0</v>
          </cell>
          <cell r="E2576">
            <v>0</v>
          </cell>
          <cell r="F2576">
            <v>0</v>
          </cell>
        </row>
        <row r="2577">
          <cell r="B2577">
            <v>40037838</v>
          </cell>
          <cell r="C2577" t="str">
            <v>GPSpaSystemSmooth&amp;ShineMask 500g M600 P6</v>
          </cell>
          <cell r="D2577">
            <v>0</v>
          </cell>
          <cell r="E2577">
            <v>0</v>
          </cell>
          <cell r="F2577">
            <v>0</v>
          </cell>
        </row>
        <row r="2578">
          <cell r="B2578">
            <v>40039439</v>
          </cell>
          <cell r="C2578" t="str">
            <v>GPSpaSysSmooth&amp;ShineMask500gM600P6FRW</v>
          </cell>
          <cell r="D2578">
            <v>0</v>
          </cell>
          <cell r="E2578">
            <v>0</v>
          </cell>
          <cell r="F2578">
            <v>0</v>
          </cell>
        </row>
        <row r="2579">
          <cell r="B2579">
            <v>40050540</v>
          </cell>
          <cell r="C2579" t="str">
            <v>GPSPASYSSMOOTH&amp;SHINEMASK 500G M800.00 P6</v>
          </cell>
          <cell r="D2579">
            <v>0</v>
          </cell>
          <cell r="E2579">
            <v>0</v>
          </cell>
          <cell r="F2579">
            <v>0</v>
          </cell>
        </row>
        <row r="2580">
          <cell r="B2580">
            <v>40056145</v>
          </cell>
          <cell r="C2580" t="str">
            <v>GPSPASYSSMOOTH&amp;SHINEMSK 500G M800 P6 FRW</v>
          </cell>
          <cell r="D2580">
            <v>0</v>
          </cell>
          <cell r="E2580">
            <v>0</v>
          </cell>
          <cell r="F2580">
            <v>0</v>
          </cell>
        </row>
        <row r="2581">
          <cell r="B2581">
            <v>40037474</v>
          </cell>
          <cell r="C2581" t="str">
            <v>GP NoAmo Shade 5.1 70g M370 P24</v>
          </cell>
          <cell r="D2581">
            <v>0</v>
          </cell>
          <cell r="E2581">
            <v>0</v>
          </cell>
          <cell r="F2581">
            <v>0</v>
          </cell>
        </row>
        <row r="2582">
          <cell r="B2582">
            <v>40037577</v>
          </cell>
          <cell r="C2582" t="str">
            <v>GP NoAmo Shade 5.1 70g M370 P24 FRW</v>
          </cell>
          <cell r="D2582">
            <v>0</v>
          </cell>
          <cell r="E2582">
            <v>0</v>
          </cell>
          <cell r="F2582">
            <v>0</v>
          </cell>
        </row>
        <row r="2583">
          <cell r="B2583">
            <v>40043653</v>
          </cell>
          <cell r="C2583" t="str">
            <v>GP Dimension Shade 5.1 M410 70g P24 Frw</v>
          </cell>
          <cell r="D2583">
            <v>0</v>
          </cell>
          <cell r="E2583">
            <v>0</v>
          </cell>
          <cell r="F2583">
            <v>0</v>
          </cell>
        </row>
        <row r="2584">
          <cell r="B2584">
            <v>40064230</v>
          </cell>
          <cell r="C2584" t="str">
            <v>GP DIMENSION SHADE 5.1 M440 70G P24</v>
          </cell>
          <cell r="D2584">
            <v>0</v>
          </cell>
          <cell r="E2584">
            <v>0</v>
          </cell>
          <cell r="F2584">
            <v>0</v>
          </cell>
        </row>
        <row r="2585">
          <cell r="B2585">
            <v>40064570</v>
          </cell>
          <cell r="C2585" t="str">
            <v>GP DIMENSION SHADE 5.1 M440 70G P24 FR</v>
          </cell>
          <cell r="D2585">
            <v>0</v>
          </cell>
          <cell r="E2585">
            <v>0</v>
          </cell>
          <cell r="F2585">
            <v>0</v>
          </cell>
        </row>
        <row r="2586">
          <cell r="B2586">
            <v>40037445</v>
          </cell>
          <cell r="C2586" t="str">
            <v>GP NoAmo Shade 1 70g M370 P24</v>
          </cell>
          <cell r="D2586">
            <v>0</v>
          </cell>
          <cell r="E2586">
            <v>0</v>
          </cell>
          <cell r="F2586">
            <v>0</v>
          </cell>
        </row>
        <row r="2587">
          <cell r="B2587">
            <v>40037575</v>
          </cell>
          <cell r="C2587" t="str">
            <v>GP NoAmo Shade 1 70g M370 P24 FRW</v>
          </cell>
          <cell r="D2587">
            <v>0</v>
          </cell>
          <cell r="E2587">
            <v>0</v>
          </cell>
          <cell r="F2587">
            <v>0</v>
          </cell>
        </row>
        <row r="2588">
          <cell r="B2588">
            <v>40041339</v>
          </cell>
          <cell r="C2588" t="str">
            <v>GP Dimension Shade 1 M410 70g P24</v>
          </cell>
          <cell r="D2588">
            <v>0</v>
          </cell>
          <cell r="E2588">
            <v>0</v>
          </cell>
          <cell r="F2588">
            <v>0</v>
          </cell>
        </row>
        <row r="2589">
          <cell r="B2589">
            <v>40043649</v>
          </cell>
          <cell r="C2589" t="str">
            <v>GP Dimension Shade 1 M410 70g P24 Frw</v>
          </cell>
          <cell r="D2589">
            <v>0</v>
          </cell>
          <cell r="E2589">
            <v>0</v>
          </cell>
          <cell r="F2589">
            <v>0</v>
          </cell>
        </row>
        <row r="2590">
          <cell r="B2590">
            <v>40064567</v>
          </cell>
          <cell r="C2590" t="str">
            <v>GP DIMENSION SHADE 1 M440 70G P24 FR</v>
          </cell>
          <cell r="D2590">
            <v>0</v>
          </cell>
          <cell r="E2590">
            <v>0</v>
          </cell>
          <cell r="F2590">
            <v>0</v>
          </cell>
        </row>
        <row r="2591">
          <cell r="B2591">
            <v>40032614</v>
          </cell>
          <cell r="C2591" t="str">
            <v>GP No Ammonia  Hair Color6.34 70gM330P24</v>
          </cell>
          <cell r="D2591">
            <v>0</v>
          </cell>
          <cell r="E2591">
            <v>0</v>
          </cell>
          <cell r="F2591">
            <v>0</v>
          </cell>
        </row>
        <row r="2592">
          <cell r="B2592">
            <v>40033110</v>
          </cell>
          <cell r="C2592" t="str">
            <v>GP NoAmmo HairColor 6.34 70gM330P24FR</v>
          </cell>
          <cell r="D2592">
            <v>0</v>
          </cell>
          <cell r="E2592">
            <v>0</v>
          </cell>
          <cell r="F2592">
            <v>0</v>
          </cell>
        </row>
        <row r="2593">
          <cell r="B2593">
            <v>40037490</v>
          </cell>
          <cell r="C2593" t="str">
            <v>GP NoAmo Shade 6.34 70g M370 P24</v>
          </cell>
          <cell r="D2593">
            <v>0</v>
          </cell>
          <cell r="E2593">
            <v>0</v>
          </cell>
          <cell r="F2593">
            <v>0</v>
          </cell>
        </row>
        <row r="2594">
          <cell r="B2594">
            <v>40043663</v>
          </cell>
          <cell r="C2594" t="str">
            <v>GP Dimension Shade 6.34 M410 70g P24 Frw</v>
          </cell>
          <cell r="D2594">
            <v>0</v>
          </cell>
          <cell r="E2594">
            <v>0</v>
          </cell>
          <cell r="F2594">
            <v>0</v>
          </cell>
        </row>
        <row r="2595">
          <cell r="B2595">
            <v>40064239</v>
          </cell>
          <cell r="C2595" t="str">
            <v>GP DIMENSION SHADE 6.34 M440 70G P24</v>
          </cell>
          <cell r="D2595">
            <v>0</v>
          </cell>
          <cell r="E2595">
            <v>0</v>
          </cell>
          <cell r="F2595">
            <v>0</v>
          </cell>
        </row>
        <row r="2596">
          <cell r="B2596">
            <v>40064577</v>
          </cell>
          <cell r="C2596" t="str">
            <v>GP DIMENSION SHADE 6.34 M440 70G P24 FR</v>
          </cell>
          <cell r="D2596">
            <v>0</v>
          </cell>
          <cell r="E2596">
            <v>0</v>
          </cell>
          <cell r="F2596">
            <v>0</v>
          </cell>
        </row>
        <row r="2597">
          <cell r="B2597">
            <v>40032632</v>
          </cell>
          <cell r="C2597" t="str">
            <v>GP No Ammonia  Hair Color  3 70g M330P24</v>
          </cell>
          <cell r="D2597">
            <v>0</v>
          </cell>
          <cell r="E2597">
            <v>0</v>
          </cell>
          <cell r="F2597">
            <v>0</v>
          </cell>
        </row>
        <row r="2598">
          <cell r="B2598">
            <v>40037429</v>
          </cell>
          <cell r="C2598" t="str">
            <v>GP NoAmo Shade 3 70g M370 P24</v>
          </cell>
          <cell r="D2598">
            <v>0</v>
          </cell>
          <cell r="E2598">
            <v>0</v>
          </cell>
          <cell r="F2598">
            <v>0</v>
          </cell>
        </row>
        <row r="2599">
          <cell r="B2599">
            <v>40037579</v>
          </cell>
          <cell r="C2599" t="str">
            <v>GP NoAmo Shade 3 70g M370 P24 FRW</v>
          </cell>
          <cell r="D2599">
            <v>0</v>
          </cell>
          <cell r="E2599">
            <v>0</v>
          </cell>
          <cell r="F2599">
            <v>0</v>
          </cell>
        </row>
        <row r="2600">
          <cell r="B2600">
            <v>40041336</v>
          </cell>
          <cell r="C2600" t="str">
            <v>GP Dimension Shade 3 M410 70g P24</v>
          </cell>
          <cell r="D2600">
            <v>0</v>
          </cell>
          <cell r="E2600">
            <v>0</v>
          </cell>
          <cell r="F2600">
            <v>0</v>
          </cell>
        </row>
        <row r="2601">
          <cell r="B2601">
            <v>40043640</v>
          </cell>
          <cell r="C2601" t="str">
            <v>GP Dimension Shade 3 M410 70g P24 Frw</v>
          </cell>
          <cell r="D2601">
            <v>0</v>
          </cell>
          <cell r="E2601">
            <v>0</v>
          </cell>
          <cell r="F2601">
            <v>0</v>
          </cell>
        </row>
        <row r="2602">
          <cell r="B2602">
            <v>40064579</v>
          </cell>
          <cell r="C2602" t="str">
            <v>GP DIMENSION SHADE 3 M440 70G P24 FR</v>
          </cell>
          <cell r="D2602">
            <v>0</v>
          </cell>
          <cell r="E2602">
            <v>0</v>
          </cell>
          <cell r="F2602">
            <v>0</v>
          </cell>
        </row>
        <row r="2603">
          <cell r="B2603">
            <v>40032647</v>
          </cell>
          <cell r="C2603" t="str">
            <v>GP No Ammonia  Hair Color  6 70g M330P24</v>
          </cell>
          <cell r="D2603">
            <v>0</v>
          </cell>
          <cell r="E2603">
            <v>0</v>
          </cell>
          <cell r="F2603">
            <v>0</v>
          </cell>
        </row>
        <row r="2604">
          <cell r="B2604">
            <v>40037427</v>
          </cell>
          <cell r="C2604" t="str">
            <v>GP NoAmo Shade 6 70g M370 P24</v>
          </cell>
          <cell r="D2604">
            <v>0</v>
          </cell>
          <cell r="E2604">
            <v>0</v>
          </cell>
          <cell r="F2604">
            <v>0</v>
          </cell>
        </row>
        <row r="2605">
          <cell r="B2605">
            <v>40037581</v>
          </cell>
          <cell r="C2605" t="str">
            <v>GP NoAmo Shade 6 70g M370 P24 FRW</v>
          </cell>
          <cell r="D2605">
            <v>0</v>
          </cell>
          <cell r="E2605">
            <v>0</v>
          </cell>
          <cell r="F2605">
            <v>0</v>
          </cell>
        </row>
        <row r="2606">
          <cell r="B2606">
            <v>40041340</v>
          </cell>
          <cell r="C2606" t="str">
            <v>GP Dimension Shade 6 M410 70g P24</v>
          </cell>
          <cell r="D2606">
            <v>0</v>
          </cell>
          <cell r="E2606">
            <v>0</v>
          </cell>
          <cell r="F2606">
            <v>0</v>
          </cell>
        </row>
        <row r="2607">
          <cell r="B2607">
            <v>40043658</v>
          </cell>
          <cell r="C2607" t="str">
            <v>GP Dimension Shade 6 M410 70g P24 Frw</v>
          </cell>
          <cell r="D2607">
            <v>0</v>
          </cell>
          <cell r="E2607">
            <v>0</v>
          </cell>
          <cell r="F2607">
            <v>0</v>
          </cell>
        </row>
        <row r="2608">
          <cell r="B2608">
            <v>40064247</v>
          </cell>
          <cell r="C2608" t="str">
            <v>GP DIMENSION SHADE 6 M440 70G P24</v>
          </cell>
          <cell r="D2608">
            <v>0</v>
          </cell>
          <cell r="E2608">
            <v>0</v>
          </cell>
          <cell r="F2608">
            <v>0</v>
          </cell>
        </row>
        <row r="2609">
          <cell r="B2609">
            <v>40064607</v>
          </cell>
          <cell r="C2609" t="str">
            <v>GP DIMENSION SHADE 6 M440 70G P24 FR</v>
          </cell>
          <cell r="D2609">
            <v>0</v>
          </cell>
          <cell r="E2609">
            <v>0</v>
          </cell>
          <cell r="F2609">
            <v>0</v>
          </cell>
        </row>
        <row r="2610">
          <cell r="B2610">
            <v>40028085</v>
          </cell>
          <cell r="C2610" t="str">
            <v>GP NoAmo Shade 7.11 70g M310 P24</v>
          </cell>
          <cell r="D2610">
            <v>0</v>
          </cell>
          <cell r="E2610">
            <v>0</v>
          </cell>
          <cell r="F2610">
            <v>0</v>
          </cell>
        </row>
        <row r="2611">
          <cell r="B2611">
            <v>40037433</v>
          </cell>
          <cell r="C2611" t="str">
            <v>GP NoAmo Shade 7.11 70g M370 P24</v>
          </cell>
          <cell r="D2611">
            <v>0</v>
          </cell>
          <cell r="E2611">
            <v>0</v>
          </cell>
          <cell r="F2611">
            <v>0</v>
          </cell>
        </row>
        <row r="2612">
          <cell r="B2612">
            <v>40037569</v>
          </cell>
          <cell r="C2612" t="str">
            <v>GP NoAmo Shade 7.11 70g M370 P24 FRW</v>
          </cell>
          <cell r="D2612">
            <v>0</v>
          </cell>
          <cell r="E2612">
            <v>0</v>
          </cell>
          <cell r="F2612">
            <v>0</v>
          </cell>
        </row>
        <row r="2613">
          <cell r="B2613">
            <v>40041342</v>
          </cell>
          <cell r="C2613" t="str">
            <v>GP Dimension Shade 7.11 M410 70g P24</v>
          </cell>
          <cell r="D2613">
            <v>0</v>
          </cell>
          <cell r="E2613">
            <v>0</v>
          </cell>
          <cell r="F2613">
            <v>0</v>
          </cell>
        </row>
        <row r="2614">
          <cell r="B2614">
            <v>40043661</v>
          </cell>
          <cell r="C2614" t="str">
            <v>GP Dimension Shade 7.11 M410 70g P24 Frw</v>
          </cell>
          <cell r="D2614">
            <v>0</v>
          </cell>
          <cell r="E2614">
            <v>0</v>
          </cell>
          <cell r="F2614">
            <v>0</v>
          </cell>
        </row>
        <row r="2615">
          <cell r="B2615">
            <v>40064609</v>
          </cell>
          <cell r="C2615" t="str">
            <v>GP DIMENSION SHADE 7.11 M440 70G P24 FR</v>
          </cell>
          <cell r="D2615">
            <v>0</v>
          </cell>
          <cell r="E2615">
            <v>0</v>
          </cell>
          <cell r="F2615">
            <v>0</v>
          </cell>
        </row>
        <row r="2616">
          <cell r="B2616">
            <v>40037428</v>
          </cell>
          <cell r="C2616" t="str">
            <v>GP NoAmo Shade 4.3 70g M370 P24</v>
          </cell>
          <cell r="D2616">
            <v>0</v>
          </cell>
          <cell r="E2616">
            <v>0</v>
          </cell>
          <cell r="F2616">
            <v>0</v>
          </cell>
        </row>
        <row r="2617">
          <cell r="B2617">
            <v>40037737</v>
          </cell>
          <cell r="C2617" t="str">
            <v>GP NoAmo Shade 4.3 70g M370 P24 FRW</v>
          </cell>
          <cell r="D2617">
            <v>0</v>
          </cell>
          <cell r="E2617">
            <v>0</v>
          </cell>
          <cell r="F2617">
            <v>0</v>
          </cell>
        </row>
        <row r="2618">
          <cell r="B2618">
            <v>40041333</v>
          </cell>
          <cell r="C2618" t="str">
            <v>GP Dimension Shade 4.3 M410 70g P24</v>
          </cell>
          <cell r="D2618">
            <v>0</v>
          </cell>
          <cell r="E2618">
            <v>0</v>
          </cell>
          <cell r="F2618">
            <v>0</v>
          </cell>
        </row>
        <row r="2619">
          <cell r="B2619">
            <v>40043687</v>
          </cell>
          <cell r="C2619" t="str">
            <v>GP Dimension Shade 4.3 M410 70g P24 Frw</v>
          </cell>
          <cell r="D2619">
            <v>0</v>
          </cell>
          <cell r="E2619">
            <v>0</v>
          </cell>
          <cell r="F2619">
            <v>0</v>
          </cell>
        </row>
        <row r="2620">
          <cell r="B2620">
            <v>40064246</v>
          </cell>
          <cell r="C2620" t="str">
            <v>GP DIMENSION SHADE 4.3 M440 70G P24</v>
          </cell>
          <cell r="D2620">
            <v>0</v>
          </cell>
          <cell r="E2620">
            <v>0</v>
          </cell>
          <cell r="F2620">
            <v>0</v>
          </cell>
        </row>
        <row r="2621">
          <cell r="B2621">
            <v>40064563</v>
          </cell>
          <cell r="C2621" t="str">
            <v>GP DIMENSION SHADE 4.3 M440 70G P24 FR</v>
          </cell>
          <cell r="D2621">
            <v>0</v>
          </cell>
          <cell r="E2621">
            <v>0</v>
          </cell>
          <cell r="F2621">
            <v>0</v>
          </cell>
        </row>
        <row r="2622">
          <cell r="B2622">
            <v>40020202</v>
          </cell>
          <cell r="C2622" t="str">
            <v>GP NoAmo Shade 5.35 70g M310 P24</v>
          </cell>
          <cell r="D2622">
            <v>0</v>
          </cell>
          <cell r="E2622">
            <v>0</v>
          </cell>
          <cell r="F2622">
            <v>0</v>
          </cell>
        </row>
        <row r="2623">
          <cell r="B2623">
            <v>40025421</v>
          </cell>
          <cell r="C2623" t="str">
            <v>GP NoAmoShade 5.35 70g FRW Colr M310P24</v>
          </cell>
          <cell r="D2623">
            <v>0</v>
          </cell>
          <cell r="E2623">
            <v>0</v>
          </cell>
          <cell r="F2623">
            <v>0</v>
          </cell>
        </row>
        <row r="2624">
          <cell r="B2624">
            <v>40037435</v>
          </cell>
          <cell r="C2624" t="str">
            <v>GP NoAmo Shade 5.35 70g M370 P24 NEW</v>
          </cell>
          <cell r="D2624">
            <v>0</v>
          </cell>
          <cell r="E2624">
            <v>0</v>
          </cell>
          <cell r="F2624">
            <v>0</v>
          </cell>
        </row>
        <row r="2625">
          <cell r="B2625">
            <v>40037511</v>
          </cell>
          <cell r="C2625" t="str">
            <v>GP NoAmo Shade 5.35 70g M370 P24 FRW</v>
          </cell>
          <cell r="D2625">
            <v>0</v>
          </cell>
          <cell r="E2625">
            <v>0</v>
          </cell>
          <cell r="F2625">
            <v>0</v>
          </cell>
        </row>
        <row r="2626">
          <cell r="B2626">
            <v>40041322</v>
          </cell>
          <cell r="C2626" t="str">
            <v>GP Dimension Shade 5.35 M410 70g P24</v>
          </cell>
          <cell r="D2626">
            <v>0</v>
          </cell>
          <cell r="E2626">
            <v>0</v>
          </cell>
          <cell r="F2626">
            <v>0</v>
          </cell>
        </row>
        <row r="2627">
          <cell r="B2627">
            <v>40043639</v>
          </cell>
          <cell r="C2627" t="str">
            <v>GP Dimension Shade 5.35 M410 70g P24 Frw</v>
          </cell>
          <cell r="D2627">
            <v>0</v>
          </cell>
          <cell r="E2627">
            <v>0</v>
          </cell>
          <cell r="F2627">
            <v>0</v>
          </cell>
        </row>
        <row r="2628">
          <cell r="B2628">
            <v>40033099</v>
          </cell>
          <cell r="C2628" t="str">
            <v>GP NoAmmo HairColor 4.2 70gM330P24FR</v>
          </cell>
          <cell r="D2628">
            <v>0</v>
          </cell>
          <cell r="E2628">
            <v>0</v>
          </cell>
          <cell r="F2628">
            <v>0</v>
          </cell>
        </row>
        <row r="2629">
          <cell r="B2629">
            <v>40041320</v>
          </cell>
          <cell r="C2629" t="str">
            <v>GP Dimension Shade 4.2 M410 70g P24</v>
          </cell>
          <cell r="D2629">
            <v>0</v>
          </cell>
          <cell r="E2629">
            <v>0</v>
          </cell>
          <cell r="F2629">
            <v>0</v>
          </cell>
        </row>
        <row r="2630">
          <cell r="B2630">
            <v>40043641</v>
          </cell>
          <cell r="C2630" t="str">
            <v>GP Dimension Shade 4.2 M410 70g P24 Frw</v>
          </cell>
          <cell r="D2630">
            <v>0</v>
          </cell>
          <cell r="E2630">
            <v>0</v>
          </cell>
          <cell r="F2630">
            <v>0</v>
          </cell>
        </row>
        <row r="2631">
          <cell r="B2631">
            <v>40064244</v>
          </cell>
          <cell r="C2631" t="str">
            <v>GP DIMENSION SHADE 4.2 M440 70G P24</v>
          </cell>
          <cell r="D2631">
            <v>0</v>
          </cell>
          <cell r="E2631">
            <v>0</v>
          </cell>
          <cell r="F2631">
            <v>0</v>
          </cell>
        </row>
        <row r="2632">
          <cell r="B2632">
            <v>40064608</v>
          </cell>
          <cell r="C2632" t="str">
            <v>GP DIMENSION SHADE 4.2 M440 70G P24 FR</v>
          </cell>
          <cell r="D2632">
            <v>0</v>
          </cell>
          <cell r="E2632">
            <v>0</v>
          </cell>
          <cell r="F2632">
            <v>0</v>
          </cell>
        </row>
        <row r="2633">
          <cell r="B2633">
            <v>40032939</v>
          </cell>
          <cell r="C2633" t="str">
            <v>GP NoAmmo HairColor 8 70gM330P24FR</v>
          </cell>
          <cell r="D2633">
            <v>0</v>
          </cell>
          <cell r="E2633">
            <v>0</v>
          </cell>
          <cell r="F2633">
            <v>0</v>
          </cell>
        </row>
        <row r="2634">
          <cell r="B2634">
            <v>40037455</v>
          </cell>
          <cell r="C2634" t="str">
            <v>GP NoAmo Shade 8 70g M370 P24 FRW</v>
          </cell>
          <cell r="D2634">
            <v>0</v>
          </cell>
          <cell r="E2634">
            <v>0</v>
          </cell>
          <cell r="F2634">
            <v>0</v>
          </cell>
        </row>
        <row r="2635">
          <cell r="B2635">
            <v>40043676</v>
          </cell>
          <cell r="C2635" t="str">
            <v>GP Dimension Shade8 M410 70g P24 Frw</v>
          </cell>
          <cell r="D2635">
            <v>0</v>
          </cell>
          <cell r="E2635">
            <v>0</v>
          </cell>
          <cell r="F2635">
            <v>0</v>
          </cell>
        </row>
        <row r="2636">
          <cell r="B2636">
            <v>40064243</v>
          </cell>
          <cell r="C2636" t="str">
            <v>GP DIMENSION SHADE 8 M440 70G P24</v>
          </cell>
          <cell r="D2636">
            <v>0</v>
          </cell>
          <cell r="E2636">
            <v>0</v>
          </cell>
          <cell r="F2636">
            <v>0</v>
          </cell>
        </row>
        <row r="2637">
          <cell r="B2637">
            <v>40064571</v>
          </cell>
          <cell r="C2637" t="str">
            <v>GP DIMENSION SHADE 8 M440 70G P24 FR</v>
          </cell>
          <cell r="D2637">
            <v>0</v>
          </cell>
          <cell r="E2637">
            <v>0</v>
          </cell>
          <cell r="F2637">
            <v>0</v>
          </cell>
        </row>
        <row r="2638">
          <cell r="B2638">
            <v>40032645</v>
          </cell>
          <cell r="C2638" t="str">
            <v>GP No Ammonia  Hair Color 4G 70gM330P24</v>
          </cell>
          <cell r="D2638">
            <v>0</v>
          </cell>
          <cell r="E2638">
            <v>0</v>
          </cell>
          <cell r="F2638">
            <v>0</v>
          </cell>
        </row>
        <row r="2639">
          <cell r="B2639">
            <v>40037431</v>
          </cell>
          <cell r="C2639" t="str">
            <v>GP NoAmo Shade 4G 70g M370 P24</v>
          </cell>
          <cell r="D2639">
            <v>0</v>
          </cell>
          <cell r="E2639">
            <v>0</v>
          </cell>
          <cell r="F2639">
            <v>0</v>
          </cell>
        </row>
        <row r="2640">
          <cell r="B2640">
            <v>40037441</v>
          </cell>
          <cell r="C2640" t="str">
            <v>GP NoAmo Shade 4G 70g M370 P24 FRW</v>
          </cell>
          <cell r="D2640">
            <v>0</v>
          </cell>
          <cell r="E2640">
            <v>0</v>
          </cell>
          <cell r="F2640">
            <v>0</v>
          </cell>
        </row>
        <row r="2641">
          <cell r="B2641">
            <v>40043594</v>
          </cell>
          <cell r="C2641" t="str">
            <v>GP Dimension Shade 4G M410 70g P24 Frw</v>
          </cell>
          <cell r="D2641">
            <v>0</v>
          </cell>
          <cell r="E2641">
            <v>0</v>
          </cell>
          <cell r="F2641">
            <v>0</v>
          </cell>
        </row>
        <row r="2642">
          <cell r="B2642">
            <v>40064564</v>
          </cell>
          <cell r="C2642" t="str">
            <v>GP DIMENSION SHADE 4G M440 70G P24 FR</v>
          </cell>
          <cell r="D2642">
            <v>0</v>
          </cell>
          <cell r="E2642">
            <v>0</v>
          </cell>
          <cell r="F2642">
            <v>0</v>
          </cell>
        </row>
        <row r="2643">
          <cell r="B2643">
            <v>40025410</v>
          </cell>
          <cell r="C2643" t="str">
            <v>GP NoAmo Shade 5 70g FRW Colr M310 P24</v>
          </cell>
          <cell r="D2643">
            <v>0</v>
          </cell>
          <cell r="E2643">
            <v>0</v>
          </cell>
          <cell r="F2643">
            <v>0</v>
          </cell>
        </row>
        <row r="2644">
          <cell r="B2644">
            <v>40033109</v>
          </cell>
          <cell r="C2644" t="str">
            <v>GP NoAmmo HairColor 5 70g M330 P24FR</v>
          </cell>
          <cell r="D2644">
            <v>0</v>
          </cell>
          <cell r="E2644">
            <v>0</v>
          </cell>
          <cell r="F2644">
            <v>0</v>
          </cell>
        </row>
        <row r="2645">
          <cell r="B2645">
            <v>40037448</v>
          </cell>
          <cell r="C2645" t="str">
            <v>GP NoAmo Shade 5 70g M370 P24 NEW FRW</v>
          </cell>
          <cell r="D2645">
            <v>0</v>
          </cell>
          <cell r="E2645">
            <v>0</v>
          </cell>
          <cell r="F2645">
            <v>0</v>
          </cell>
        </row>
        <row r="2646">
          <cell r="B2646">
            <v>40041330</v>
          </cell>
          <cell r="C2646" t="str">
            <v>GP Dimension Shade 5 M410 70g P24</v>
          </cell>
          <cell r="D2646">
            <v>0</v>
          </cell>
          <cell r="E2646">
            <v>0</v>
          </cell>
          <cell r="F2646">
            <v>0</v>
          </cell>
        </row>
        <row r="2647">
          <cell r="B2647">
            <v>40043655</v>
          </cell>
          <cell r="C2647" t="str">
            <v>GP Dimension Shade 5 M410 70g P24 Frw</v>
          </cell>
          <cell r="D2647">
            <v>0</v>
          </cell>
          <cell r="E2647">
            <v>0</v>
          </cell>
          <cell r="F2647">
            <v>0</v>
          </cell>
        </row>
        <row r="2648">
          <cell r="B2648">
            <v>40064637</v>
          </cell>
          <cell r="C2648" t="str">
            <v>GP DIMENSION SHADE 5 M440 70G P24 FR</v>
          </cell>
          <cell r="D2648">
            <v>0</v>
          </cell>
          <cell r="E2648">
            <v>0</v>
          </cell>
          <cell r="F2648">
            <v>0</v>
          </cell>
        </row>
        <row r="2649">
          <cell r="B2649">
            <v>40033106</v>
          </cell>
          <cell r="C2649" t="str">
            <v>GP NoAmmo HairColor 4.56 70gM330P24FR</v>
          </cell>
          <cell r="D2649">
            <v>0</v>
          </cell>
          <cell r="E2649">
            <v>0</v>
          </cell>
          <cell r="F2649">
            <v>0</v>
          </cell>
        </row>
        <row r="2650">
          <cell r="B2650">
            <v>40041345</v>
          </cell>
          <cell r="C2650" t="str">
            <v>GP Dimension Shade 4.56 M410 70g P24</v>
          </cell>
          <cell r="D2650">
            <v>0</v>
          </cell>
          <cell r="E2650">
            <v>0</v>
          </cell>
          <cell r="F2650">
            <v>0</v>
          </cell>
        </row>
        <row r="2651">
          <cell r="B2651">
            <v>40043678</v>
          </cell>
          <cell r="C2651" t="str">
            <v>GP Dimension Shade 4.56 M410 70g P24 Frw</v>
          </cell>
          <cell r="D2651">
            <v>0</v>
          </cell>
          <cell r="E2651">
            <v>0</v>
          </cell>
          <cell r="F2651">
            <v>0</v>
          </cell>
        </row>
        <row r="2652">
          <cell r="B2652">
            <v>40064238</v>
          </cell>
          <cell r="C2652" t="str">
            <v>GP DIMENSION SHADE 4.56 M440 70G P24</v>
          </cell>
          <cell r="D2652">
            <v>0</v>
          </cell>
          <cell r="E2652">
            <v>0</v>
          </cell>
          <cell r="F2652">
            <v>0</v>
          </cell>
        </row>
        <row r="2653">
          <cell r="B2653">
            <v>40064636</v>
          </cell>
          <cell r="C2653" t="str">
            <v>GP DIMENSION SHADE 4.56 M440 70G P24 FR</v>
          </cell>
          <cell r="D2653">
            <v>0</v>
          </cell>
          <cell r="E2653">
            <v>0</v>
          </cell>
          <cell r="F2653">
            <v>0</v>
          </cell>
        </row>
        <row r="2654">
          <cell r="B2654">
            <v>40032640</v>
          </cell>
          <cell r="C2654" t="str">
            <v>GP No Ammonia  Hair Color 4 70g M330 P24</v>
          </cell>
          <cell r="D2654">
            <v>0</v>
          </cell>
          <cell r="E2654">
            <v>0</v>
          </cell>
          <cell r="F2654">
            <v>0</v>
          </cell>
        </row>
        <row r="2655">
          <cell r="B2655">
            <v>40033128</v>
          </cell>
          <cell r="C2655" t="str">
            <v>GP NoAmmo HairColor 4 70g M330 P24FR</v>
          </cell>
          <cell r="D2655">
            <v>0</v>
          </cell>
          <cell r="E2655">
            <v>0</v>
          </cell>
          <cell r="F2655">
            <v>0</v>
          </cell>
        </row>
        <row r="2656">
          <cell r="B2656">
            <v>40037450</v>
          </cell>
          <cell r="C2656" t="str">
            <v>GP NoAmo Shade 4 70g M370 P24 NEW FRW</v>
          </cell>
          <cell r="D2656">
            <v>0</v>
          </cell>
          <cell r="E2656">
            <v>0</v>
          </cell>
          <cell r="F2656">
            <v>0</v>
          </cell>
        </row>
        <row r="2657">
          <cell r="B2657">
            <v>40041341</v>
          </cell>
          <cell r="C2657" t="str">
            <v>GP Dimension Shade 4 M410 70g P24</v>
          </cell>
          <cell r="D2657">
            <v>0</v>
          </cell>
          <cell r="E2657">
            <v>0</v>
          </cell>
          <cell r="F2657">
            <v>0</v>
          </cell>
        </row>
        <row r="2658">
          <cell r="B2658">
            <v>40043660</v>
          </cell>
          <cell r="C2658" t="str">
            <v>GP Dimension Shade 4 M410 70g P24 Frw</v>
          </cell>
          <cell r="D2658">
            <v>0</v>
          </cell>
          <cell r="E2658">
            <v>0</v>
          </cell>
          <cell r="F2658">
            <v>0</v>
          </cell>
        </row>
        <row r="2659">
          <cell r="B2659">
            <v>40064642</v>
          </cell>
          <cell r="C2659" t="str">
            <v>GP DIMENSION SHADE 4 M440 70G P24 FR</v>
          </cell>
          <cell r="D2659">
            <v>0</v>
          </cell>
          <cell r="E2659">
            <v>0</v>
          </cell>
          <cell r="F2659">
            <v>0</v>
          </cell>
        </row>
        <row r="2660">
          <cell r="B2660">
            <v>40033034</v>
          </cell>
          <cell r="C2660" t="str">
            <v>GP NoAmmo HairColor 5.3 70gM330P24FR</v>
          </cell>
          <cell r="D2660">
            <v>0</v>
          </cell>
          <cell r="E2660">
            <v>0</v>
          </cell>
          <cell r="F2660">
            <v>0</v>
          </cell>
        </row>
        <row r="2661">
          <cell r="B2661">
            <v>40037426</v>
          </cell>
          <cell r="C2661" t="str">
            <v>GP NoAmo Shade 5.3 70g M370 P24</v>
          </cell>
          <cell r="D2661">
            <v>0</v>
          </cell>
          <cell r="E2661">
            <v>0</v>
          </cell>
          <cell r="F2661">
            <v>0</v>
          </cell>
        </row>
        <row r="2662">
          <cell r="B2662">
            <v>40037568</v>
          </cell>
          <cell r="C2662" t="str">
            <v>GP NoAmo Shade 5.3 70g M370 P24 FRW</v>
          </cell>
          <cell r="D2662">
            <v>0</v>
          </cell>
          <cell r="E2662">
            <v>0</v>
          </cell>
          <cell r="F2662">
            <v>0</v>
          </cell>
        </row>
        <row r="2663">
          <cell r="B2663">
            <v>40041323</v>
          </cell>
          <cell r="C2663" t="str">
            <v>GP Dimension Shade 5.3 M410 70g P24</v>
          </cell>
          <cell r="D2663">
            <v>0</v>
          </cell>
          <cell r="E2663">
            <v>0</v>
          </cell>
          <cell r="F2663">
            <v>0</v>
          </cell>
        </row>
        <row r="2664">
          <cell r="B2664">
            <v>40043662</v>
          </cell>
          <cell r="C2664" t="str">
            <v>GP Dimension Shade 5.3 M410 70g P24 Frw</v>
          </cell>
          <cell r="D2664">
            <v>0</v>
          </cell>
          <cell r="E2664">
            <v>0</v>
          </cell>
          <cell r="F2664">
            <v>0</v>
          </cell>
        </row>
        <row r="2665">
          <cell r="B2665">
            <v>40064236</v>
          </cell>
          <cell r="C2665" t="str">
            <v>GP DIMENSION SHADE 5.3 M440 70G P24</v>
          </cell>
          <cell r="D2665">
            <v>0</v>
          </cell>
          <cell r="E2665">
            <v>0</v>
          </cell>
          <cell r="F2665">
            <v>0</v>
          </cell>
        </row>
        <row r="2666">
          <cell r="B2666">
            <v>40064613</v>
          </cell>
          <cell r="C2666" t="str">
            <v>GP DIMENSION SHADE 5.3 M440 70G P24 FR</v>
          </cell>
          <cell r="D2666">
            <v>0</v>
          </cell>
          <cell r="E2666">
            <v>0</v>
          </cell>
          <cell r="F2666">
            <v>0</v>
          </cell>
        </row>
        <row r="2667">
          <cell r="B2667">
            <v>40033108</v>
          </cell>
          <cell r="C2667" t="str">
            <v>GP NoAmmo HairColor 5G 70gM330P24FR</v>
          </cell>
          <cell r="D2667">
            <v>0</v>
          </cell>
          <cell r="E2667">
            <v>0</v>
          </cell>
          <cell r="F2667">
            <v>0</v>
          </cell>
        </row>
        <row r="2668">
          <cell r="B2668">
            <v>40037467</v>
          </cell>
          <cell r="C2668" t="str">
            <v>GP NoAmo Shade 5G 70g M370 P24 FRW</v>
          </cell>
          <cell r="D2668">
            <v>0</v>
          </cell>
          <cell r="E2668">
            <v>0</v>
          </cell>
          <cell r="F2668">
            <v>0</v>
          </cell>
        </row>
        <row r="2669">
          <cell r="B2669">
            <v>40037482</v>
          </cell>
          <cell r="C2669" t="str">
            <v>GP NoAmo Shade 5G 70g M370 P24</v>
          </cell>
          <cell r="D2669">
            <v>0</v>
          </cell>
          <cell r="E2669">
            <v>0</v>
          </cell>
          <cell r="F2669">
            <v>0</v>
          </cell>
        </row>
        <row r="2670">
          <cell r="B2670">
            <v>40041359</v>
          </cell>
          <cell r="C2670" t="str">
            <v>GP Dimension Shade 5G M395 70g P24</v>
          </cell>
          <cell r="D2670">
            <v>0</v>
          </cell>
          <cell r="E2670">
            <v>0</v>
          </cell>
          <cell r="F2670">
            <v>0</v>
          </cell>
        </row>
        <row r="2671">
          <cell r="B2671">
            <v>40043632</v>
          </cell>
          <cell r="C2671" t="str">
            <v>GP Dimension Shade 5G M395 70g P24 Frw</v>
          </cell>
          <cell r="D2671">
            <v>0</v>
          </cell>
          <cell r="E2671">
            <v>0</v>
          </cell>
          <cell r="F2671">
            <v>0</v>
          </cell>
        </row>
        <row r="2672">
          <cell r="B2672">
            <v>40049872</v>
          </cell>
          <cell r="C2672" t="str">
            <v>GP Dimension Shade 5G M410 70g P24 Frw</v>
          </cell>
          <cell r="D2672">
            <v>0</v>
          </cell>
          <cell r="E2672">
            <v>0</v>
          </cell>
          <cell r="F2672">
            <v>0</v>
          </cell>
        </row>
        <row r="2673">
          <cell r="B2673">
            <v>40064231</v>
          </cell>
          <cell r="C2673" t="str">
            <v>GP DIMENSION SHADE 5G M440 70G P24</v>
          </cell>
          <cell r="D2673">
            <v>0</v>
          </cell>
          <cell r="E2673">
            <v>0</v>
          </cell>
          <cell r="F2673">
            <v>0</v>
          </cell>
        </row>
        <row r="2674">
          <cell r="B2674">
            <v>40033118</v>
          </cell>
          <cell r="C2674" t="str">
            <v>GP NoAmmo HairColor 7G 70gM330P24FR</v>
          </cell>
          <cell r="D2674">
            <v>0</v>
          </cell>
          <cell r="E2674">
            <v>0</v>
          </cell>
          <cell r="F2674">
            <v>0</v>
          </cell>
        </row>
        <row r="2675">
          <cell r="B2675">
            <v>40037492</v>
          </cell>
          <cell r="C2675" t="str">
            <v>GP NoAmo Shade 7G 70g M370 P24</v>
          </cell>
          <cell r="D2675">
            <v>0</v>
          </cell>
          <cell r="E2675">
            <v>0</v>
          </cell>
          <cell r="F2675">
            <v>0</v>
          </cell>
        </row>
        <row r="2676">
          <cell r="B2676">
            <v>40037561</v>
          </cell>
          <cell r="C2676" t="str">
            <v>GP NoAmo Shade 7G 70g M370 P24 FRW</v>
          </cell>
          <cell r="D2676">
            <v>0</v>
          </cell>
          <cell r="E2676">
            <v>0</v>
          </cell>
          <cell r="F2676">
            <v>0</v>
          </cell>
        </row>
        <row r="2677">
          <cell r="B2677">
            <v>40043624</v>
          </cell>
          <cell r="C2677" t="str">
            <v>GP Dimension Shade 7G M410 70g P24 Frw</v>
          </cell>
          <cell r="D2677">
            <v>0</v>
          </cell>
          <cell r="E2677">
            <v>0</v>
          </cell>
          <cell r="F2677">
            <v>0</v>
          </cell>
        </row>
        <row r="2678">
          <cell r="B2678">
            <v>40064237</v>
          </cell>
          <cell r="C2678" t="str">
            <v>GP DIMENSION SHADE 7G M440 70G P24</v>
          </cell>
          <cell r="D2678">
            <v>0</v>
          </cell>
          <cell r="E2678">
            <v>0</v>
          </cell>
          <cell r="F2678">
            <v>0</v>
          </cell>
        </row>
        <row r="2679">
          <cell r="B2679">
            <v>40020177</v>
          </cell>
          <cell r="C2679" t="str">
            <v>GP NoAmo Shade 4.26 70g M310 P24</v>
          </cell>
          <cell r="D2679">
            <v>0</v>
          </cell>
          <cell r="E2679">
            <v>0</v>
          </cell>
          <cell r="F2679">
            <v>0</v>
          </cell>
        </row>
        <row r="2680">
          <cell r="B2680">
            <v>40037483</v>
          </cell>
          <cell r="C2680" t="str">
            <v>GP NoAmo Shade 4.26 70g M370 P24</v>
          </cell>
          <cell r="D2680">
            <v>0</v>
          </cell>
          <cell r="E2680">
            <v>0</v>
          </cell>
          <cell r="F2680">
            <v>0</v>
          </cell>
        </row>
        <row r="2681">
          <cell r="B2681">
            <v>40037560</v>
          </cell>
          <cell r="C2681" t="str">
            <v>GP NoAmo Shade 4.26 70g M370 P24 FRW</v>
          </cell>
          <cell r="D2681">
            <v>0</v>
          </cell>
          <cell r="E2681">
            <v>0</v>
          </cell>
          <cell r="F2681">
            <v>0</v>
          </cell>
        </row>
        <row r="2682">
          <cell r="B2682">
            <v>40041334</v>
          </cell>
          <cell r="C2682" t="str">
            <v>GP Dimension Shade 4.26 M395 70g P24</v>
          </cell>
          <cell r="D2682">
            <v>0</v>
          </cell>
          <cell r="E2682">
            <v>0</v>
          </cell>
          <cell r="F2682">
            <v>0</v>
          </cell>
        </row>
        <row r="2683">
          <cell r="B2683">
            <v>40043637</v>
          </cell>
          <cell r="C2683" t="str">
            <v>GP Dimension Shade 4.26 M395 70g P24 Frw</v>
          </cell>
          <cell r="D2683">
            <v>0</v>
          </cell>
          <cell r="E2683">
            <v>0</v>
          </cell>
          <cell r="F2683">
            <v>0</v>
          </cell>
        </row>
        <row r="2684">
          <cell r="B2684">
            <v>40049887</v>
          </cell>
          <cell r="C2684" t="str">
            <v>GP Dimension Shade 4.26 M410 70g P24</v>
          </cell>
          <cell r="D2684">
            <v>0</v>
          </cell>
          <cell r="E2684">
            <v>0</v>
          </cell>
          <cell r="F2684">
            <v>0</v>
          </cell>
        </row>
        <row r="2685">
          <cell r="B2685">
            <v>40049901</v>
          </cell>
          <cell r="C2685" t="str">
            <v>GP Dimension Shade 4.26 M410 70g P24 Frw</v>
          </cell>
          <cell r="D2685">
            <v>0</v>
          </cell>
          <cell r="E2685">
            <v>0</v>
          </cell>
          <cell r="F2685">
            <v>0</v>
          </cell>
        </row>
        <row r="2686">
          <cell r="B2686">
            <v>40064302</v>
          </cell>
          <cell r="C2686" t="str">
            <v>GP DIMENSION SHADE 4.26 M440 70G P24</v>
          </cell>
          <cell r="D2686">
            <v>0</v>
          </cell>
          <cell r="E2686">
            <v>0</v>
          </cell>
          <cell r="F2686">
            <v>0</v>
          </cell>
        </row>
        <row r="2687">
          <cell r="B2687">
            <v>40064639</v>
          </cell>
          <cell r="C2687" t="str">
            <v>GP DIMENSION SHADE 4.26 M440 70G P24 FR</v>
          </cell>
          <cell r="D2687">
            <v>0</v>
          </cell>
          <cell r="E2687">
            <v>0</v>
          </cell>
          <cell r="F2687">
            <v>0</v>
          </cell>
        </row>
        <row r="2688">
          <cell r="B2688">
            <v>40037567</v>
          </cell>
          <cell r="C2688" t="str">
            <v>GP NoAmo Shade 5.62 70g M370 P24 FRW</v>
          </cell>
          <cell r="D2688">
            <v>0</v>
          </cell>
          <cell r="E2688">
            <v>0</v>
          </cell>
          <cell r="F2688">
            <v>0</v>
          </cell>
        </row>
        <row r="2689">
          <cell r="B2689">
            <v>40043677</v>
          </cell>
          <cell r="C2689" t="str">
            <v>GP Dimension Shade 5.62 M410 70g P24 Frw</v>
          </cell>
          <cell r="D2689">
            <v>0</v>
          </cell>
          <cell r="E2689">
            <v>0</v>
          </cell>
          <cell r="F2689">
            <v>0</v>
          </cell>
        </row>
        <row r="2690">
          <cell r="B2690">
            <v>40064304</v>
          </cell>
          <cell r="C2690" t="str">
            <v>GP DIMENSION SHADE 5.62 M440 70G P24</v>
          </cell>
          <cell r="D2690">
            <v>0</v>
          </cell>
          <cell r="E2690">
            <v>0</v>
          </cell>
          <cell r="F2690">
            <v>0</v>
          </cell>
        </row>
        <row r="2691">
          <cell r="B2691">
            <v>40064641</v>
          </cell>
          <cell r="C2691" t="str">
            <v>GP DIMENSION SHADE 5.62 M440 70G P24 FR</v>
          </cell>
          <cell r="D2691">
            <v>0</v>
          </cell>
          <cell r="E2691">
            <v>0</v>
          </cell>
          <cell r="F2691">
            <v>0</v>
          </cell>
        </row>
        <row r="2692">
          <cell r="B2692">
            <v>40033126</v>
          </cell>
          <cell r="C2692" t="str">
            <v>GP NoAmmo HairColor 6.17 70gM330P24FR</v>
          </cell>
          <cell r="D2692">
            <v>0</v>
          </cell>
          <cell r="E2692">
            <v>0</v>
          </cell>
          <cell r="F2692">
            <v>0</v>
          </cell>
        </row>
        <row r="2693">
          <cell r="B2693">
            <v>40041324</v>
          </cell>
          <cell r="C2693" t="str">
            <v>GP Dimension Shade 6.17 M410 70g P24</v>
          </cell>
          <cell r="D2693">
            <v>0</v>
          </cell>
          <cell r="E2693">
            <v>0</v>
          </cell>
          <cell r="F2693">
            <v>0</v>
          </cell>
        </row>
        <row r="2694">
          <cell r="B2694">
            <v>40043669</v>
          </cell>
          <cell r="C2694" t="str">
            <v>GP Dimension Shade 6.17 M410 70g P24 Frw</v>
          </cell>
          <cell r="D2694">
            <v>0</v>
          </cell>
          <cell r="E2694">
            <v>0</v>
          </cell>
          <cell r="F2694">
            <v>0</v>
          </cell>
        </row>
        <row r="2695">
          <cell r="B2695">
            <v>40064325</v>
          </cell>
          <cell r="C2695" t="str">
            <v>GP DIMENSION SHADE 6.17 M440 70G P24</v>
          </cell>
          <cell r="D2695">
            <v>0</v>
          </cell>
          <cell r="E2695">
            <v>0</v>
          </cell>
          <cell r="F2695">
            <v>0</v>
          </cell>
        </row>
        <row r="2696">
          <cell r="B2696">
            <v>40064643</v>
          </cell>
          <cell r="C2696" t="str">
            <v>GP DIMENSION SHADE 6.17 M440 70G P24 FR</v>
          </cell>
          <cell r="D2696">
            <v>0</v>
          </cell>
          <cell r="E2696">
            <v>0</v>
          </cell>
          <cell r="F2696">
            <v>0</v>
          </cell>
        </row>
        <row r="2697">
          <cell r="B2697">
            <v>40038436</v>
          </cell>
          <cell r="C2697" t="str">
            <v>GP NoAmo Shade 6.88 70g M370 P24</v>
          </cell>
          <cell r="D2697">
            <v>0</v>
          </cell>
          <cell r="E2697">
            <v>0</v>
          </cell>
          <cell r="F2697">
            <v>0</v>
          </cell>
        </row>
        <row r="2698">
          <cell r="B2698">
            <v>40039329</v>
          </cell>
          <cell r="C2698" t="str">
            <v>GP NoAmo Shade 6.88 70gM370P24FRW</v>
          </cell>
          <cell r="D2698">
            <v>0</v>
          </cell>
          <cell r="E2698">
            <v>0</v>
          </cell>
          <cell r="F2698">
            <v>0</v>
          </cell>
        </row>
        <row r="2699">
          <cell r="B2699">
            <v>40041346</v>
          </cell>
          <cell r="C2699" t="str">
            <v>GP Dimension Shade 6.88 M410 70g P24</v>
          </cell>
          <cell r="D2699">
            <v>0</v>
          </cell>
          <cell r="E2699">
            <v>0</v>
          </cell>
          <cell r="F2699">
            <v>0</v>
          </cell>
        </row>
        <row r="2700">
          <cell r="B2700">
            <v>40043647</v>
          </cell>
          <cell r="C2700" t="str">
            <v>GP Dimension Shade 6.88 M410 70g P24 Frw</v>
          </cell>
          <cell r="D2700">
            <v>0</v>
          </cell>
          <cell r="E2700">
            <v>0</v>
          </cell>
          <cell r="F2700">
            <v>0</v>
          </cell>
        </row>
        <row r="2701">
          <cell r="B2701">
            <v>40064312</v>
          </cell>
          <cell r="C2701" t="str">
            <v>GP DIMENSION SHADE 6.88 M440 70G P24</v>
          </cell>
          <cell r="D2701">
            <v>0</v>
          </cell>
          <cell r="E2701">
            <v>0</v>
          </cell>
          <cell r="F2701">
            <v>0</v>
          </cell>
        </row>
        <row r="2702">
          <cell r="B2702">
            <v>40064638</v>
          </cell>
          <cell r="C2702" t="str">
            <v>GP DIMENSION SHADE 6.88 M440 70G P24 FR</v>
          </cell>
          <cell r="D2702">
            <v>0</v>
          </cell>
          <cell r="E2702">
            <v>0</v>
          </cell>
          <cell r="F2702">
            <v>0</v>
          </cell>
        </row>
        <row r="2703">
          <cell r="B2703">
            <v>40038431</v>
          </cell>
          <cell r="C2703" t="str">
            <v>GP NoAmo Shade 9.1 70g M370 P24</v>
          </cell>
          <cell r="D2703">
            <v>0</v>
          </cell>
          <cell r="E2703">
            <v>0</v>
          </cell>
          <cell r="F2703">
            <v>0</v>
          </cell>
        </row>
        <row r="2704">
          <cell r="B2704">
            <v>40039328</v>
          </cell>
          <cell r="C2704" t="str">
            <v>GP NoAmo Shade 9.1 70gM370P24FRW</v>
          </cell>
          <cell r="D2704">
            <v>0</v>
          </cell>
          <cell r="E2704">
            <v>0</v>
          </cell>
          <cell r="F2704">
            <v>0</v>
          </cell>
        </row>
        <row r="2705">
          <cell r="B2705">
            <v>40043645</v>
          </cell>
          <cell r="C2705" t="str">
            <v>GP Dimension Shade 9.1 M410 70g P24 Frw</v>
          </cell>
          <cell r="D2705">
            <v>0</v>
          </cell>
          <cell r="E2705">
            <v>0</v>
          </cell>
          <cell r="F2705">
            <v>0</v>
          </cell>
        </row>
        <row r="2706">
          <cell r="B2706">
            <v>40064324</v>
          </cell>
          <cell r="C2706" t="str">
            <v>GP DIMENSION SHADE 9.1 M440 70G P24</v>
          </cell>
          <cell r="D2706">
            <v>0</v>
          </cell>
          <cell r="E2706">
            <v>0</v>
          </cell>
          <cell r="F2706">
            <v>0</v>
          </cell>
        </row>
        <row r="2707">
          <cell r="B2707">
            <v>40064612</v>
          </cell>
          <cell r="C2707" t="str">
            <v>GP DIMENSION SHADE 9.1 M440 70G P24 FR</v>
          </cell>
          <cell r="D2707">
            <v>0</v>
          </cell>
          <cell r="E2707">
            <v>0</v>
          </cell>
          <cell r="F2707">
            <v>0</v>
          </cell>
        </row>
        <row r="2708">
          <cell r="B2708">
            <v>40038455</v>
          </cell>
          <cell r="C2708" t="str">
            <v>GP NoAmo Shade 8.83 70g M370 P24</v>
          </cell>
          <cell r="D2708">
            <v>0</v>
          </cell>
          <cell r="E2708">
            <v>0</v>
          </cell>
          <cell r="F2708">
            <v>0</v>
          </cell>
        </row>
        <row r="2709">
          <cell r="B2709">
            <v>40039343</v>
          </cell>
          <cell r="C2709" t="str">
            <v>GP NoAmo Shade 8.83 70g M370 P24FRW</v>
          </cell>
          <cell r="D2709">
            <v>0</v>
          </cell>
          <cell r="E2709">
            <v>0</v>
          </cell>
          <cell r="F2709">
            <v>0</v>
          </cell>
        </row>
        <row r="2710">
          <cell r="B2710">
            <v>40041355</v>
          </cell>
          <cell r="C2710" t="str">
            <v>GP Dimension Shade 8.83 M410 70g P24</v>
          </cell>
          <cell r="D2710">
            <v>0</v>
          </cell>
          <cell r="E2710">
            <v>0</v>
          </cell>
          <cell r="F2710">
            <v>0</v>
          </cell>
        </row>
        <row r="2711">
          <cell r="B2711">
            <v>40043670</v>
          </cell>
          <cell r="C2711" t="str">
            <v>GP Dimension Shade 8.83 M410 70g P24 Frw</v>
          </cell>
          <cell r="D2711">
            <v>0</v>
          </cell>
          <cell r="E2711">
            <v>0</v>
          </cell>
          <cell r="F2711">
            <v>0</v>
          </cell>
        </row>
        <row r="2712">
          <cell r="B2712">
            <v>40064322</v>
          </cell>
          <cell r="C2712" t="str">
            <v>GP DIMENSION SHADE 8.83 M440 70G P24</v>
          </cell>
          <cell r="D2712">
            <v>0</v>
          </cell>
          <cell r="E2712">
            <v>0</v>
          </cell>
          <cell r="F2712">
            <v>0</v>
          </cell>
        </row>
        <row r="2713">
          <cell r="B2713">
            <v>40064610</v>
          </cell>
          <cell r="C2713" t="str">
            <v>GP DIMENSION SHADE 8.83 M440 70G P24 FR</v>
          </cell>
          <cell r="D2713">
            <v>0</v>
          </cell>
          <cell r="E2713">
            <v>0</v>
          </cell>
          <cell r="F2713">
            <v>0</v>
          </cell>
        </row>
        <row r="2714">
          <cell r="B2714">
            <v>40038432</v>
          </cell>
          <cell r="C2714" t="str">
            <v>GP NoAmo Shade 9.33 70g M370 P24</v>
          </cell>
          <cell r="D2714">
            <v>0</v>
          </cell>
          <cell r="E2714">
            <v>0</v>
          </cell>
          <cell r="F2714">
            <v>0</v>
          </cell>
        </row>
        <row r="2715">
          <cell r="B2715">
            <v>40039324</v>
          </cell>
          <cell r="C2715" t="str">
            <v>GP NoAmo Shade 9.33 70gM370P24FRW</v>
          </cell>
          <cell r="D2715">
            <v>0</v>
          </cell>
          <cell r="E2715">
            <v>0</v>
          </cell>
          <cell r="F2715">
            <v>0</v>
          </cell>
        </row>
        <row r="2716">
          <cell r="B2716">
            <v>40041365</v>
          </cell>
          <cell r="C2716" t="str">
            <v>GP Dimension Shade 9.33 M410 70g P24</v>
          </cell>
          <cell r="D2716">
            <v>0</v>
          </cell>
          <cell r="E2716">
            <v>0</v>
          </cell>
          <cell r="F2716">
            <v>0</v>
          </cell>
        </row>
        <row r="2717">
          <cell r="B2717">
            <v>40043682</v>
          </cell>
          <cell r="C2717" t="str">
            <v>GP Dimension Shade 9.33 M410 70g P24 Frw</v>
          </cell>
          <cell r="D2717">
            <v>0</v>
          </cell>
          <cell r="E2717">
            <v>0</v>
          </cell>
          <cell r="F2717">
            <v>0</v>
          </cell>
        </row>
        <row r="2718">
          <cell r="B2718">
            <v>40064568</v>
          </cell>
          <cell r="C2718" t="str">
            <v>GP DIMENSION SHADE 9.33 M440 70G P24 FR</v>
          </cell>
          <cell r="D2718">
            <v>0</v>
          </cell>
          <cell r="E2718">
            <v>0</v>
          </cell>
          <cell r="F2718">
            <v>0</v>
          </cell>
        </row>
        <row r="2719">
          <cell r="B2719">
            <v>40032618</v>
          </cell>
          <cell r="C2719" t="str">
            <v>GP No Ammonia  Hair Color6.52 70gM330P24</v>
          </cell>
          <cell r="D2719">
            <v>0</v>
          </cell>
          <cell r="E2719">
            <v>0</v>
          </cell>
          <cell r="F2719">
            <v>0</v>
          </cell>
        </row>
        <row r="2720">
          <cell r="B2720">
            <v>40033006</v>
          </cell>
          <cell r="C2720" t="str">
            <v>GP NoAmmo HairColor 6.52 70gM330P24FR</v>
          </cell>
          <cell r="D2720">
            <v>0</v>
          </cell>
          <cell r="E2720">
            <v>0</v>
          </cell>
          <cell r="F2720">
            <v>0</v>
          </cell>
        </row>
        <row r="2721">
          <cell r="B2721">
            <v>40037494</v>
          </cell>
          <cell r="C2721" t="str">
            <v>GP NoAmo Shade 6.52 70g M370 P24</v>
          </cell>
          <cell r="D2721">
            <v>0</v>
          </cell>
          <cell r="E2721">
            <v>0</v>
          </cell>
          <cell r="F2721">
            <v>0</v>
          </cell>
        </row>
        <row r="2722">
          <cell r="B2722">
            <v>40037566</v>
          </cell>
          <cell r="C2722" t="str">
            <v>GP NoAmo Shade 6.52 70g M370 P24 FRW</v>
          </cell>
          <cell r="D2722">
            <v>0</v>
          </cell>
          <cell r="E2722">
            <v>0</v>
          </cell>
          <cell r="F2722">
            <v>0</v>
          </cell>
        </row>
        <row r="2723">
          <cell r="B2723">
            <v>40043659</v>
          </cell>
          <cell r="C2723" t="str">
            <v>GP Dimension Shade 6.52 M410 70g P24 Frw</v>
          </cell>
          <cell r="D2723">
            <v>0</v>
          </cell>
          <cell r="E2723">
            <v>0</v>
          </cell>
          <cell r="F2723">
            <v>0</v>
          </cell>
        </row>
        <row r="2724">
          <cell r="B2724">
            <v>40064578</v>
          </cell>
          <cell r="C2724" t="str">
            <v>GP DIMENSION SHADE 6.52 M440 70G P24 FR</v>
          </cell>
          <cell r="D2724">
            <v>0</v>
          </cell>
          <cell r="E2724">
            <v>0</v>
          </cell>
          <cell r="F2724">
            <v>0</v>
          </cell>
        </row>
        <row r="2725">
          <cell r="B2725">
            <v>40032619</v>
          </cell>
          <cell r="C2725" t="str">
            <v>GP No Ammonia  Hair Color6.62 70gM330P24</v>
          </cell>
          <cell r="D2725">
            <v>0</v>
          </cell>
          <cell r="E2725">
            <v>0</v>
          </cell>
          <cell r="F2725">
            <v>0</v>
          </cell>
        </row>
        <row r="2726">
          <cell r="B2726">
            <v>40037576</v>
          </cell>
          <cell r="C2726" t="str">
            <v>GP NoAmo Shade 6.62 70g M370 P24 FRW</v>
          </cell>
          <cell r="D2726">
            <v>0</v>
          </cell>
          <cell r="E2726">
            <v>0</v>
          </cell>
          <cell r="F2726">
            <v>0</v>
          </cell>
        </row>
        <row r="2727">
          <cell r="B2727">
            <v>40043666</v>
          </cell>
          <cell r="C2727" t="str">
            <v>GP Dimension Shade 6.62 M410 70g P24 Frw</v>
          </cell>
          <cell r="D2727">
            <v>0</v>
          </cell>
          <cell r="E2727">
            <v>0</v>
          </cell>
          <cell r="F2727">
            <v>0</v>
          </cell>
        </row>
        <row r="2728">
          <cell r="B2728">
            <v>40064319</v>
          </cell>
          <cell r="C2728" t="str">
            <v>GP DIMENSION SHADE 6.62 M440 70G P24</v>
          </cell>
          <cell r="D2728">
            <v>0</v>
          </cell>
          <cell r="E2728">
            <v>0</v>
          </cell>
          <cell r="F2728">
            <v>0</v>
          </cell>
        </row>
        <row r="2729">
          <cell r="B2729">
            <v>40064580</v>
          </cell>
          <cell r="C2729" t="str">
            <v>GP DIMENSION SHADE 6.62 M440 70G P24 FR</v>
          </cell>
          <cell r="D2729">
            <v>0</v>
          </cell>
          <cell r="E2729">
            <v>0</v>
          </cell>
          <cell r="F2729">
            <v>0</v>
          </cell>
        </row>
        <row r="2730">
          <cell r="B2730">
            <v>40020222</v>
          </cell>
          <cell r="C2730" t="str">
            <v>GP NourishShine Argan Oil 120ml M990 P12</v>
          </cell>
          <cell r="D2730">
            <v>0</v>
          </cell>
          <cell r="E2730">
            <v>0</v>
          </cell>
          <cell r="F2730">
            <v>0</v>
          </cell>
        </row>
        <row r="2731">
          <cell r="B2731">
            <v>40023178</v>
          </cell>
          <cell r="C2731" t="str">
            <v>GP NourishShine ArganOil120mlFRE M990P12</v>
          </cell>
          <cell r="D2731">
            <v>0</v>
          </cell>
          <cell r="E2731">
            <v>0</v>
          </cell>
          <cell r="F2731">
            <v>0</v>
          </cell>
        </row>
        <row r="2732">
          <cell r="B2732">
            <v>40036188</v>
          </cell>
          <cell r="C2732" t="str">
            <v>GP Argan Oil 100ml MRP1100 P12</v>
          </cell>
          <cell r="D2732">
            <v>0</v>
          </cell>
          <cell r="E2732">
            <v>0</v>
          </cell>
          <cell r="F2732">
            <v>0</v>
          </cell>
        </row>
        <row r="2733">
          <cell r="B2733">
            <v>40037629</v>
          </cell>
          <cell r="C2733" t="str">
            <v>GPArganOil100mlMRP1100 P12 FRW</v>
          </cell>
          <cell r="D2733">
            <v>0</v>
          </cell>
          <cell r="E2733">
            <v>0</v>
          </cell>
          <cell r="F2733">
            <v>0</v>
          </cell>
        </row>
        <row r="2734">
          <cell r="B2734">
            <v>40050100</v>
          </cell>
          <cell r="C2734" t="str">
            <v>GP Argan Oil 100ml MRP1200 P12</v>
          </cell>
          <cell r="D2734">
            <v>0</v>
          </cell>
          <cell r="E2734">
            <v>0</v>
          </cell>
          <cell r="F2734">
            <v>0</v>
          </cell>
        </row>
        <row r="2735">
          <cell r="B2735">
            <v>40050117</v>
          </cell>
          <cell r="C2735" t="str">
            <v>GP Argan Oil 100ml MRP1200 P12FRW</v>
          </cell>
          <cell r="D2735">
            <v>0</v>
          </cell>
          <cell r="E2735">
            <v>0</v>
          </cell>
          <cell r="F2735">
            <v>0</v>
          </cell>
        </row>
        <row r="2736">
          <cell r="B2736">
            <v>40057280</v>
          </cell>
          <cell r="C2736" t="str">
            <v>GP ARGAN OIL  M1200 100ML P12 EC</v>
          </cell>
          <cell r="D2736">
            <v>0</v>
          </cell>
          <cell r="E2736">
            <v>0</v>
          </cell>
          <cell r="F2736">
            <v>0</v>
          </cell>
        </row>
        <row r="2737">
          <cell r="B2737">
            <v>40028544</v>
          </cell>
          <cell r="C2737" t="str">
            <v>GP Acai Oil 120 ml MRP 1050 PS 12</v>
          </cell>
          <cell r="D2737">
            <v>0</v>
          </cell>
          <cell r="E2737">
            <v>0</v>
          </cell>
          <cell r="F2737">
            <v>0</v>
          </cell>
        </row>
        <row r="2738">
          <cell r="B2738">
            <v>40028834</v>
          </cell>
          <cell r="C2738" t="str">
            <v>GP Acai Oil FRW 120 ml MRP 1050 PS 12</v>
          </cell>
          <cell r="D2738">
            <v>0</v>
          </cell>
          <cell r="E2738">
            <v>0</v>
          </cell>
          <cell r="F2738">
            <v>0</v>
          </cell>
        </row>
        <row r="2739">
          <cell r="B2739">
            <v>40036205</v>
          </cell>
          <cell r="C2739" t="str">
            <v>GP Acai Oil 100ml MRP1100 PS12</v>
          </cell>
          <cell r="D2739">
            <v>0</v>
          </cell>
          <cell r="E2739">
            <v>0</v>
          </cell>
          <cell r="F2739">
            <v>0</v>
          </cell>
        </row>
        <row r="2740">
          <cell r="B2740">
            <v>40050092</v>
          </cell>
          <cell r="C2740" t="str">
            <v>GP Acai Oil 100ml MRP1200 PS12FRW</v>
          </cell>
          <cell r="D2740">
            <v>0</v>
          </cell>
          <cell r="E2740">
            <v>0</v>
          </cell>
          <cell r="F2740">
            <v>0</v>
          </cell>
        </row>
        <row r="2741">
          <cell r="B2741">
            <v>40050110</v>
          </cell>
          <cell r="C2741" t="str">
            <v>GP Acai Oil 100ml MRP1200 PS12</v>
          </cell>
          <cell r="D2741">
            <v>0</v>
          </cell>
          <cell r="E2741">
            <v>0</v>
          </cell>
          <cell r="F2741">
            <v>0</v>
          </cell>
        </row>
        <row r="2742">
          <cell r="B2742">
            <v>40057279</v>
          </cell>
          <cell r="C2742" t="str">
            <v>GP ACAI OIL  M1200 100ML P12 EC</v>
          </cell>
          <cell r="D2742">
            <v>0</v>
          </cell>
          <cell r="E2742">
            <v>0</v>
          </cell>
          <cell r="F2742">
            <v>0</v>
          </cell>
        </row>
        <row r="2743">
          <cell r="B2743">
            <v>40036275</v>
          </cell>
          <cell r="C2743" t="str">
            <v>GP Macadamia Oil 100 ml MRP 1100 PS 12</v>
          </cell>
          <cell r="D2743">
            <v>0</v>
          </cell>
          <cell r="E2743">
            <v>0</v>
          </cell>
          <cell r="F2743">
            <v>0</v>
          </cell>
        </row>
        <row r="2744">
          <cell r="B2744">
            <v>40037591</v>
          </cell>
          <cell r="C2744" t="str">
            <v>GP Macadamia Oil 100 mlMRP1100PS12FRW</v>
          </cell>
          <cell r="D2744">
            <v>0</v>
          </cell>
          <cell r="E2744">
            <v>0</v>
          </cell>
          <cell r="F2744">
            <v>0</v>
          </cell>
        </row>
        <row r="2745">
          <cell r="B2745">
            <v>40043395</v>
          </cell>
          <cell r="C2745" t="str">
            <v>GP Macadmia Oil 100 ml MRP 1100 PS 12 EC</v>
          </cell>
          <cell r="D2745">
            <v>0</v>
          </cell>
          <cell r="E2745">
            <v>0</v>
          </cell>
          <cell r="F2745">
            <v>0</v>
          </cell>
        </row>
        <row r="2746">
          <cell r="B2746">
            <v>40037115</v>
          </cell>
          <cell r="C2746" t="str">
            <v>GP Hair Color Pearl Blonde 70gM370P24FRW</v>
          </cell>
          <cell r="D2746">
            <v>0</v>
          </cell>
          <cell r="E2746">
            <v>0</v>
          </cell>
          <cell r="F2746">
            <v>0</v>
          </cell>
        </row>
        <row r="2747">
          <cell r="B2747">
            <v>40037507</v>
          </cell>
          <cell r="C2747" t="str">
            <v>GP Hair Color Pearl Blonde 70gM370P24</v>
          </cell>
          <cell r="D2747">
            <v>0</v>
          </cell>
          <cell r="E2747">
            <v>0</v>
          </cell>
          <cell r="F2747">
            <v>0</v>
          </cell>
        </row>
        <row r="2748">
          <cell r="B2748">
            <v>40041358</v>
          </cell>
          <cell r="C2748" t="str">
            <v>GP ColourPlayShade 12.01 70g M370P24</v>
          </cell>
          <cell r="D2748">
            <v>0</v>
          </cell>
          <cell r="E2748">
            <v>0</v>
          </cell>
          <cell r="F2748">
            <v>0</v>
          </cell>
        </row>
        <row r="2749">
          <cell r="B2749">
            <v>40043635</v>
          </cell>
          <cell r="C2749" t="str">
            <v>GP COLOURPLAYSHADE 12.01 70G M370P24 FRW</v>
          </cell>
          <cell r="D2749">
            <v>0</v>
          </cell>
          <cell r="E2749">
            <v>0</v>
          </cell>
          <cell r="F2749">
            <v>0</v>
          </cell>
        </row>
        <row r="2750">
          <cell r="B2750">
            <v>40027101</v>
          </cell>
          <cell r="C2750" t="str">
            <v>GP Pre Lightener500gm MRP 1150 P9</v>
          </cell>
          <cell r="D2750">
            <v>0</v>
          </cell>
          <cell r="E2750">
            <v>0</v>
          </cell>
          <cell r="F2750">
            <v>0</v>
          </cell>
        </row>
        <row r="2751">
          <cell r="B2751">
            <v>40036764</v>
          </cell>
          <cell r="C2751" t="str">
            <v>*GP AvocdoNourishProbioSham1LtrM1000 P9</v>
          </cell>
          <cell r="D2751">
            <v>0</v>
          </cell>
          <cell r="E2751">
            <v>0</v>
          </cell>
          <cell r="F2751">
            <v>0</v>
          </cell>
        </row>
        <row r="2752">
          <cell r="B2752">
            <v>40037584</v>
          </cell>
          <cell r="C2752" t="str">
            <v>*GPAvocadoNourishBWShampoo1LtrM1000P9</v>
          </cell>
          <cell r="D2752">
            <v>0</v>
          </cell>
          <cell r="E2752">
            <v>0</v>
          </cell>
          <cell r="F2752">
            <v>0</v>
          </cell>
        </row>
        <row r="2753">
          <cell r="B2753">
            <v>40037627</v>
          </cell>
          <cell r="C2753" t="str">
            <v>*GPAvocdoNourishProbioSham1LtrM1000P9FRW</v>
          </cell>
          <cell r="D2753">
            <v>0</v>
          </cell>
          <cell r="E2753">
            <v>0</v>
          </cell>
          <cell r="F2753">
            <v>0</v>
          </cell>
        </row>
        <row r="2754">
          <cell r="B2754">
            <v>40037955</v>
          </cell>
          <cell r="C2754" t="str">
            <v>*GPAvocdoNourishBWShampo1LtrFRWM1000P9</v>
          </cell>
          <cell r="D2754">
            <v>0</v>
          </cell>
          <cell r="E2754">
            <v>0</v>
          </cell>
          <cell r="F2754">
            <v>0</v>
          </cell>
        </row>
        <row r="2755">
          <cell r="B2755">
            <v>40020168</v>
          </cell>
          <cell r="C2755" t="str">
            <v>*GPAvocadoNourishShampoo250mlM350P24</v>
          </cell>
          <cell r="D2755">
            <v>0</v>
          </cell>
          <cell r="E2755">
            <v>0</v>
          </cell>
          <cell r="F2755">
            <v>0</v>
          </cell>
        </row>
        <row r="2756">
          <cell r="B2756">
            <v>40031933</v>
          </cell>
          <cell r="C2756" t="str">
            <v>*GP AvocdoNorishShampo 250ml M400 P24</v>
          </cell>
          <cell r="D2756">
            <v>0</v>
          </cell>
          <cell r="E2756">
            <v>0</v>
          </cell>
          <cell r="F2756">
            <v>0</v>
          </cell>
        </row>
        <row r="2757">
          <cell r="B2757">
            <v>40032872</v>
          </cell>
          <cell r="C2757" t="str">
            <v>*GPAvocdoNorishShampo250mlM400P24FRW</v>
          </cell>
          <cell r="D2757">
            <v>0</v>
          </cell>
          <cell r="E2757">
            <v>0</v>
          </cell>
          <cell r="F2757">
            <v>0</v>
          </cell>
        </row>
        <row r="2758">
          <cell r="B2758">
            <v>40037616</v>
          </cell>
          <cell r="C2758" t="str">
            <v>*GPProbioAvocdoNorishSham250mlM500P24FRW</v>
          </cell>
          <cell r="D2758">
            <v>0</v>
          </cell>
          <cell r="E2758">
            <v>0</v>
          </cell>
          <cell r="F2758">
            <v>0</v>
          </cell>
        </row>
        <row r="2759">
          <cell r="B2759">
            <v>40031934</v>
          </cell>
          <cell r="C2759" t="str">
            <v>*GP Honey Moist BWShampoo 1Ltr M900 P9</v>
          </cell>
          <cell r="D2759">
            <v>0</v>
          </cell>
          <cell r="E2759">
            <v>0</v>
          </cell>
          <cell r="F2759">
            <v>0</v>
          </cell>
        </row>
        <row r="2760">
          <cell r="B2760">
            <v>40032873</v>
          </cell>
          <cell r="C2760" t="str">
            <v>*GPHoneyMoistBWShampo1LtrM900P9FRW</v>
          </cell>
          <cell r="D2760">
            <v>0</v>
          </cell>
          <cell r="E2760">
            <v>0</v>
          </cell>
          <cell r="F2760">
            <v>0</v>
          </cell>
        </row>
        <row r="2761">
          <cell r="B2761">
            <v>40036746</v>
          </cell>
          <cell r="C2761" t="str">
            <v>*GPProbioHoneyMoistShamp1000mlM1000 P9</v>
          </cell>
          <cell r="D2761">
            <v>0</v>
          </cell>
          <cell r="E2761">
            <v>0</v>
          </cell>
          <cell r="F2761">
            <v>0</v>
          </cell>
        </row>
        <row r="2762">
          <cell r="B2762">
            <v>40037589</v>
          </cell>
          <cell r="C2762" t="str">
            <v>*GP Honey Moist BWShampoo 1Ltr M1000 P9</v>
          </cell>
          <cell r="D2762">
            <v>0</v>
          </cell>
          <cell r="E2762">
            <v>0</v>
          </cell>
          <cell r="F2762">
            <v>0</v>
          </cell>
        </row>
        <row r="2763">
          <cell r="B2763">
            <v>40037625</v>
          </cell>
          <cell r="C2763" t="str">
            <v>*GPProbioHoneyMoistShamp1000mlM1000P9FRW</v>
          </cell>
          <cell r="D2763">
            <v>0</v>
          </cell>
          <cell r="E2763">
            <v>0</v>
          </cell>
          <cell r="F2763">
            <v>0</v>
          </cell>
        </row>
        <row r="2764">
          <cell r="B2764">
            <v>40050071</v>
          </cell>
          <cell r="C2764" t="str">
            <v>*GPProbioHoneyMoistShamp1000mlM1200 P9</v>
          </cell>
          <cell r="D2764">
            <v>0</v>
          </cell>
          <cell r="E2764">
            <v>0</v>
          </cell>
          <cell r="F2764">
            <v>0</v>
          </cell>
        </row>
        <row r="2765">
          <cell r="B2765">
            <v>40050116</v>
          </cell>
          <cell r="C2765" t="str">
            <v>*GPProbioHoneyMoistShamp1000mlM1200P9FRW</v>
          </cell>
          <cell r="D2765">
            <v>0</v>
          </cell>
          <cell r="E2765">
            <v>0</v>
          </cell>
          <cell r="F2765">
            <v>0</v>
          </cell>
        </row>
        <row r="2766">
          <cell r="B2766">
            <v>40060407</v>
          </cell>
          <cell r="C2766" t="str">
            <v>GPPROBIOHONEYMOISTSHAMP 1000ML M1050 P9</v>
          </cell>
          <cell r="D2766">
            <v>0</v>
          </cell>
          <cell r="E2766">
            <v>0</v>
          </cell>
          <cell r="F2766">
            <v>0</v>
          </cell>
        </row>
        <row r="2767">
          <cell r="B2767">
            <v>40060415</v>
          </cell>
          <cell r="C2767" t="str">
            <v>GPPROBIOHONEYMOISTSHAM1000ML M1050 P9FRW</v>
          </cell>
          <cell r="D2767">
            <v>0</v>
          </cell>
          <cell r="E2767">
            <v>0</v>
          </cell>
          <cell r="F2767">
            <v>0</v>
          </cell>
        </row>
        <row r="2768">
          <cell r="B2768">
            <v>40064309</v>
          </cell>
          <cell r="C2768" t="str">
            <v>GP PROBIOHONEYMOISTSHAMP 1000ML M1100 P9</v>
          </cell>
          <cell r="D2768">
            <v>0</v>
          </cell>
          <cell r="E2768">
            <v>0</v>
          </cell>
          <cell r="F2768">
            <v>0</v>
          </cell>
        </row>
        <row r="2769">
          <cell r="B2769">
            <v>40064611</v>
          </cell>
          <cell r="C2769" t="str">
            <v>GP PROBIO HONEYMOISTSHAMP1000MLM1100P9FR</v>
          </cell>
          <cell r="D2769">
            <v>0</v>
          </cell>
          <cell r="E2769">
            <v>0</v>
          </cell>
          <cell r="F2769">
            <v>0</v>
          </cell>
        </row>
        <row r="2770">
          <cell r="B2770">
            <v>40020180</v>
          </cell>
          <cell r="C2770" t="str">
            <v>*GP HoneyMoist Shampoo 250ml M350 P24</v>
          </cell>
          <cell r="D2770">
            <v>0</v>
          </cell>
          <cell r="E2770">
            <v>0</v>
          </cell>
          <cell r="F2770">
            <v>0</v>
          </cell>
        </row>
        <row r="2771">
          <cell r="B2771">
            <v>40024798</v>
          </cell>
          <cell r="C2771" t="str">
            <v>*GP HoneyMoistShmpo250mlFRW 4+1FRM350P24</v>
          </cell>
          <cell r="D2771">
            <v>0</v>
          </cell>
          <cell r="E2771">
            <v>0</v>
          </cell>
          <cell r="F2771">
            <v>0</v>
          </cell>
        </row>
        <row r="2772">
          <cell r="B2772">
            <v>40032900</v>
          </cell>
          <cell r="C2772" t="str">
            <v>*GP HoneyMoistShampoo 250ml M400 P24 FRW</v>
          </cell>
          <cell r="D2772">
            <v>0</v>
          </cell>
          <cell r="E2772">
            <v>0</v>
          </cell>
          <cell r="F2772">
            <v>0</v>
          </cell>
        </row>
        <row r="2773">
          <cell r="B2773">
            <v>40036742</v>
          </cell>
          <cell r="C2773" t="str">
            <v>*GPProbioHoneyMoistShamp250ml M500 P24</v>
          </cell>
          <cell r="D2773">
            <v>0</v>
          </cell>
          <cell r="E2773">
            <v>0</v>
          </cell>
          <cell r="F2773">
            <v>0</v>
          </cell>
        </row>
        <row r="2774">
          <cell r="B2774">
            <v>40037271</v>
          </cell>
          <cell r="C2774" t="str">
            <v>*GP HoneyMoistShampoo 250ml M500 P24 FRW</v>
          </cell>
          <cell r="D2774">
            <v>0</v>
          </cell>
          <cell r="E2774">
            <v>0</v>
          </cell>
          <cell r="F2774">
            <v>0</v>
          </cell>
        </row>
        <row r="2775">
          <cell r="B2775">
            <v>40037273</v>
          </cell>
          <cell r="C2775" t="str">
            <v>*GP HoneyMoistShamp250ml M500 P24</v>
          </cell>
          <cell r="D2775">
            <v>0</v>
          </cell>
          <cell r="E2775">
            <v>0</v>
          </cell>
          <cell r="F2775">
            <v>0</v>
          </cell>
        </row>
        <row r="2776">
          <cell r="B2776">
            <v>40037603</v>
          </cell>
          <cell r="C2776" t="str">
            <v>*GPProbioHoneyMoistShamp250mlM500P24FRW</v>
          </cell>
          <cell r="D2776">
            <v>0</v>
          </cell>
          <cell r="E2776">
            <v>0</v>
          </cell>
          <cell r="F2776">
            <v>0</v>
          </cell>
        </row>
        <row r="2777">
          <cell r="B2777">
            <v>40043374</v>
          </cell>
          <cell r="C2777" t="str">
            <v>*GPProbioHoneyMoistShamp250mlM500 P24 EC</v>
          </cell>
          <cell r="D2777">
            <v>0</v>
          </cell>
          <cell r="E2777">
            <v>0</v>
          </cell>
          <cell r="F2777">
            <v>0</v>
          </cell>
        </row>
        <row r="2778">
          <cell r="B2778">
            <v>40060403</v>
          </cell>
          <cell r="C2778" t="str">
            <v>GPPROBIOHONEYMOISTSHAMP250ML M450 P24</v>
          </cell>
          <cell r="D2778">
            <v>0</v>
          </cell>
          <cell r="E2778">
            <v>0</v>
          </cell>
          <cell r="F2778">
            <v>0</v>
          </cell>
        </row>
        <row r="2779">
          <cell r="B2779">
            <v>40060420</v>
          </cell>
          <cell r="C2779" t="str">
            <v>GPPROBIOHONEYMOISTSHAMP250ML M450 P24FRW</v>
          </cell>
          <cell r="D2779">
            <v>0</v>
          </cell>
          <cell r="E2779">
            <v>0</v>
          </cell>
          <cell r="F2779">
            <v>0</v>
          </cell>
        </row>
        <row r="2780">
          <cell r="B2780">
            <v>40031948</v>
          </cell>
          <cell r="C2780" t="str">
            <v>*GPKeratinRichHBWShampoo1LtrM900P9</v>
          </cell>
          <cell r="D2780">
            <v>0</v>
          </cell>
          <cell r="E2780">
            <v>0</v>
          </cell>
          <cell r="F2780">
            <v>0</v>
          </cell>
        </row>
        <row r="2781">
          <cell r="B2781">
            <v>40032882</v>
          </cell>
          <cell r="C2781" t="str">
            <v>*GPKeratinRichBWShampo1LtrM900P9FRW</v>
          </cell>
          <cell r="D2781">
            <v>0</v>
          </cell>
          <cell r="E2781">
            <v>0</v>
          </cell>
          <cell r="F2781">
            <v>0</v>
          </cell>
        </row>
        <row r="2782">
          <cell r="B2782">
            <v>40036736</v>
          </cell>
          <cell r="C2782" t="str">
            <v>*GPProbioKeratinRevivSham1000mlM1000 P9</v>
          </cell>
          <cell r="D2782">
            <v>0</v>
          </cell>
          <cell r="E2782">
            <v>0</v>
          </cell>
          <cell r="F2782">
            <v>0</v>
          </cell>
        </row>
        <row r="2783">
          <cell r="B2783">
            <v>40037604</v>
          </cell>
          <cell r="C2783" t="str">
            <v>*GPProbioKeratinRevivSham1000mlM1000P9fr</v>
          </cell>
          <cell r="D2783">
            <v>0</v>
          </cell>
          <cell r="E2783">
            <v>0</v>
          </cell>
          <cell r="F2783">
            <v>0</v>
          </cell>
        </row>
        <row r="2784">
          <cell r="B2784">
            <v>40050080</v>
          </cell>
          <cell r="C2784" t="str">
            <v>*GPProbioKeratinRevivSham1000mlM1200 P9</v>
          </cell>
          <cell r="D2784">
            <v>0</v>
          </cell>
          <cell r="E2784">
            <v>0</v>
          </cell>
          <cell r="F2784">
            <v>0</v>
          </cell>
        </row>
        <row r="2785">
          <cell r="B2785">
            <v>40050114</v>
          </cell>
          <cell r="C2785" t="str">
            <v>*GPProbioKeratinRevivSham1000mlM1200P9fr</v>
          </cell>
          <cell r="D2785">
            <v>0</v>
          </cell>
          <cell r="E2785">
            <v>0</v>
          </cell>
          <cell r="F2785">
            <v>0</v>
          </cell>
        </row>
        <row r="2786">
          <cell r="B2786">
            <v>40060406</v>
          </cell>
          <cell r="C2786" t="str">
            <v>GPPROBIOKERATREVIVSHAM1000ML M1050 P9</v>
          </cell>
          <cell r="D2786">
            <v>0</v>
          </cell>
          <cell r="E2786">
            <v>0</v>
          </cell>
          <cell r="F2786">
            <v>0</v>
          </cell>
        </row>
        <row r="2787">
          <cell r="B2787">
            <v>40060416</v>
          </cell>
          <cell r="C2787" t="str">
            <v>GPPROBIOKERATREVIVSHAM1000ML M1050 P9FRW</v>
          </cell>
          <cell r="D2787">
            <v>0</v>
          </cell>
          <cell r="E2787">
            <v>0</v>
          </cell>
          <cell r="F2787">
            <v>0</v>
          </cell>
        </row>
        <row r="2788">
          <cell r="B2788">
            <v>40064318</v>
          </cell>
          <cell r="C2788" t="str">
            <v>GP PROBIO KERATREVIVSHAMP1000ML M1100P9</v>
          </cell>
          <cell r="D2788">
            <v>0</v>
          </cell>
          <cell r="E2788">
            <v>0</v>
          </cell>
          <cell r="F2788">
            <v>0</v>
          </cell>
        </row>
        <row r="2789">
          <cell r="B2789">
            <v>40064576</v>
          </cell>
          <cell r="C2789" t="str">
            <v>GP PROBIOKERATINREVIVSHAM1000MLM1100P9FR</v>
          </cell>
          <cell r="D2789">
            <v>0</v>
          </cell>
          <cell r="E2789">
            <v>0</v>
          </cell>
          <cell r="F2789">
            <v>0</v>
          </cell>
        </row>
        <row r="2790">
          <cell r="B2790">
            <v>40024780</v>
          </cell>
          <cell r="C2790" t="str">
            <v>*GPKeratinRichShampo250mlFRW4+1M350P24</v>
          </cell>
          <cell r="D2790">
            <v>0</v>
          </cell>
          <cell r="E2790">
            <v>0</v>
          </cell>
          <cell r="F2790">
            <v>0</v>
          </cell>
        </row>
        <row r="2791">
          <cell r="B2791">
            <v>40031936</v>
          </cell>
          <cell r="C2791" t="str">
            <v>*GP KeratinRich Shampoo 250ml M400 P24</v>
          </cell>
          <cell r="D2791">
            <v>0</v>
          </cell>
          <cell r="E2791">
            <v>0</v>
          </cell>
          <cell r="F2791">
            <v>0</v>
          </cell>
        </row>
        <row r="2792">
          <cell r="B2792">
            <v>40032887</v>
          </cell>
          <cell r="C2792" t="str">
            <v>*GPKeratinRichShampoo250mlM400P24FRW</v>
          </cell>
          <cell r="D2792">
            <v>0</v>
          </cell>
          <cell r="E2792">
            <v>0</v>
          </cell>
          <cell r="F2792">
            <v>0</v>
          </cell>
        </row>
        <row r="2793">
          <cell r="B2793">
            <v>40036752</v>
          </cell>
          <cell r="C2793" t="str">
            <v>*GPProbioKeratnReviveSham250mlM500P24</v>
          </cell>
          <cell r="D2793">
            <v>0</v>
          </cell>
          <cell r="E2793">
            <v>0</v>
          </cell>
          <cell r="F2793">
            <v>0</v>
          </cell>
        </row>
        <row r="2794">
          <cell r="B2794">
            <v>40037594</v>
          </cell>
          <cell r="C2794" t="str">
            <v>*GPProbioKeratnReviveSham250mlM500P24FRW</v>
          </cell>
          <cell r="D2794">
            <v>0</v>
          </cell>
          <cell r="E2794">
            <v>0</v>
          </cell>
          <cell r="F2794">
            <v>0</v>
          </cell>
        </row>
        <row r="2795">
          <cell r="B2795">
            <v>40043282</v>
          </cell>
          <cell r="C2795" t="str">
            <v>*GPProbioKeratnReviveSham250mlM500P24 EC</v>
          </cell>
          <cell r="D2795">
            <v>0</v>
          </cell>
          <cell r="E2795">
            <v>0</v>
          </cell>
          <cell r="F2795">
            <v>0</v>
          </cell>
        </row>
        <row r="2796">
          <cell r="B2796">
            <v>40060401</v>
          </cell>
          <cell r="C2796" t="str">
            <v>GPPROBIOKERATNREVIVESHAM 250ML M450 P24</v>
          </cell>
          <cell r="D2796">
            <v>0</v>
          </cell>
          <cell r="E2796">
            <v>0</v>
          </cell>
          <cell r="F2796">
            <v>0</v>
          </cell>
        </row>
        <row r="2797">
          <cell r="B2797">
            <v>40060421</v>
          </cell>
          <cell r="C2797" t="str">
            <v>GPPROBIOKERATNREVISHAM250ML M450 P24 FRW</v>
          </cell>
          <cell r="D2797">
            <v>0</v>
          </cell>
          <cell r="E2797">
            <v>0</v>
          </cell>
          <cell r="F2797">
            <v>0</v>
          </cell>
        </row>
        <row r="2798">
          <cell r="B2798">
            <v>40028600</v>
          </cell>
          <cell r="C2798" t="str">
            <v>*GP Clarfying Shamp 1000 ml M1250 P9</v>
          </cell>
          <cell r="D2798">
            <v>0</v>
          </cell>
          <cell r="E2798">
            <v>0</v>
          </cell>
          <cell r="F2798">
            <v>0</v>
          </cell>
        </row>
        <row r="2799">
          <cell r="B2799">
            <v>40028851</v>
          </cell>
          <cell r="C2799" t="str">
            <v>*GP ClarfinShampFRW1000mlMRP1250PS9</v>
          </cell>
          <cell r="D2799">
            <v>0</v>
          </cell>
          <cell r="E2799">
            <v>0</v>
          </cell>
          <cell r="F2799">
            <v>0</v>
          </cell>
        </row>
        <row r="2800">
          <cell r="B2800">
            <v>40038306</v>
          </cell>
          <cell r="C2800" t="str">
            <v>*GP Clarifying Shampo 1000ml MRP1250 PS9</v>
          </cell>
          <cell r="D2800">
            <v>0</v>
          </cell>
          <cell r="E2800">
            <v>0</v>
          </cell>
          <cell r="F2800">
            <v>0</v>
          </cell>
        </row>
        <row r="2801">
          <cell r="B2801">
            <v>40050035</v>
          </cell>
          <cell r="C2801" t="str">
            <v>*GP ClarifyingShmp1000mlMRP1400PS9FRW</v>
          </cell>
          <cell r="D2801">
            <v>0</v>
          </cell>
          <cell r="E2801">
            <v>0</v>
          </cell>
          <cell r="F2801">
            <v>0</v>
          </cell>
        </row>
        <row r="2802">
          <cell r="B2802">
            <v>40050081</v>
          </cell>
          <cell r="C2802" t="str">
            <v>*GP Clarifying Shampo 1000ml MRP1400 PS9</v>
          </cell>
          <cell r="D2802">
            <v>0</v>
          </cell>
          <cell r="E2802">
            <v>0</v>
          </cell>
          <cell r="F2802">
            <v>0</v>
          </cell>
        </row>
        <row r="2803">
          <cell r="B2803">
            <v>40060400</v>
          </cell>
          <cell r="C2803" t="str">
            <v>GP CLARIFYING SHAMPO 1000ML M1250 P9</v>
          </cell>
          <cell r="D2803">
            <v>0</v>
          </cell>
          <cell r="E2803">
            <v>0</v>
          </cell>
          <cell r="F2803">
            <v>0</v>
          </cell>
        </row>
        <row r="2804">
          <cell r="B2804">
            <v>40060435</v>
          </cell>
          <cell r="C2804" t="str">
            <v>GP CLARIFYING SHMPOO 1000ML M1250 P9 FRW</v>
          </cell>
          <cell r="D2804">
            <v>0</v>
          </cell>
          <cell r="E2804">
            <v>0</v>
          </cell>
          <cell r="F2804">
            <v>0</v>
          </cell>
        </row>
        <row r="2805">
          <cell r="B2805">
            <v>40064308</v>
          </cell>
          <cell r="C2805" t="str">
            <v>GP CLARIFYING SHAMPO 1000ML M1350 P9</v>
          </cell>
          <cell r="D2805">
            <v>0</v>
          </cell>
          <cell r="E2805">
            <v>0</v>
          </cell>
          <cell r="F2805">
            <v>0</v>
          </cell>
        </row>
        <row r="2806">
          <cell r="B2806">
            <v>40064573</v>
          </cell>
          <cell r="C2806" t="str">
            <v>GP CLARFYING SHAMP 1000ML MRP1350 PS9 FR</v>
          </cell>
          <cell r="D2806">
            <v>0</v>
          </cell>
          <cell r="E2806">
            <v>0</v>
          </cell>
          <cell r="F2806">
            <v>0</v>
          </cell>
        </row>
        <row r="2807">
          <cell r="B2807">
            <v>40028587</v>
          </cell>
          <cell r="C2807" t="str">
            <v>*GP Repair Shampoo 1000 ml M1900 P9</v>
          </cell>
          <cell r="D2807">
            <v>0</v>
          </cell>
          <cell r="E2807">
            <v>0</v>
          </cell>
          <cell r="F2807">
            <v>0</v>
          </cell>
        </row>
        <row r="2808">
          <cell r="B2808">
            <v>40028831</v>
          </cell>
          <cell r="C2808" t="str">
            <v>*GPKeratiRepairShampo1000mlFWMRP1900P9</v>
          </cell>
          <cell r="D2808">
            <v>0</v>
          </cell>
          <cell r="E2808">
            <v>0</v>
          </cell>
          <cell r="F2808">
            <v>0</v>
          </cell>
        </row>
        <row r="2809">
          <cell r="B2809">
            <v>40036175</v>
          </cell>
          <cell r="C2809" t="str">
            <v>*GPKeratiRepairShampo1000mlMRP1900PS9</v>
          </cell>
          <cell r="D2809">
            <v>0</v>
          </cell>
          <cell r="E2809">
            <v>0</v>
          </cell>
          <cell r="F2809">
            <v>0</v>
          </cell>
        </row>
        <row r="2810">
          <cell r="B2810">
            <v>40050106</v>
          </cell>
          <cell r="C2810" t="str">
            <v>*GPKeraRpairShampo 1000ml MRP2100 PS9</v>
          </cell>
          <cell r="D2810">
            <v>0</v>
          </cell>
          <cell r="E2810">
            <v>0</v>
          </cell>
          <cell r="F2810">
            <v>0</v>
          </cell>
        </row>
        <row r="2811">
          <cell r="B2811">
            <v>40050115</v>
          </cell>
          <cell r="C2811" t="str">
            <v>*GPKeraRpairShampo1000mlMRP2100PS9FRW</v>
          </cell>
          <cell r="D2811">
            <v>0</v>
          </cell>
          <cell r="E2811">
            <v>0</v>
          </cell>
          <cell r="F2811">
            <v>0</v>
          </cell>
        </row>
        <row r="2812">
          <cell r="B2812">
            <v>40060399</v>
          </cell>
          <cell r="C2812" t="str">
            <v>GP KERAREPAIRSHAMPOO 1000ML M1850 P9</v>
          </cell>
          <cell r="D2812">
            <v>0</v>
          </cell>
          <cell r="E2812">
            <v>0</v>
          </cell>
          <cell r="F2812">
            <v>0</v>
          </cell>
        </row>
        <row r="2813">
          <cell r="B2813">
            <v>40060433</v>
          </cell>
          <cell r="C2813" t="str">
            <v>GP KERAREPAIRSHAMPOO 1000ML M1850 P9 FRW</v>
          </cell>
          <cell r="D2813">
            <v>0</v>
          </cell>
          <cell r="E2813">
            <v>0</v>
          </cell>
          <cell r="F2813">
            <v>0</v>
          </cell>
        </row>
        <row r="2814">
          <cell r="B2814">
            <v>40064305</v>
          </cell>
          <cell r="C2814" t="str">
            <v>GP KERACARE REPAIRSHAMPO 1000ML M2000 P9</v>
          </cell>
          <cell r="D2814">
            <v>0</v>
          </cell>
          <cell r="E2814">
            <v>0</v>
          </cell>
          <cell r="F2814">
            <v>0</v>
          </cell>
        </row>
        <row r="2815">
          <cell r="B2815">
            <v>40064614</v>
          </cell>
          <cell r="C2815" t="str">
            <v>GP KERAREPAIRSHAMPOO 1000ML M2000 P9 FR</v>
          </cell>
          <cell r="D2815">
            <v>0</v>
          </cell>
          <cell r="E2815">
            <v>0</v>
          </cell>
          <cell r="F2815">
            <v>0</v>
          </cell>
        </row>
        <row r="2816">
          <cell r="B2816">
            <v>40028581</v>
          </cell>
          <cell r="C2816" t="str">
            <v>*GP Repair Shampoo 225 ml MRP 990 PS 24</v>
          </cell>
          <cell r="D2816">
            <v>0</v>
          </cell>
          <cell r="E2816">
            <v>0</v>
          </cell>
          <cell r="F2816">
            <v>0</v>
          </cell>
        </row>
        <row r="2817">
          <cell r="B2817">
            <v>40028838</v>
          </cell>
          <cell r="C2817" t="str">
            <v>*GPRepairShampooFRW225mlMRP990PS24</v>
          </cell>
          <cell r="D2817">
            <v>0</v>
          </cell>
          <cell r="E2817">
            <v>0</v>
          </cell>
          <cell r="F2817">
            <v>0</v>
          </cell>
        </row>
        <row r="2818">
          <cell r="B2818">
            <v>40037626</v>
          </cell>
          <cell r="C2818" t="str">
            <v>*GPKeratinRepairShmpo250mlMRP1100PS24FRW</v>
          </cell>
          <cell r="D2818">
            <v>0</v>
          </cell>
          <cell r="E2818">
            <v>0</v>
          </cell>
          <cell r="F2818">
            <v>0</v>
          </cell>
        </row>
        <row r="2819">
          <cell r="B2819">
            <v>40043283</v>
          </cell>
          <cell r="C2819" t="str">
            <v>*GPKeratinRprShmpo250mlMRP1100PS24EC</v>
          </cell>
          <cell r="D2819">
            <v>0</v>
          </cell>
          <cell r="E2819">
            <v>0</v>
          </cell>
          <cell r="F2819">
            <v>0</v>
          </cell>
        </row>
        <row r="2820">
          <cell r="B2820">
            <v>40050017</v>
          </cell>
          <cell r="C2820" t="str">
            <v>*GPKeratRepairShmp250mlMRP1200PS24FRW</v>
          </cell>
          <cell r="D2820">
            <v>0</v>
          </cell>
          <cell r="E2820">
            <v>0</v>
          </cell>
          <cell r="F2820">
            <v>0</v>
          </cell>
        </row>
        <row r="2821">
          <cell r="B2821">
            <v>40050102</v>
          </cell>
          <cell r="C2821" t="str">
            <v>*GPKeratRepairShmpo250mlMRP1200PS24</v>
          </cell>
          <cell r="D2821">
            <v>0</v>
          </cell>
          <cell r="E2821">
            <v>0</v>
          </cell>
          <cell r="F2821">
            <v>0</v>
          </cell>
        </row>
        <row r="2822">
          <cell r="B2822">
            <v>40057276</v>
          </cell>
          <cell r="C2822" t="str">
            <v>*GPKeratRepairShmpo250mlM1200P24EC</v>
          </cell>
          <cell r="D2822">
            <v>0</v>
          </cell>
          <cell r="E2822">
            <v>0</v>
          </cell>
          <cell r="F2822">
            <v>0</v>
          </cell>
        </row>
        <row r="2823">
          <cell r="B2823">
            <v>40060396</v>
          </cell>
          <cell r="C2823" t="str">
            <v>GP KERACARE REPAIRSHMPO 250ML M1050 P24</v>
          </cell>
          <cell r="D2823">
            <v>0</v>
          </cell>
          <cell r="E2823">
            <v>0</v>
          </cell>
          <cell r="F2823">
            <v>0</v>
          </cell>
        </row>
        <row r="2824">
          <cell r="B2824">
            <v>40063598</v>
          </cell>
          <cell r="C2824" t="str">
            <v>GP KERACAREREPAIRSHMP 250ML M1050 P24 FW</v>
          </cell>
          <cell r="D2824">
            <v>0</v>
          </cell>
          <cell r="E2824">
            <v>0</v>
          </cell>
          <cell r="F2824">
            <v>0</v>
          </cell>
        </row>
        <row r="2825">
          <cell r="B2825">
            <v>40024601</v>
          </cell>
          <cell r="C2825" t="str">
            <v>*GP Quinoa Smooth Shampoo 1 Ltr M800 P9</v>
          </cell>
          <cell r="D2825">
            <v>0</v>
          </cell>
          <cell r="E2825">
            <v>0</v>
          </cell>
          <cell r="F2825">
            <v>0</v>
          </cell>
        </row>
        <row r="2826">
          <cell r="B2826">
            <v>40031958</v>
          </cell>
          <cell r="C2826" t="str">
            <v>*GP Quinoa Smooth Shampoo 1 Ltr M900 P9</v>
          </cell>
          <cell r="D2826">
            <v>0</v>
          </cell>
          <cell r="E2826">
            <v>0</v>
          </cell>
          <cell r="F2826">
            <v>0</v>
          </cell>
        </row>
        <row r="2827">
          <cell r="B2827">
            <v>40036713</v>
          </cell>
          <cell r="C2827" t="str">
            <v>*GPProbioQuinoaSmothSham1000mlM1000 P9</v>
          </cell>
          <cell r="D2827">
            <v>0</v>
          </cell>
          <cell r="E2827">
            <v>0</v>
          </cell>
          <cell r="F2827">
            <v>0</v>
          </cell>
        </row>
        <row r="2828">
          <cell r="B2828">
            <v>40037595</v>
          </cell>
          <cell r="C2828" t="str">
            <v>*GPProbioQuinoaSmothSham1000mlM1000P9FRW</v>
          </cell>
          <cell r="D2828">
            <v>0</v>
          </cell>
          <cell r="E2828">
            <v>0</v>
          </cell>
          <cell r="F2828">
            <v>0</v>
          </cell>
        </row>
        <row r="2829">
          <cell r="B2829">
            <v>40050087</v>
          </cell>
          <cell r="C2829" t="str">
            <v>*GPProbioQuinoaSmothSham1000mlM1200 P9</v>
          </cell>
          <cell r="D2829">
            <v>0</v>
          </cell>
          <cell r="E2829">
            <v>0</v>
          </cell>
          <cell r="F2829">
            <v>0</v>
          </cell>
        </row>
        <row r="2830">
          <cell r="B2830">
            <v>40050097</v>
          </cell>
          <cell r="C2830" t="str">
            <v>*GPProbioQuinoaSmothSham1000mlM1200P9FRW</v>
          </cell>
          <cell r="D2830">
            <v>0</v>
          </cell>
          <cell r="E2830">
            <v>0</v>
          </cell>
          <cell r="F2830">
            <v>0</v>
          </cell>
        </row>
        <row r="2831">
          <cell r="B2831">
            <v>40060405</v>
          </cell>
          <cell r="C2831" t="str">
            <v>GPPROBIOQUINOASMOTHSHAM1000ML M1050 P9</v>
          </cell>
          <cell r="D2831">
            <v>0</v>
          </cell>
          <cell r="E2831">
            <v>0</v>
          </cell>
          <cell r="F2831">
            <v>0</v>
          </cell>
        </row>
        <row r="2832">
          <cell r="B2832">
            <v>40060459</v>
          </cell>
          <cell r="C2832" t="str">
            <v>GPPROBIOQUINOSMOTHSHAM1000ML M1050 P9FRW</v>
          </cell>
          <cell r="D2832">
            <v>0</v>
          </cell>
          <cell r="E2832">
            <v>0</v>
          </cell>
          <cell r="F2832">
            <v>0</v>
          </cell>
        </row>
        <row r="2833">
          <cell r="B2833">
            <v>40064303</v>
          </cell>
          <cell r="C2833" t="str">
            <v>GP PROBIO QUINOASMOTHSHAM1000ML M1100 P9</v>
          </cell>
          <cell r="D2833">
            <v>0</v>
          </cell>
          <cell r="E2833">
            <v>0</v>
          </cell>
          <cell r="F2833">
            <v>0</v>
          </cell>
        </row>
        <row r="2834">
          <cell r="B2834">
            <v>40064635</v>
          </cell>
          <cell r="C2834" t="str">
            <v>GP PROBIOQUINOASMOTHSHAM1000MLM1100P9FR</v>
          </cell>
          <cell r="D2834">
            <v>0</v>
          </cell>
          <cell r="E2834">
            <v>0</v>
          </cell>
          <cell r="F2834">
            <v>0</v>
          </cell>
        </row>
        <row r="2835">
          <cell r="B2835">
            <v>40020189</v>
          </cell>
          <cell r="C2835" t="str">
            <v>*GP Quinoa Smooth Shampoo 250ml M350 P24</v>
          </cell>
          <cell r="D2835">
            <v>0</v>
          </cell>
          <cell r="E2835">
            <v>0</v>
          </cell>
          <cell r="F2835">
            <v>0</v>
          </cell>
        </row>
        <row r="2836">
          <cell r="B2836">
            <v>40032899</v>
          </cell>
          <cell r="C2836" t="str">
            <v>*GPQuinoaSmothShampo250mlM400P24FRW</v>
          </cell>
          <cell r="D2836">
            <v>0</v>
          </cell>
          <cell r="E2836">
            <v>0</v>
          </cell>
          <cell r="F2836">
            <v>0</v>
          </cell>
        </row>
        <row r="2837">
          <cell r="B2837">
            <v>40036744</v>
          </cell>
          <cell r="C2837" t="str">
            <v>*GPProbioQuinoaSmShampo250mlM500P24</v>
          </cell>
          <cell r="D2837">
            <v>0</v>
          </cell>
          <cell r="E2837">
            <v>0</v>
          </cell>
          <cell r="F2837">
            <v>0</v>
          </cell>
        </row>
        <row r="2838">
          <cell r="B2838">
            <v>40037613</v>
          </cell>
          <cell r="C2838" t="str">
            <v>*GPProbioQuinoaSmShampo250mlM500P24FRW</v>
          </cell>
          <cell r="D2838">
            <v>0</v>
          </cell>
          <cell r="E2838">
            <v>0</v>
          </cell>
          <cell r="F2838">
            <v>0</v>
          </cell>
        </row>
        <row r="2839">
          <cell r="B2839">
            <v>40043387</v>
          </cell>
          <cell r="C2839" t="str">
            <v>*GPProbioQuinoaSmShampo250mlM500P24EC</v>
          </cell>
          <cell r="D2839">
            <v>0</v>
          </cell>
          <cell r="E2839">
            <v>0</v>
          </cell>
          <cell r="F2839">
            <v>0</v>
          </cell>
        </row>
        <row r="2840">
          <cell r="B2840">
            <v>40060456</v>
          </cell>
          <cell r="C2840" t="str">
            <v>GPPROBIOQUINOASMOSHAMPO250ML M450 P24</v>
          </cell>
          <cell r="D2840">
            <v>0</v>
          </cell>
          <cell r="E2840">
            <v>0</v>
          </cell>
          <cell r="F2840">
            <v>0</v>
          </cell>
        </row>
        <row r="2841">
          <cell r="B2841">
            <v>40060461</v>
          </cell>
          <cell r="C2841" t="str">
            <v>GPPROBIOQUINOASMOSHAMPO250ML M450 P24FRW</v>
          </cell>
          <cell r="D2841">
            <v>0</v>
          </cell>
          <cell r="E2841">
            <v>0</v>
          </cell>
          <cell r="F2841">
            <v>0</v>
          </cell>
        </row>
        <row r="2842">
          <cell r="B2842">
            <v>40028579</v>
          </cell>
          <cell r="C2842" t="str">
            <v>*GP MoistRechargeShampo 1000 ml M1900 P9</v>
          </cell>
          <cell r="D2842">
            <v>0</v>
          </cell>
          <cell r="E2842">
            <v>0</v>
          </cell>
          <cell r="F2842">
            <v>0</v>
          </cell>
        </row>
        <row r="2843">
          <cell r="B2843">
            <v>40028850</v>
          </cell>
          <cell r="C2843" t="str">
            <v>*GPRecrgeShampoFRW1000mlMRP1900PS9</v>
          </cell>
          <cell r="D2843">
            <v>0</v>
          </cell>
          <cell r="E2843">
            <v>0</v>
          </cell>
          <cell r="F2843">
            <v>0</v>
          </cell>
        </row>
        <row r="2844">
          <cell r="B2844">
            <v>40036160</v>
          </cell>
          <cell r="C2844" t="str">
            <v>*GPMoistRechageShampo1000mlMRP1900PS9</v>
          </cell>
          <cell r="D2844">
            <v>0</v>
          </cell>
          <cell r="E2844">
            <v>0</v>
          </cell>
          <cell r="F2844">
            <v>0</v>
          </cell>
        </row>
        <row r="2845">
          <cell r="B2845">
            <v>40037106</v>
          </cell>
          <cell r="C2845" t="str">
            <v>*GPMoistRchagShamp1000mlMRP1900PS9FRW</v>
          </cell>
          <cell r="D2845">
            <v>0</v>
          </cell>
          <cell r="E2845">
            <v>0</v>
          </cell>
          <cell r="F2845">
            <v>0</v>
          </cell>
        </row>
        <row r="2846">
          <cell r="B2846">
            <v>40050108</v>
          </cell>
          <cell r="C2846" t="str">
            <v>*GPMoistRchrgShamp1000mlMRP2100PS9FRW</v>
          </cell>
          <cell r="D2846">
            <v>0</v>
          </cell>
          <cell r="E2846">
            <v>0</v>
          </cell>
          <cell r="F2846">
            <v>0</v>
          </cell>
        </row>
        <row r="2847">
          <cell r="B2847">
            <v>40050109</v>
          </cell>
          <cell r="C2847" t="str">
            <v>*GPMoistRechageShampo1000mlMRP2100PS9</v>
          </cell>
          <cell r="D2847">
            <v>0</v>
          </cell>
          <cell r="E2847">
            <v>0</v>
          </cell>
          <cell r="F2847">
            <v>0</v>
          </cell>
        </row>
        <row r="2848">
          <cell r="B2848">
            <v>40060398</v>
          </cell>
          <cell r="C2848" t="str">
            <v>GP MOISTRECHAGESHAMPO 1000ML M1850 P9</v>
          </cell>
          <cell r="D2848">
            <v>0</v>
          </cell>
          <cell r="E2848">
            <v>0</v>
          </cell>
          <cell r="F2848">
            <v>0</v>
          </cell>
        </row>
        <row r="2849">
          <cell r="B2849">
            <v>40063595</v>
          </cell>
          <cell r="C2849" t="str">
            <v>GP MOISTRCHARGESHAMP 1000ML M1850 P9 FW</v>
          </cell>
          <cell r="D2849">
            <v>0</v>
          </cell>
          <cell r="E2849">
            <v>0</v>
          </cell>
          <cell r="F2849">
            <v>0</v>
          </cell>
        </row>
        <row r="2850">
          <cell r="B2850">
            <v>40036111</v>
          </cell>
          <cell r="C2850" t="str">
            <v>*GPRechargeShampoo250ml MRP1100 PS 24</v>
          </cell>
          <cell r="D2850">
            <v>0</v>
          </cell>
          <cell r="E2850">
            <v>0</v>
          </cell>
          <cell r="F2850">
            <v>0</v>
          </cell>
        </row>
        <row r="2851">
          <cell r="B2851">
            <v>40037571</v>
          </cell>
          <cell r="C2851" t="str">
            <v>*GPRechargeShampoo250mlMRP1100PS24FRW</v>
          </cell>
          <cell r="D2851">
            <v>0</v>
          </cell>
          <cell r="E2851">
            <v>0</v>
          </cell>
          <cell r="F2851">
            <v>0</v>
          </cell>
        </row>
        <row r="2852">
          <cell r="B2852">
            <v>40043378</v>
          </cell>
          <cell r="C2852" t="str">
            <v>*GPRechargeShampoo250ml MRP1100 PS 24 EC</v>
          </cell>
          <cell r="D2852">
            <v>0</v>
          </cell>
          <cell r="E2852">
            <v>0</v>
          </cell>
          <cell r="F2852">
            <v>0</v>
          </cell>
        </row>
        <row r="2853">
          <cell r="B2853">
            <v>40050022</v>
          </cell>
          <cell r="C2853" t="str">
            <v>GPRechargeShampoo250ml MRP1200 PS 24FRW</v>
          </cell>
          <cell r="D2853">
            <v>0</v>
          </cell>
          <cell r="E2853">
            <v>0</v>
          </cell>
          <cell r="F2853">
            <v>0</v>
          </cell>
        </row>
        <row r="2854">
          <cell r="B2854">
            <v>40050103</v>
          </cell>
          <cell r="C2854" t="str">
            <v>*GPRechargeShampoo250ml MRP1200 PS 24</v>
          </cell>
          <cell r="D2854">
            <v>0</v>
          </cell>
          <cell r="E2854">
            <v>0</v>
          </cell>
          <cell r="F2854">
            <v>0</v>
          </cell>
        </row>
        <row r="2855">
          <cell r="B2855">
            <v>40036295</v>
          </cell>
          <cell r="C2855" t="str">
            <v>*GPSmoothRenewShampoo1000mlMRP1900PS9</v>
          </cell>
          <cell r="D2855">
            <v>0</v>
          </cell>
          <cell r="E2855">
            <v>0</v>
          </cell>
          <cell r="F2855">
            <v>0</v>
          </cell>
        </row>
        <row r="2856">
          <cell r="B2856">
            <v>40037586</v>
          </cell>
          <cell r="C2856" t="str">
            <v>*GPSmoothRenewShampoo1000mlMRP1900PS9FRW</v>
          </cell>
          <cell r="D2856">
            <v>0</v>
          </cell>
          <cell r="E2856">
            <v>0</v>
          </cell>
          <cell r="F2856">
            <v>0</v>
          </cell>
        </row>
        <row r="2857">
          <cell r="B2857">
            <v>40050026</v>
          </cell>
          <cell r="C2857" t="str">
            <v>*GPSmoothRenwShamp1000mlMRP2100PS9FRW</v>
          </cell>
          <cell r="D2857">
            <v>0</v>
          </cell>
          <cell r="E2857">
            <v>0</v>
          </cell>
          <cell r="F2857">
            <v>0</v>
          </cell>
        </row>
        <row r="2858">
          <cell r="B2858">
            <v>40060397</v>
          </cell>
          <cell r="C2858" t="str">
            <v>GP SMOOTHRENEWSHAMPOO 1000ML M1850 P9</v>
          </cell>
          <cell r="D2858">
            <v>0</v>
          </cell>
          <cell r="E2858">
            <v>0</v>
          </cell>
          <cell r="F2858">
            <v>0</v>
          </cell>
        </row>
        <row r="2859">
          <cell r="B2859">
            <v>40063596</v>
          </cell>
          <cell r="C2859" t="str">
            <v>GP SMOOTH RENEWSHAMP 1000ML M1850 P9 FW</v>
          </cell>
          <cell r="D2859">
            <v>0</v>
          </cell>
          <cell r="E2859">
            <v>0</v>
          </cell>
          <cell r="F2859">
            <v>0</v>
          </cell>
        </row>
        <row r="2860">
          <cell r="B2860">
            <v>40036285</v>
          </cell>
          <cell r="C2860" t="str">
            <v>*GPSmoothRenewShampoo250mlMRP1100PS24</v>
          </cell>
          <cell r="D2860">
            <v>0</v>
          </cell>
          <cell r="E2860">
            <v>0</v>
          </cell>
          <cell r="F2860">
            <v>0</v>
          </cell>
        </row>
        <row r="2861">
          <cell r="B2861">
            <v>40037588</v>
          </cell>
          <cell r="C2861" t="str">
            <v>*GPSmoothRenewShampoo250mlMRP1100PS24FRW</v>
          </cell>
          <cell r="D2861">
            <v>0</v>
          </cell>
          <cell r="E2861">
            <v>0</v>
          </cell>
          <cell r="F2861">
            <v>0</v>
          </cell>
        </row>
        <row r="2862">
          <cell r="B2862">
            <v>40043377</v>
          </cell>
          <cell r="C2862" t="str">
            <v>*GPSmoothRenewShampoo250mlMRP1100PS24 EC</v>
          </cell>
          <cell r="D2862">
            <v>0</v>
          </cell>
          <cell r="E2862">
            <v>0</v>
          </cell>
          <cell r="F2862">
            <v>0</v>
          </cell>
        </row>
        <row r="2863">
          <cell r="B2863">
            <v>40050014</v>
          </cell>
          <cell r="C2863" t="str">
            <v>*GPSmoothRenewShampoo250mlMRP1200PS24FRW</v>
          </cell>
          <cell r="D2863">
            <v>0</v>
          </cell>
          <cell r="E2863">
            <v>0</v>
          </cell>
          <cell r="F2863">
            <v>0</v>
          </cell>
        </row>
        <row r="2864">
          <cell r="B2864">
            <v>40050112</v>
          </cell>
          <cell r="C2864" t="str">
            <v>*GPSmoothRenewShampoo250mlMRP1200PS24</v>
          </cell>
          <cell r="D2864">
            <v>0</v>
          </cell>
          <cell r="E2864">
            <v>0</v>
          </cell>
          <cell r="F2864">
            <v>0</v>
          </cell>
        </row>
        <row r="2865">
          <cell r="B2865">
            <v>40039340</v>
          </cell>
          <cell r="C2865" t="str">
            <v>*GPSpaSystemNorishingShmpo1000ml M900 P9</v>
          </cell>
          <cell r="D2865">
            <v>0</v>
          </cell>
          <cell r="E2865">
            <v>0</v>
          </cell>
          <cell r="F2865">
            <v>0</v>
          </cell>
        </row>
        <row r="2866">
          <cell r="B2866">
            <v>40039438</v>
          </cell>
          <cell r="C2866" t="str">
            <v>*GPSpaSystemNorishingShmpo1000mlM900P9fr</v>
          </cell>
          <cell r="D2866">
            <v>0</v>
          </cell>
          <cell r="E2866">
            <v>0</v>
          </cell>
          <cell r="F2866">
            <v>0</v>
          </cell>
        </row>
        <row r="2867">
          <cell r="B2867">
            <v>40057493</v>
          </cell>
          <cell r="C2867" t="str">
            <v>*GPSPASYSTEMNORSHNGSHMPO1000MLM900P9EC</v>
          </cell>
          <cell r="D2867">
            <v>0</v>
          </cell>
          <cell r="E2867">
            <v>0</v>
          </cell>
          <cell r="F2867">
            <v>0</v>
          </cell>
        </row>
        <row r="2868">
          <cell r="B2868">
            <v>40060380</v>
          </cell>
          <cell r="C2868" t="str">
            <v>GPSPASYSTEMNORISHINGSHMPO 1000ML M800 P9</v>
          </cell>
          <cell r="D2868">
            <v>0</v>
          </cell>
          <cell r="E2868">
            <v>0</v>
          </cell>
          <cell r="F2868">
            <v>0</v>
          </cell>
        </row>
        <row r="2869">
          <cell r="B2869">
            <v>40060417</v>
          </cell>
          <cell r="C2869" t="str">
            <v>GPSPASYSTEMNORSHNGSHMPO1000ML M800P9 FRW</v>
          </cell>
          <cell r="D2869">
            <v>0</v>
          </cell>
          <cell r="E2869">
            <v>0</v>
          </cell>
          <cell r="F2869">
            <v>0</v>
          </cell>
        </row>
        <row r="2870">
          <cell r="B2870">
            <v>40064314</v>
          </cell>
          <cell r="C2870" t="str">
            <v>GP SPA SYS NOURSHING SHAMP 1L M900 P9</v>
          </cell>
          <cell r="D2870">
            <v>0</v>
          </cell>
          <cell r="E2870">
            <v>0</v>
          </cell>
          <cell r="F2870">
            <v>0</v>
          </cell>
        </row>
        <row r="2871">
          <cell r="B2871">
            <v>40065028</v>
          </cell>
          <cell r="C2871" t="str">
            <v>GP SPA SYS NOURSHING SHAMP 1L M900 P9 FR</v>
          </cell>
          <cell r="D2871">
            <v>0</v>
          </cell>
          <cell r="E2871">
            <v>0</v>
          </cell>
          <cell r="F2871">
            <v>0</v>
          </cell>
        </row>
        <row r="2872">
          <cell r="B2872">
            <v>40031959</v>
          </cell>
          <cell r="C2872" t="str">
            <v>GP Protect Shine Serum 120ml M325 P24</v>
          </cell>
          <cell r="D2872">
            <v>0</v>
          </cell>
          <cell r="E2872">
            <v>0</v>
          </cell>
          <cell r="F2872">
            <v>0</v>
          </cell>
        </row>
        <row r="2873">
          <cell r="B2873">
            <v>40032934</v>
          </cell>
          <cell r="C2873" t="str">
            <v>GP ProtectShine Serum 120ml M325 P24 FRW</v>
          </cell>
          <cell r="D2873">
            <v>0</v>
          </cell>
          <cell r="E2873">
            <v>0</v>
          </cell>
          <cell r="F2873">
            <v>0</v>
          </cell>
        </row>
        <row r="2874">
          <cell r="B2874">
            <v>40036737</v>
          </cell>
          <cell r="C2874" t="str">
            <v>GPProbio KRShineSerum 100ml M350 P24</v>
          </cell>
          <cell r="D2874">
            <v>0</v>
          </cell>
          <cell r="E2874">
            <v>0</v>
          </cell>
          <cell r="F2874">
            <v>0</v>
          </cell>
        </row>
        <row r="2875">
          <cell r="B2875">
            <v>40041488</v>
          </cell>
          <cell r="C2875" t="str">
            <v>GP ProbKRShineSerum110ml M375 P24</v>
          </cell>
          <cell r="D2875">
            <v>0</v>
          </cell>
          <cell r="E2875">
            <v>0</v>
          </cell>
          <cell r="F2875">
            <v>0</v>
          </cell>
        </row>
        <row r="2876">
          <cell r="B2876">
            <v>40041489</v>
          </cell>
          <cell r="C2876" t="str">
            <v>GP ProbKRShineSerum110ml M375 P24FRW</v>
          </cell>
          <cell r="D2876">
            <v>0</v>
          </cell>
          <cell r="E2876">
            <v>0</v>
          </cell>
          <cell r="F2876">
            <v>0</v>
          </cell>
        </row>
        <row r="2877">
          <cell r="B2877">
            <v>40056144</v>
          </cell>
          <cell r="C2877" t="str">
            <v>GP PROBKRSHINESERUM110ML M375 P24 FRW</v>
          </cell>
          <cell r="D2877">
            <v>0</v>
          </cell>
          <cell r="E2877">
            <v>0</v>
          </cell>
          <cell r="F2877">
            <v>0</v>
          </cell>
        </row>
        <row r="2878">
          <cell r="B2878">
            <v>40056220</v>
          </cell>
          <cell r="C2878" t="str">
            <v>GP PROBKRSHINESERUM110ML M375P24</v>
          </cell>
          <cell r="D2878">
            <v>0</v>
          </cell>
          <cell r="E2878">
            <v>0</v>
          </cell>
          <cell r="F2878">
            <v>0</v>
          </cell>
        </row>
        <row r="2879">
          <cell r="B2879">
            <v>40057349</v>
          </cell>
          <cell r="C2879" t="str">
            <v>GP ProbKRShineSerum110ml M375 P24 EC</v>
          </cell>
          <cell r="D2879">
            <v>0</v>
          </cell>
          <cell r="E2879">
            <v>0</v>
          </cell>
          <cell r="F2879">
            <v>0</v>
          </cell>
        </row>
        <row r="2880">
          <cell r="B2880">
            <v>40059847</v>
          </cell>
          <cell r="C2880" t="str">
            <v>GPPROBIOKRSHINE SERUM 110ML M299 P24</v>
          </cell>
          <cell r="D2880">
            <v>0</v>
          </cell>
          <cell r="E2880">
            <v>0</v>
          </cell>
          <cell r="F2880">
            <v>0</v>
          </cell>
        </row>
        <row r="2881">
          <cell r="B2881">
            <v>40059848</v>
          </cell>
          <cell r="C2881" t="str">
            <v>GPPROBIOKRSHINE SERUM 110ML M299 P24 FRW</v>
          </cell>
          <cell r="D2881">
            <v>0</v>
          </cell>
          <cell r="E2881">
            <v>0</v>
          </cell>
          <cell r="F2881">
            <v>0</v>
          </cell>
        </row>
        <row r="2882">
          <cell r="B2882">
            <v>40056559</v>
          </cell>
          <cell r="C2882" t="str">
            <v>GP STRAIGHT INTENSE 500ML M1050 P18 FRW</v>
          </cell>
          <cell r="D2882">
            <v>0</v>
          </cell>
          <cell r="E2882">
            <v>0</v>
          </cell>
          <cell r="F2882">
            <v>0</v>
          </cell>
        </row>
        <row r="2883">
          <cell r="B2883">
            <v>40057986</v>
          </cell>
          <cell r="C2883" t="str">
            <v>GP NEW STRAIGHT INTENSE 500ML M1050 P18</v>
          </cell>
          <cell r="D2883">
            <v>0</v>
          </cell>
          <cell r="E2883">
            <v>0</v>
          </cell>
          <cell r="F2883">
            <v>0</v>
          </cell>
        </row>
        <row r="2884">
          <cell r="B2884">
            <v>40063763</v>
          </cell>
          <cell r="C2884" t="str">
            <v>GP STRAIGHT INTENS 500ML M1050P18SP RATE</v>
          </cell>
          <cell r="D2884">
            <v>0</v>
          </cell>
          <cell r="E2884">
            <v>0</v>
          </cell>
          <cell r="F2884">
            <v>0</v>
          </cell>
        </row>
        <row r="2885">
          <cell r="B2885">
            <v>40056992</v>
          </cell>
          <cell r="C2885" t="str">
            <v>GPSTRAIGHT MILD 500ML M1050 P18 FRW</v>
          </cell>
          <cell r="D2885">
            <v>0</v>
          </cell>
          <cell r="E2885">
            <v>0</v>
          </cell>
          <cell r="F2885">
            <v>0</v>
          </cell>
        </row>
        <row r="2886">
          <cell r="B2886">
            <v>40063764</v>
          </cell>
          <cell r="C2886" t="str">
            <v>GPSTRAIGHT MILD 500ML M1050 P18 SP RATE</v>
          </cell>
          <cell r="D2886">
            <v>0</v>
          </cell>
          <cell r="E2886">
            <v>0</v>
          </cell>
          <cell r="F2886">
            <v>0</v>
          </cell>
        </row>
        <row r="2887">
          <cell r="B2887">
            <v>40056221</v>
          </cell>
          <cell r="C2887" t="str">
            <v>GP STRAIGHT NEUTRALIZER 500 ML M550 P18</v>
          </cell>
          <cell r="D2887">
            <v>0</v>
          </cell>
          <cell r="E2887">
            <v>0</v>
          </cell>
          <cell r="F2887">
            <v>0</v>
          </cell>
        </row>
        <row r="2888">
          <cell r="B2888">
            <v>40056546</v>
          </cell>
          <cell r="C2888" t="str">
            <v>GP STRAIGHT NEUTRALZR 500ML M550 P18 FRW</v>
          </cell>
          <cell r="D2888">
            <v>0</v>
          </cell>
          <cell r="E2888">
            <v>0</v>
          </cell>
          <cell r="F2888">
            <v>0</v>
          </cell>
        </row>
        <row r="2889">
          <cell r="B2889">
            <v>40063736</v>
          </cell>
          <cell r="C2889" t="str">
            <v>GP STRAIGHT NEUTRL 500ML M550P18 SP RATE</v>
          </cell>
          <cell r="D2889">
            <v>0</v>
          </cell>
          <cell r="E2889">
            <v>0</v>
          </cell>
          <cell r="F2889">
            <v>0</v>
          </cell>
        </row>
        <row r="2890">
          <cell r="B2890">
            <v>40028397</v>
          </cell>
          <cell r="C2890" t="str">
            <v>GP Hold Spray 300 ml MRP 475 PS 9</v>
          </cell>
          <cell r="D2890">
            <v>0</v>
          </cell>
          <cell r="E2890">
            <v>0</v>
          </cell>
          <cell r="F2890">
            <v>0</v>
          </cell>
        </row>
        <row r="2891">
          <cell r="B2891">
            <v>40030766</v>
          </cell>
          <cell r="C2891" t="str">
            <v>GP Hold Spray MRP 475 PS 9 FRW</v>
          </cell>
          <cell r="D2891">
            <v>0</v>
          </cell>
          <cell r="E2891">
            <v>0</v>
          </cell>
          <cell r="F2891">
            <v>0</v>
          </cell>
        </row>
        <row r="2892">
          <cell r="B2892">
            <v>40039422</v>
          </cell>
          <cell r="C2892" t="str">
            <v>GP AIM Hold Spray 140g/200ml MRP500 PS12</v>
          </cell>
          <cell r="D2892">
            <v>0</v>
          </cell>
          <cell r="E2892">
            <v>0</v>
          </cell>
          <cell r="F2892">
            <v>0</v>
          </cell>
        </row>
        <row r="2893">
          <cell r="B2893">
            <v>40039430</v>
          </cell>
          <cell r="C2893" t="str">
            <v>GP AIM HoldSpray 140g/200ml MRP500PS12FW</v>
          </cell>
          <cell r="D2893">
            <v>0</v>
          </cell>
          <cell r="E2893">
            <v>0</v>
          </cell>
          <cell r="F2893">
            <v>0</v>
          </cell>
        </row>
        <row r="2894">
          <cell r="B2894">
            <v>40057900</v>
          </cell>
          <cell r="C2894" t="str">
            <v>GP AIM HOLD SPRAY M500 140GM P12 EC</v>
          </cell>
          <cell r="D2894">
            <v>0</v>
          </cell>
          <cell r="E2894">
            <v>0</v>
          </cell>
          <cell r="F2894">
            <v>0</v>
          </cell>
        </row>
        <row r="2895">
          <cell r="B2895">
            <v>40028379</v>
          </cell>
          <cell r="C2895" t="str">
            <v>GP SHINE SPRAY 200 ml MRP 425 PS 12</v>
          </cell>
          <cell r="D2895">
            <v>0</v>
          </cell>
          <cell r="E2895">
            <v>0</v>
          </cell>
          <cell r="F2895">
            <v>0</v>
          </cell>
        </row>
        <row r="2896">
          <cell r="B2896">
            <v>40039363</v>
          </cell>
          <cell r="C2896" t="str">
            <v>GP AIM ShineSpray120g/200mlMRP500PS12FRW</v>
          </cell>
          <cell r="D2896">
            <v>0</v>
          </cell>
          <cell r="E2896">
            <v>0</v>
          </cell>
          <cell r="F2896">
            <v>0</v>
          </cell>
        </row>
        <row r="2897">
          <cell r="B2897">
            <v>40039364</v>
          </cell>
          <cell r="C2897" t="str">
            <v>GP AIM Shine Spray 120g/200ml MRP500PS12</v>
          </cell>
          <cell r="D2897">
            <v>0</v>
          </cell>
          <cell r="E2897">
            <v>0</v>
          </cell>
          <cell r="F2897">
            <v>0</v>
          </cell>
        </row>
        <row r="2898">
          <cell r="B2898">
            <v>40057899</v>
          </cell>
          <cell r="C2898" t="str">
            <v>GP AIM SHINE SPRAY M500 120GM P12 EC</v>
          </cell>
          <cell r="D2898">
            <v>0</v>
          </cell>
          <cell r="E2898">
            <v>0</v>
          </cell>
          <cell r="F2898">
            <v>0</v>
          </cell>
        </row>
        <row r="2899">
          <cell r="B2899">
            <v>40040175</v>
          </cell>
          <cell r="C2899" t="str">
            <v>*PA Asl Ace Splash 50Ml(MRP115)P96</v>
          </cell>
          <cell r="D2899">
            <v>0</v>
          </cell>
          <cell r="E2899">
            <v>0</v>
          </cell>
          <cell r="F2899">
            <v>0</v>
          </cell>
        </row>
        <row r="2900">
          <cell r="B2900">
            <v>40040342</v>
          </cell>
          <cell r="C2900" t="str">
            <v>*PA ASL GM New Travel Pack ( Mrp 89)P72</v>
          </cell>
          <cell r="D2900">
            <v>0</v>
          </cell>
          <cell r="E2900">
            <v>0</v>
          </cell>
          <cell r="F2900">
            <v>0</v>
          </cell>
        </row>
        <row r="2901">
          <cell r="B2901">
            <v>40040495</v>
          </cell>
          <cell r="C2901" t="str">
            <v>PRM EDC Regular PET 100 ML (MRP135)P48</v>
          </cell>
          <cell r="D2901">
            <v>0</v>
          </cell>
          <cell r="E2901">
            <v>0</v>
          </cell>
          <cell r="F2901">
            <v>0</v>
          </cell>
        </row>
        <row r="2902">
          <cell r="B2902">
            <v>40040561</v>
          </cell>
          <cell r="C2902" t="str">
            <v>*PA SC Cool Blue 84 g (MRP69) RLP144</v>
          </cell>
          <cell r="D2902">
            <v>0</v>
          </cell>
          <cell r="E2902">
            <v>0</v>
          </cell>
          <cell r="F2902">
            <v>0</v>
          </cell>
        </row>
        <row r="2903">
          <cell r="B2903">
            <v>40040831</v>
          </cell>
          <cell r="C2903" t="str">
            <v>*NewPAGMAslSplash50mlbottleM135RLP48</v>
          </cell>
          <cell r="D2903">
            <v>0</v>
          </cell>
          <cell r="E2903">
            <v>0</v>
          </cell>
          <cell r="F2903">
            <v>0</v>
          </cell>
        </row>
        <row r="2904">
          <cell r="B2904">
            <v>40024252</v>
          </cell>
          <cell r="C2904" t="str">
            <v>*Cin Shaving Cream 20gLime Fresh M25P72</v>
          </cell>
          <cell r="D2904">
            <v>0</v>
          </cell>
          <cell r="E2904">
            <v>0</v>
          </cell>
          <cell r="F2904">
            <v>0</v>
          </cell>
        </row>
        <row r="2905">
          <cell r="B2905">
            <v>40001790</v>
          </cell>
          <cell r="C2905" t="str">
            <v>SH CR LF 70G 72 TUBES 50.00</v>
          </cell>
          <cell r="D2905">
            <v>0</v>
          </cell>
          <cell r="E2905">
            <v>0</v>
          </cell>
          <cell r="F2905">
            <v>0</v>
          </cell>
        </row>
        <row r="2906">
          <cell r="B2906">
            <v>40028477</v>
          </cell>
          <cell r="C2906" t="str">
            <v>*CinShavingCreamLimeFrshFlipT78gM65P72</v>
          </cell>
          <cell r="D2906">
            <v>0</v>
          </cell>
          <cell r="E2906">
            <v>0</v>
          </cell>
          <cell r="F2906">
            <v>0</v>
          </cell>
        </row>
        <row r="2907">
          <cell r="B2907">
            <v>40035046</v>
          </cell>
          <cell r="C2907" t="str">
            <v>*CinShavingCreamLimeFresh78gM75P72</v>
          </cell>
          <cell r="D2907">
            <v>0</v>
          </cell>
          <cell r="E2907">
            <v>0</v>
          </cell>
          <cell r="F2907">
            <v>0</v>
          </cell>
        </row>
        <row r="2908">
          <cell r="B2908">
            <v>40041291</v>
          </cell>
          <cell r="C2908" t="str">
            <v>*CinShavingCreamLimeFresh78gM80P72</v>
          </cell>
          <cell r="D2908">
            <v>0</v>
          </cell>
          <cell r="E2908">
            <v>0</v>
          </cell>
          <cell r="F2908">
            <v>0</v>
          </cell>
        </row>
        <row r="2909">
          <cell r="B2909">
            <v>40024276</v>
          </cell>
          <cell r="C2909" t="str">
            <v>*CinShavingCream20gCoolMentholM25P72</v>
          </cell>
          <cell r="D2909">
            <v>0</v>
          </cell>
          <cell r="E2909">
            <v>0</v>
          </cell>
          <cell r="F2909">
            <v>0</v>
          </cell>
        </row>
        <row r="2910">
          <cell r="B2910">
            <v>40028486</v>
          </cell>
          <cell r="C2910" t="str">
            <v>*CinShavingCreamCoolMnthFlipT78gM65P72</v>
          </cell>
          <cell r="D2910">
            <v>0</v>
          </cell>
          <cell r="E2910">
            <v>0</v>
          </cell>
          <cell r="F2910">
            <v>0</v>
          </cell>
        </row>
        <row r="2911">
          <cell r="B2911">
            <v>40041301</v>
          </cell>
          <cell r="C2911" t="str">
            <v>*Cin Shaving Cream Menthol 78g M80 P72</v>
          </cell>
          <cell r="D2911">
            <v>0</v>
          </cell>
          <cell r="E2911">
            <v>0</v>
          </cell>
          <cell r="F2911">
            <v>0</v>
          </cell>
        </row>
        <row r="2912">
          <cell r="B2912">
            <v>40024269</v>
          </cell>
          <cell r="C2912" t="str">
            <v>*Cin Shaving Cream 20gSensitive M25P72</v>
          </cell>
          <cell r="D2912">
            <v>0</v>
          </cell>
          <cell r="E2912">
            <v>0</v>
          </cell>
          <cell r="F2912">
            <v>0</v>
          </cell>
        </row>
        <row r="2913">
          <cell r="B2913">
            <v>40028450</v>
          </cell>
          <cell r="C2913" t="str">
            <v>*CinShavingCreamSensitveFlipT78gM65P72</v>
          </cell>
          <cell r="D2913">
            <v>0</v>
          </cell>
          <cell r="E2913">
            <v>0</v>
          </cell>
          <cell r="F2913">
            <v>0</v>
          </cell>
        </row>
        <row r="2914">
          <cell r="B2914">
            <v>40035045</v>
          </cell>
          <cell r="C2914" t="str">
            <v>*Cin Shaving Cream Sensitive 78g M75 P72</v>
          </cell>
          <cell r="D2914">
            <v>0</v>
          </cell>
          <cell r="E2914">
            <v>0</v>
          </cell>
          <cell r="F2914">
            <v>0</v>
          </cell>
        </row>
        <row r="2915">
          <cell r="B2915">
            <v>40001818</v>
          </cell>
          <cell r="C2915" t="str">
            <v>SHAVING ROUND ORD 50G 288 PACKS MRP 14.0</v>
          </cell>
          <cell r="D2915">
            <v>0</v>
          </cell>
          <cell r="E2915">
            <v>0</v>
          </cell>
          <cell r="F2915">
            <v>0</v>
          </cell>
        </row>
        <row r="2916">
          <cell r="B2916">
            <v>40001822</v>
          </cell>
          <cell r="C2916" t="str">
            <v>SHAVING ROUND POLY 50G72 PACKS MRP 18</v>
          </cell>
          <cell r="D2916">
            <v>0</v>
          </cell>
          <cell r="E2916">
            <v>0</v>
          </cell>
          <cell r="F2916">
            <v>0</v>
          </cell>
        </row>
        <row r="2917">
          <cell r="B2917">
            <v>40009729</v>
          </cell>
          <cell r="C2917" t="str">
            <v>*SHAVING ROUND POLY 50G 72 PK M22</v>
          </cell>
          <cell r="D2917">
            <v>0</v>
          </cell>
          <cell r="E2917">
            <v>0</v>
          </cell>
          <cell r="F2917">
            <v>0</v>
          </cell>
        </row>
        <row r="2918">
          <cell r="B2918">
            <v>40036993</v>
          </cell>
          <cell r="C2918" t="str">
            <v>*Cin Talc 100g Original M75P36</v>
          </cell>
          <cell r="D2918">
            <v>0</v>
          </cell>
          <cell r="E2918">
            <v>0</v>
          </cell>
          <cell r="F2918">
            <v>0</v>
          </cell>
        </row>
        <row r="2919">
          <cell r="B2919">
            <v>40058646</v>
          </cell>
          <cell r="C2919" t="str">
            <v>*CIN TALC 100G ORIGINAL M80P36</v>
          </cell>
          <cell r="D2919">
            <v>0</v>
          </cell>
          <cell r="E2919">
            <v>0</v>
          </cell>
          <cell r="F2919">
            <v>0</v>
          </cell>
        </row>
        <row r="2920">
          <cell r="B2920">
            <v>40024963</v>
          </cell>
          <cell r="C2920" t="str">
            <v>*Cin Talc Original 300gM135P24</v>
          </cell>
          <cell r="D2920">
            <v>0</v>
          </cell>
          <cell r="E2920">
            <v>0</v>
          </cell>
          <cell r="F2920">
            <v>0</v>
          </cell>
        </row>
        <row r="2921">
          <cell r="B2921">
            <v>40037017</v>
          </cell>
          <cell r="C2921" t="str">
            <v>*Cin Talc Original 300gM160P24</v>
          </cell>
          <cell r="D2921">
            <v>0</v>
          </cell>
          <cell r="E2921">
            <v>0</v>
          </cell>
          <cell r="F2921">
            <v>0</v>
          </cell>
        </row>
        <row r="2922">
          <cell r="B2922">
            <v>40041288</v>
          </cell>
          <cell r="C2922" t="str">
            <v>*CinOriginalTalc300gM175P24</v>
          </cell>
          <cell r="D2922">
            <v>0</v>
          </cell>
          <cell r="E2922">
            <v>0</v>
          </cell>
          <cell r="F2922">
            <v>0</v>
          </cell>
        </row>
        <row r="2923">
          <cell r="B2923">
            <v>40041816</v>
          </cell>
          <cell r="C2923" t="str">
            <v>*CinTalcAsrtdOriginal300gM175P24CSD</v>
          </cell>
          <cell r="D2923">
            <v>0</v>
          </cell>
          <cell r="E2923">
            <v>0</v>
          </cell>
          <cell r="F2923">
            <v>0</v>
          </cell>
        </row>
        <row r="2924">
          <cell r="B2924">
            <v>40000325</v>
          </cell>
          <cell r="C2924" t="str">
            <v>CIN DEO TALC COL REL 100GBIGIF 36PKS45</v>
          </cell>
          <cell r="D2924">
            <v>0</v>
          </cell>
          <cell r="E2924">
            <v>0</v>
          </cell>
          <cell r="F2924">
            <v>0</v>
          </cell>
        </row>
        <row r="2925">
          <cell r="B2925">
            <v>40011689</v>
          </cell>
          <cell r="C2925" t="str">
            <v>*Cin Deo Talc 300g Pk24 Mrp99 new</v>
          </cell>
          <cell r="D2925">
            <v>0</v>
          </cell>
          <cell r="E2925">
            <v>0</v>
          </cell>
          <cell r="F2925">
            <v>0</v>
          </cell>
        </row>
        <row r="2926">
          <cell r="B2926">
            <v>40024995</v>
          </cell>
          <cell r="C2926" t="str">
            <v>*Cin Talc Deo 300gM135P24</v>
          </cell>
          <cell r="D2926">
            <v>0</v>
          </cell>
          <cell r="E2926">
            <v>0</v>
          </cell>
          <cell r="F2926">
            <v>0</v>
          </cell>
        </row>
        <row r="2927">
          <cell r="B2927">
            <v>40016286</v>
          </cell>
          <cell r="C2927" t="str">
            <v>*Cin Talc 100g Lime M55P36</v>
          </cell>
          <cell r="D2927">
            <v>0</v>
          </cell>
          <cell r="E2927">
            <v>0</v>
          </cell>
          <cell r="F2927">
            <v>0</v>
          </cell>
        </row>
        <row r="2928">
          <cell r="B2928">
            <v>40058645</v>
          </cell>
          <cell r="C2928" t="str">
            <v>*CIN TALC 100G LIME M80P36</v>
          </cell>
          <cell r="D2928">
            <v>0</v>
          </cell>
          <cell r="E2928">
            <v>0</v>
          </cell>
          <cell r="F2928">
            <v>0</v>
          </cell>
        </row>
        <row r="2929">
          <cell r="B2929">
            <v>40011713</v>
          </cell>
          <cell r="C2929" t="str">
            <v>*Cin Lime Talc 300g Pk24 Mrp99 new</v>
          </cell>
          <cell r="D2929">
            <v>0</v>
          </cell>
          <cell r="E2929">
            <v>0</v>
          </cell>
          <cell r="F2929">
            <v>0</v>
          </cell>
        </row>
        <row r="2930">
          <cell r="B2930">
            <v>40037016</v>
          </cell>
          <cell r="C2930" t="str">
            <v>*Cin Talc Lime 300gM160P24</v>
          </cell>
          <cell r="D2930">
            <v>0</v>
          </cell>
          <cell r="E2930">
            <v>0</v>
          </cell>
          <cell r="F2930">
            <v>0</v>
          </cell>
        </row>
        <row r="2931">
          <cell r="B2931">
            <v>40037471</v>
          </cell>
          <cell r="C2931" t="str">
            <v>*Cin Talc Assrtd Lime 300g M160 P24 CSD</v>
          </cell>
          <cell r="D2931">
            <v>0</v>
          </cell>
          <cell r="E2931">
            <v>0</v>
          </cell>
          <cell r="F2931">
            <v>0</v>
          </cell>
        </row>
        <row r="2932">
          <cell r="B2932">
            <v>40041289</v>
          </cell>
          <cell r="C2932" t="str">
            <v>*Cin Talc Lime 300gM175P24</v>
          </cell>
          <cell r="D2932">
            <v>0</v>
          </cell>
          <cell r="E2932">
            <v>0</v>
          </cell>
          <cell r="F2932">
            <v>0</v>
          </cell>
        </row>
        <row r="2933">
          <cell r="B2933">
            <v>40041790</v>
          </cell>
          <cell r="C2933" t="str">
            <v>*Cin Talc Assrtd Lime 300g M175 P24 CSD</v>
          </cell>
          <cell r="D2933">
            <v>0</v>
          </cell>
          <cell r="E2933">
            <v>0</v>
          </cell>
          <cell r="F2933">
            <v>0</v>
          </cell>
        </row>
        <row r="2934">
          <cell r="B2934">
            <v>40016313</v>
          </cell>
          <cell r="C2934" t="str">
            <v>*CinTalc50gHang(Conf/Lime/Org)M150 P12</v>
          </cell>
          <cell r="D2934">
            <v>0</v>
          </cell>
          <cell r="E2934">
            <v>0</v>
          </cell>
          <cell r="F2934">
            <v>0</v>
          </cell>
        </row>
        <row r="2935">
          <cell r="B2935">
            <v>40016288</v>
          </cell>
          <cell r="C2935" t="str">
            <v>*Cin Talc 100g Cool M55P36</v>
          </cell>
          <cell r="D2935">
            <v>0</v>
          </cell>
          <cell r="E2935">
            <v>0</v>
          </cell>
          <cell r="F2935">
            <v>0</v>
          </cell>
        </row>
        <row r="2936">
          <cell r="B2936">
            <v>40024982</v>
          </cell>
          <cell r="C2936" t="str">
            <v>*Cin Talc Confidence+ 300gM135P24</v>
          </cell>
          <cell r="D2936">
            <v>0</v>
          </cell>
          <cell r="E2936">
            <v>0</v>
          </cell>
          <cell r="F2936">
            <v>0</v>
          </cell>
        </row>
        <row r="2937">
          <cell r="B2937">
            <v>40024897</v>
          </cell>
          <cell r="C2937" t="str">
            <v>Cin Shave+FW 10g FreshBurst M10P240</v>
          </cell>
          <cell r="D2937">
            <v>0</v>
          </cell>
          <cell r="E2937">
            <v>0</v>
          </cell>
          <cell r="F2937">
            <v>0</v>
          </cell>
        </row>
        <row r="2938">
          <cell r="B2938">
            <v>40024608</v>
          </cell>
          <cell r="C2938" t="str">
            <v>Cin Shave+FaceWash 50g Sensitive M60P48</v>
          </cell>
          <cell r="D2938">
            <v>0</v>
          </cell>
          <cell r="E2938">
            <v>0</v>
          </cell>
          <cell r="F2938">
            <v>0</v>
          </cell>
        </row>
        <row r="2939">
          <cell r="B2939">
            <v>40016102</v>
          </cell>
          <cell r="C2939" t="str">
            <v>CinIntenseDeoSpray150ml M185P36-SkinSafe</v>
          </cell>
          <cell r="D2939">
            <v>0</v>
          </cell>
          <cell r="E2939">
            <v>0</v>
          </cell>
          <cell r="F2939">
            <v>0</v>
          </cell>
        </row>
        <row r="2940">
          <cell r="B2940">
            <v>40020069</v>
          </cell>
          <cell r="C2940" t="str">
            <v>CIN INTENSE DEO SPRAY CSD 8069 P36M195</v>
          </cell>
          <cell r="D2940">
            <v>0</v>
          </cell>
          <cell r="E2940">
            <v>0</v>
          </cell>
          <cell r="F2940">
            <v>0</v>
          </cell>
        </row>
        <row r="2941">
          <cell r="B2941">
            <v>40036917</v>
          </cell>
          <cell r="C2941" t="str">
            <v>CinIntenseDeoSprayNEW150mlM220P36</v>
          </cell>
          <cell r="D2941">
            <v>0</v>
          </cell>
          <cell r="E2941">
            <v>0</v>
          </cell>
          <cell r="F2941">
            <v>0</v>
          </cell>
        </row>
        <row r="2942">
          <cell r="B2942">
            <v>40017086</v>
          </cell>
          <cell r="C2942" t="str">
            <v>CinIntenseDeoSpray150ml M185P36--MT</v>
          </cell>
          <cell r="D2942">
            <v>0</v>
          </cell>
          <cell r="E2942">
            <v>0</v>
          </cell>
          <cell r="F2942">
            <v>0</v>
          </cell>
        </row>
        <row r="2943">
          <cell r="B2943">
            <v>40017249</v>
          </cell>
          <cell r="C2943" t="str">
            <v>CIN INTENSE DEO SPRAY CSD 8069 P36M185</v>
          </cell>
          <cell r="D2943">
            <v>0</v>
          </cell>
          <cell r="E2943">
            <v>0</v>
          </cell>
          <cell r="F2943">
            <v>0</v>
          </cell>
        </row>
        <row r="2944">
          <cell r="B2944">
            <v>40019442</v>
          </cell>
          <cell r="C2944" t="str">
            <v>CinExtremeDeoSpray150mlM195P36</v>
          </cell>
          <cell r="D2944">
            <v>0</v>
          </cell>
          <cell r="E2944">
            <v>0</v>
          </cell>
          <cell r="F2944">
            <v>0</v>
          </cell>
        </row>
        <row r="2945">
          <cell r="B2945">
            <v>40000281</v>
          </cell>
          <cell r="C2945" t="str">
            <v>CIN DEO SPRAY COL200ML DEO115G PO3 FREE</v>
          </cell>
          <cell r="D2945">
            <v>0</v>
          </cell>
          <cell r="E2945">
            <v>0</v>
          </cell>
          <cell r="F2945">
            <v>0</v>
          </cell>
        </row>
        <row r="2946">
          <cell r="B2946">
            <v>40000359</v>
          </cell>
          <cell r="C2946" t="str">
            <v>CIN DEOSPRAY MUSK200ML  DEO115G PO3 FREE</v>
          </cell>
          <cell r="D2946">
            <v>0</v>
          </cell>
          <cell r="E2946">
            <v>0</v>
          </cell>
          <cell r="F2946">
            <v>0</v>
          </cell>
        </row>
        <row r="2947">
          <cell r="B2947">
            <v>40000306</v>
          </cell>
          <cell r="C2947" t="str">
            <v>CIN DEO SPRAY UNLEASH 200ML 48PCS 150</v>
          </cell>
          <cell r="D2947">
            <v>0</v>
          </cell>
          <cell r="E2947">
            <v>0</v>
          </cell>
          <cell r="F2947">
            <v>0</v>
          </cell>
        </row>
        <row r="2948">
          <cell r="B2948">
            <v>40000354</v>
          </cell>
          <cell r="C2948" t="str">
            <v>CIN DEOSPRAY CLAS200M 75ML FREE24MRP150</v>
          </cell>
          <cell r="D2948">
            <v>0</v>
          </cell>
          <cell r="E2948">
            <v>0</v>
          </cell>
          <cell r="F2948">
            <v>0</v>
          </cell>
        </row>
        <row r="2949">
          <cell r="B2949">
            <v>40000440</v>
          </cell>
          <cell r="C2949" t="str">
            <v>CIN.SPRAY CLASS 200ML  SWISS KNIFE FREE</v>
          </cell>
          <cell r="D2949">
            <v>0</v>
          </cell>
          <cell r="E2949">
            <v>0</v>
          </cell>
          <cell r="F2949">
            <v>0</v>
          </cell>
        </row>
        <row r="2950">
          <cell r="B2950">
            <v>40000441</v>
          </cell>
          <cell r="C2950" t="str">
            <v>CIN.SPRAY CLASS 200ML BUYWIN SWISS KNIF</v>
          </cell>
          <cell r="D2950">
            <v>0</v>
          </cell>
          <cell r="E2950">
            <v>0</v>
          </cell>
          <cell r="F2950">
            <v>0</v>
          </cell>
        </row>
        <row r="2951">
          <cell r="B2951">
            <v>40018046</v>
          </cell>
          <cell r="C2951" t="str">
            <v>CinDeoStickMen40gPO3 M207P18</v>
          </cell>
          <cell r="D2951">
            <v>0</v>
          </cell>
          <cell r="E2951">
            <v>0</v>
          </cell>
          <cell r="F2951">
            <v>0</v>
          </cell>
        </row>
        <row r="2952">
          <cell r="B2952">
            <v>40025500</v>
          </cell>
          <cell r="C2952" t="str">
            <v>CinDeoStickMen40gEnergy M60 P54 SRP GT</v>
          </cell>
          <cell r="D2952">
            <v>0</v>
          </cell>
          <cell r="E2952">
            <v>0</v>
          </cell>
          <cell r="F2952">
            <v>0</v>
          </cell>
        </row>
        <row r="2953">
          <cell r="B2953">
            <v>40023504</v>
          </cell>
          <cell r="C2953" t="str">
            <v>CinDeoStickMen40gEnergy M60 P54 SRP MT</v>
          </cell>
          <cell r="D2953">
            <v>0</v>
          </cell>
          <cell r="E2953">
            <v>0</v>
          </cell>
          <cell r="F2953">
            <v>0</v>
          </cell>
        </row>
        <row r="2954">
          <cell r="B2954">
            <v>40025515</v>
          </cell>
          <cell r="C2954" t="str">
            <v>CinDeoStickMen40gIntense M60 P54 SRP GT</v>
          </cell>
          <cell r="D2954">
            <v>0</v>
          </cell>
          <cell r="E2954">
            <v>0</v>
          </cell>
          <cell r="F2954">
            <v>0</v>
          </cell>
        </row>
        <row r="2955">
          <cell r="B2955">
            <v>40023509</v>
          </cell>
          <cell r="C2955" t="str">
            <v>CinDeoStickMen40gIntense M60 P54 SRP MT</v>
          </cell>
          <cell r="D2955">
            <v>0</v>
          </cell>
          <cell r="E2955">
            <v>0</v>
          </cell>
          <cell r="F2955">
            <v>0</v>
          </cell>
        </row>
        <row r="2956">
          <cell r="B2956">
            <v>40025516</v>
          </cell>
          <cell r="C2956" t="str">
            <v>CinDeoStickMen40gRush M60 P54 SRP GT</v>
          </cell>
          <cell r="D2956">
            <v>0</v>
          </cell>
          <cell r="E2956">
            <v>0</v>
          </cell>
          <cell r="F2956">
            <v>0</v>
          </cell>
        </row>
        <row r="2957">
          <cell r="B2957">
            <v>40016278</v>
          </cell>
          <cell r="C2957" t="str">
            <v>CinDeoStickWoman40gAuraM69P54MT</v>
          </cell>
          <cell r="D2957">
            <v>0</v>
          </cell>
          <cell r="E2957">
            <v>0</v>
          </cell>
          <cell r="F2957">
            <v>0</v>
          </cell>
        </row>
        <row r="2958">
          <cell r="B2958">
            <v>40014649</v>
          </cell>
          <cell r="C2958" t="str">
            <v>CIN FUSION DEOSPRAY150ml-Womens P36M175</v>
          </cell>
          <cell r="D2958">
            <v>0</v>
          </cell>
          <cell r="E2958">
            <v>0</v>
          </cell>
          <cell r="F2958">
            <v>0</v>
          </cell>
        </row>
        <row r="2959">
          <cell r="B2959">
            <v>40014646</v>
          </cell>
          <cell r="C2959" t="str">
            <v>CIN INSPIRE DEOSPRAY150ml-Womens P36M175</v>
          </cell>
          <cell r="D2959">
            <v>0</v>
          </cell>
          <cell r="E2959">
            <v>0</v>
          </cell>
          <cell r="F2959">
            <v>0</v>
          </cell>
        </row>
        <row r="2960">
          <cell r="B2960">
            <v>40028306</v>
          </cell>
          <cell r="C2960" t="str">
            <v>SH CR RF 70G 72 TUBES  GCC - EXP</v>
          </cell>
          <cell r="D2960">
            <v>0</v>
          </cell>
          <cell r="E2960">
            <v>0</v>
          </cell>
          <cell r="F2960">
            <v>0</v>
          </cell>
        </row>
        <row r="2961">
          <cell r="B2961">
            <v>40050469</v>
          </cell>
          <cell r="C2961" t="str">
            <v>*CINORIGINALTALC300G M185.00 P24</v>
          </cell>
          <cell r="D2961">
            <v>0</v>
          </cell>
          <cell r="E2961">
            <v>0</v>
          </cell>
          <cell r="F2961">
            <v>0</v>
          </cell>
        </row>
        <row r="2962">
          <cell r="B2962">
            <v>40050470</v>
          </cell>
          <cell r="C2962" t="str">
            <v>*CIN TALC LIME 300G M185.00 P24</v>
          </cell>
          <cell r="D2962">
            <v>0</v>
          </cell>
          <cell r="E2962">
            <v>0</v>
          </cell>
          <cell r="F2962">
            <v>0</v>
          </cell>
        </row>
        <row r="2963">
          <cell r="B2963">
            <v>40011714</v>
          </cell>
          <cell r="C2963" t="str">
            <v>*Cin Cool Talc 300g Pk24 Mrp99 new</v>
          </cell>
          <cell r="D2963">
            <v>0</v>
          </cell>
          <cell r="E2963">
            <v>0</v>
          </cell>
          <cell r="F2963">
            <v>0</v>
          </cell>
        </row>
        <row r="2964">
          <cell r="B2964">
            <v>40024970</v>
          </cell>
          <cell r="C2964" t="str">
            <v>*Cin Talc Cool 300gM135P24</v>
          </cell>
          <cell r="D2964">
            <v>0</v>
          </cell>
          <cell r="E2964">
            <v>0</v>
          </cell>
          <cell r="F2964">
            <v>0</v>
          </cell>
        </row>
        <row r="2965">
          <cell r="B2965">
            <v>40037007</v>
          </cell>
          <cell r="C2965" t="str">
            <v>*Cin Talc Cool 300gM160P24</v>
          </cell>
          <cell r="D2965">
            <v>0</v>
          </cell>
          <cell r="E2965">
            <v>0</v>
          </cell>
          <cell r="F2965">
            <v>0</v>
          </cell>
        </row>
        <row r="2966">
          <cell r="B2966">
            <v>40041483</v>
          </cell>
          <cell r="C2966" t="str">
            <v>*CinCoolTalc300gM175P24</v>
          </cell>
          <cell r="D2966">
            <v>0</v>
          </cell>
          <cell r="E2966">
            <v>0</v>
          </cell>
          <cell r="F2966">
            <v>0</v>
          </cell>
        </row>
        <row r="2967">
          <cell r="B2967">
            <v>40015781</v>
          </cell>
          <cell r="C2967" t="str">
            <v>Ezee NGR 100GM P72 MRP 25</v>
          </cell>
          <cell r="D2967">
            <v>0</v>
          </cell>
          <cell r="E2967">
            <v>0</v>
          </cell>
          <cell r="F2967">
            <v>0</v>
          </cell>
        </row>
        <row r="2968">
          <cell r="B2968">
            <v>40056366</v>
          </cell>
          <cell r="C2968" t="str">
            <v>EZEE SACHET 20G (12X3X18) P648 M5 NF</v>
          </cell>
          <cell r="D2968">
            <v>0</v>
          </cell>
          <cell r="E2968">
            <v>0</v>
          </cell>
          <cell r="F2968">
            <v>0</v>
          </cell>
        </row>
        <row r="2969">
          <cell r="B2969">
            <v>40042924</v>
          </cell>
          <cell r="C2969" t="str">
            <v>Godrej Fab 1Ltr Pouch PK12 MRP99</v>
          </cell>
          <cell r="D2969">
            <v>0</v>
          </cell>
          <cell r="E2969">
            <v>0</v>
          </cell>
          <cell r="F2969">
            <v>0</v>
          </cell>
        </row>
        <row r="2970">
          <cell r="B2970">
            <v>40049964</v>
          </cell>
          <cell r="C2970" t="str">
            <v>Godrej Fab 1Ltr Pouch PK12 MRP99 NF</v>
          </cell>
          <cell r="D2970">
            <v>0</v>
          </cell>
          <cell r="E2970">
            <v>0</v>
          </cell>
          <cell r="F2970">
            <v>0</v>
          </cell>
        </row>
        <row r="2971">
          <cell r="B2971">
            <v>40063395</v>
          </cell>
          <cell r="C2971" t="str">
            <v>GODREJ FAB 825GRM POUCH M99P15 TT</v>
          </cell>
          <cell r="D2971">
            <v>0</v>
          </cell>
          <cell r="E2971">
            <v>0</v>
          </cell>
          <cell r="F2971">
            <v>0</v>
          </cell>
        </row>
        <row r="2972">
          <cell r="B2972">
            <v>40063397</v>
          </cell>
          <cell r="C2972" t="str">
            <v>GODREJ FAB 825G POUCH M99 P14 TT</v>
          </cell>
          <cell r="D2972">
            <v>0</v>
          </cell>
          <cell r="E2972">
            <v>0</v>
          </cell>
          <cell r="F2972">
            <v>0</v>
          </cell>
        </row>
        <row r="2973">
          <cell r="B2973">
            <v>40063472</v>
          </cell>
          <cell r="C2973" t="str">
            <v>GODREJ FAB 825GM POUCH M99P14</v>
          </cell>
          <cell r="D2973">
            <v>0</v>
          </cell>
          <cell r="E2973">
            <v>0</v>
          </cell>
          <cell r="F2973">
            <v>0</v>
          </cell>
        </row>
        <row r="2974">
          <cell r="B2974">
            <v>40063607</v>
          </cell>
          <cell r="C2974" t="str">
            <v>GODREJ FAB 950ML POUCH P12M99 NF V3</v>
          </cell>
          <cell r="D2974">
            <v>0</v>
          </cell>
          <cell r="E2974">
            <v>0</v>
          </cell>
          <cell r="F2974">
            <v>0</v>
          </cell>
        </row>
        <row r="2975">
          <cell r="B2975">
            <v>40064460</v>
          </cell>
          <cell r="C2975" t="str">
            <v>GODREJ FAB 825GM PCR POUCH M99P14 TT</v>
          </cell>
          <cell r="D2975">
            <v>0</v>
          </cell>
          <cell r="E2975">
            <v>0</v>
          </cell>
          <cell r="F2975">
            <v>0</v>
          </cell>
        </row>
        <row r="2976">
          <cell r="B2976">
            <v>40065260</v>
          </cell>
          <cell r="C2976" t="str">
            <v>GODREJ FAB 825G POUCH M99 P15 PAKONA TT</v>
          </cell>
          <cell r="D2976">
            <v>0</v>
          </cell>
          <cell r="E2976">
            <v>0</v>
          </cell>
          <cell r="F2976">
            <v>0</v>
          </cell>
        </row>
        <row r="2977">
          <cell r="B2977">
            <v>40065277</v>
          </cell>
          <cell r="C2977" t="str">
            <v>GODREJ FAB 825GM POUCH M99P14 PAKONA</v>
          </cell>
          <cell r="D2977">
            <v>0</v>
          </cell>
          <cell r="E2977">
            <v>0</v>
          </cell>
          <cell r="F2977">
            <v>0</v>
          </cell>
        </row>
        <row r="2978">
          <cell r="B2978">
            <v>40065779</v>
          </cell>
          <cell r="C2978" t="str">
            <v>GODREJ FAB 800GM POUCH M99P14 HR TT</v>
          </cell>
          <cell r="D2978">
            <v>0</v>
          </cell>
          <cell r="E2978">
            <v>0</v>
          </cell>
          <cell r="F2978">
            <v>0</v>
          </cell>
        </row>
        <row r="2979">
          <cell r="B2979">
            <v>40065973</v>
          </cell>
          <cell r="C2979" t="str">
            <v>GODREJ FAB 800GM POUCH M99P14 PAKONA</v>
          </cell>
          <cell r="D2979">
            <v>0</v>
          </cell>
          <cell r="E2979">
            <v>0</v>
          </cell>
          <cell r="F2979">
            <v>0</v>
          </cell>
        </row>
        <row r="2980">
          <cell r="B2980">
            <v>40060513</v>
          </cell>
          <cell r="C2980" t="str">
            <v>GODREJ FAB FRONT LOAD950ML POUCH P12M115</v>
          </cell>
          <cell r="D2980">
            <v>0</v>
          </cell>
          <cell r="E2980">
            <v>0</v>
          </cell>
          <cell r="F2980">
            <v>0</v>
          </cell>
        </row>
        <row r="2981">
          <cell r="B2981">
            <v>40062377</v>
          </cell>
          <cell r="C2981" t="str">
            <v>FAB FRONT LOAD 950ML P12 M115 GT SCH</v>
          </cell>
          <cell r="D2981">
            <v>0</v>
          </cell>
          <cell r="E2981">
            <v>0</v>
          </cell>
          <cell r="F2981">
            <v>0</v>
          </cell>
        </row>
        <row r="2982">
          <cell r="B2982">
            <v>40062483</v>
          </cell>
          <cell r="C2982" t="str">
            <v>FAB FRONT LOAD 950ML NEW AW P12 M115</v>
          </cell>
          <cell r="D2982">
            <v>0</v>
          </cell>
          <cell r="E2982">
            <v>0</v>
          </cell>
          <cell r="F2982">
            <v>0</v>
          </cell>
        </row>
        <row r="2983">
          <cell r="B2983">
            <v>40065421</v>
          </cell>
          <cell r="C2983" t="str">
            <v>GODREJ FABFRONTLOAD950MLPOUCHP12M115 LIQ</v>
          </cell>
          <cell r="D2983">
            <v>0</v>
          </cell>
          <cell r="E2983">
            <v>0</v>
          </cell>
          <cell r="F2983">
            <v>0</v>
          </cell>
        </row>
        <row r="2984">
          <cell r="B2984">
            <v>40061123</v>
          </cell>
          <cell r="C2984" t="str">
            <v>GODREJ FAB FRONT LOAD900ML POUCH P12M120</v>
          </cell>
          <cell r="D2984">
            <v>0</v>
          </cell>
          <cell r="E2984">
            <v>0</v>
          </cell>
          <cell r="F2984">
            <v>0</v>
          </cell>
        </row>
        <row r="2985">
          <cell r="B2985">
            <v>40062375</v>
          </cell>
          <cell r="C2985" t="str">
            <v>FAB FRONT LOAD 900ML NEW AW P12 M120</v>
          </cell>
          <cell r="D2985">
            <v>0</v>
          </cell>
          <cell r="E2985">
            <v>0</v>
          </cell>
          <cell r="F2985">
            <v>0</v>
          </cell>
        </row>
        <row r="2986">
          <cell r="B2986">
            <v>40063468</v>
          </cell>
          <cell r="C2986" t="str">
            <v>FAB FRONT LOAD 800GM NEW AW P12 M125</v>
          </cell>
          <cell r="D2986">
            <v>0</v>
          </cell>
          <cell r="E2986">
            <v>0</v>
          </cell>
          <cell r="F2986">
            <v>0</v>
          </cell>
        </row>
        <row r="2987">
          <cell r="B2987">
            <v>40063469</v>
          </cell>
          <cell r="C2987" t="str">
            <v>FAB FRONT LOAD 800GM NEW AW P12 M125 EC</v>
          </cell>
          <cell r="D2987">
            <v>0</v>
          </cell>
          <cell r="E2987">
            <v>0</v>
          </cell>
          <cell r="F2987">
            <v>0</v>
          </cell>
        </row>
        <row r="2988">
          <cell r="B2988">
            <v>40065423</v>
          </cell>
          <cell r="C2988" t="str">
            <v>GODREJ FABFRONTLOAD900MLPOUCHP12M120 LIQ</v>
          </cell>
          <cell r="D2988">
            <v>0</v>
          </cell>
          <cell r="E2988">
            <v>0</v>
          </cell>
          <cell r="F2988">
            <v>0</v>
          </cell>
        </row>
        <row r="2989">
          <cell r="B2989">
            <v>40063564</v>
          </cell>
          <cell r="C2989" t="str">
            <v>GODREJ FAB 2LTR POUCH P6M250 NF</v>
          </cell>
          <cell r="D2989">
            <v>0</v>
          </cell>
          <cell r="E2989">
            <v>0</v>
          </cell>
          <cell r="F2989">
            <v>0</v>
          </cell>
        </row>
        <row r="2990">
          <cell r="B2990">
            <v>40063953</v>
          </cell>
          <cell r="C2990" t="str">
            <v>GODREJ FAB 2KG MT POUCH P6M250 NF</v>
          </cell>
          <cell r="D2990">
            <v>0</v>
          </cell>
          <cell r="E2990">
            <v>0</v>
          </cell>
          <cell r="F2990">
            <v>0</v>
          </cell>
        </row>
        <row r="2991">
          <cell r="B2991">
            <v>40065407</v>
          </cell>
          <cell r="C2991" t="str">
            <v>Godrej Fab 2Ltr Pouch PK6 MRP225 –NF LIQ</v>
          </cell>
          <cell r="D2991">
            <v>0</v>
          </cell>
          <cell r="E2991">
            <v>0</v>
          </cell>
          <cell r="F2991">
            <v>0</v>
          </cell>
        </row>
        <row r="2992">
          <cell r="B2992">
            <v>40065761</v>
          </cell>
          <cell r="C2992" t="str">
            <v>GODREJ FAB 2KG SAMT POUCH P6M265 NF</v>
          </cell>
          <cell r="D2992">
            <v>0</v>
          </cell>
          <cell r="E2992">
            <v>0</v>
          </cell>
          <cell r="F2992">
            <v>0</v>
          </cell>
        </row>
        <row r="2993">
          <cell r="B2993">
            <v>40065848</v>
          </cell>
          <cell r="C2993" t="str">
            <v>GODREJ FAB 2KG MT POUCH P6M299 NF</v>
          </cell>
          <cell r="D2993">
            <v>0</v>
          </cell>
          <cell r="E2993">
            <v>0</v>
          </cell>
          <cell r="F2993">
            <v>0</v>
          </cell>
        </row>
        <row r="2994">
          <cell r="B2994">
            <v>40056875</v>
          </cell>
          <cell r="C2994" t="str">
            <v>GODREJ FAB 2LTR POUCH M225 P6 – NF GT</v>
          </cell>
          <cell r="D2994">
            <v>0</v>
          </cell>
          <cell r="E2994">
            <v>0</v>
          </cell>
          <cell r="F2994">
            <v>0</v>
          </cell>
        </row>
        <row r="2995">
          <cell r="B2995">
            <v>40062220</v>
          </cell>
          <cell r="C2995" t="str">
            <v>GODREJ FAB 2LTR POUCH M199 P6 – NF GT</v>
          </cell>
          <cell r="D2995">
            <v>0</v>
          </cell>
          <cell r="E2995">
            <v>0</v>
          </cell>
          <cell r="F2995">
            <v>0</v>
          </cell>
        </row>
        <row r="2996">
          <cell r="B2996">
            <v>40064050</v>
          </cell>
          <cell r="C2996" t="str">
            <v>GODREJ FAB 2KG GT POUCH P6M230 NF</v>
          </cell>
          <cell r="D2996">
            <v>0</v>
          </cell>
          <cell r="E2996">
            <v>0</v>
          </cell>
          <cell r="F2996">
            <v>0</v>
          </cell>
        </row>
        <row r="2997">
          <cell r="B2997">
            <v>40065422</v>
          </cell>
          <cell r="C2997" t="str">
            <v>GODREJ FAB 2LTR POUCH M199 P6 – NFGT LIQ</v>
          </cell>
          <cell r="D2997">
            <v>0</v>
          </cell>
          <cell r="E2997">
            <v>0</v>
          </cell>
          <cell r="F2997">
            <v>0</v>
          </cell>
        </row>
        <row r="2998">
          <cell r="B2998">
            <v>40050015</v>
          </cell>
          <cell r="C2998" t="str">
            <v>GODREJ FAB 3.2LTR POUCH M325 P4 MT</v>
          </cell>
          <cell r="D2998">
            <v>0</v>
          </cell>
          <cell r="E2998">
            <v>0</v>
          </cell>
          <cell r="F2998">
            <v>0</v>
          </cell>
        </row>
        <row r="2999">
          <cell r="B2999">
            <v>40059596</v>
          </cell>
          <cell r="C2999" t="str">
            <v>GODREJ FAB 3.2LTR POUCH M325P4 MT NF</v>
          </cell>
          <cell r="D2999">
            <v>0</v>
          </cell>
          <cell r="E2999">
            <v>0</v>
          </cell>
          <cell r="F2999">
            <v>0</v>
          </cell>
        </row>
        <row r="3000">
          <cell r="B3000">
            <v>40064708</v>
          </cell>
          <cell r="C3000" t="str">
            <v>GODREJ FAB 3.2LTR POUCH M325P4 MT - LIQ</v>
          </cell>
          <cell r="D3000">
            <v>0</v>
          </cell>
          <cell r="E3000">
            <v>0</v>
          </cell>
          <cell r="F3000">
            <v>0</v>
          </cell>
        </row>
        <row r="3001">
          <cell r="B3001">
            <v>40065409</v>
          </cell>
          <cell r="C3001" t="str">
            <v>GODREJ FAB 3.2LTR POUCH M325 P4 MT LIQ</v>
          </cell>
          <cell r="D3001">
            <v>0</v>
          </cell>
          <cell r="E3001">
            <v>0</v>
          </cell>
          <cell r="F3001">
            <v>0</v>
          </cell>
        </row>
        <row r="3002">
          <cell r="B3002">
            <v>40063396</v>
          </cell>
          <cell r="C3002" t="str">
            <v>GODREJ FAB 4KG POUCH  M499 P3 TT</v>
          </cell>
          <cell r="D3002">
            <v>0</v>
          </cell>
          <cell r="E3002">
            <v>0</v>
          </cell>
          <cell r="F3002">
            <v>0</v>
          </cell>
        </row>
        <row r="3003">
          <cell r="B3003">
            <v>40063118</v>
          </cell>
          <cell r="C3003" t="str">
            <v>GODREJ FAB 5LTR POUCH M550 P2 ECOM</v>
          </cell>
          <cell r="D3003">
            <v>0</v>
          </cell>
          <cell r="E3003">
            <v>0</v>
          </cell>
          <cell r="F3003">
            <v>0</v>
          </cell>
        </row>
        <row r="3004">
          <cell r="B3004">
            <v>40063567</v>
          </cell>
          <cell r="C3004" t="str">
            <v>GODREJ FAB 5LTR POUCH M599 P2 ECOM</v>
          </cell>
          <cell r="D3004">
            <v>0</v>
          </cell>
          <cell r="E3004">
            <v>0</v>
          </cell>
          <cell r="F3004">
            <v>0</v>
          </cell>
        </row>
        <row r="3005">
          <cell r="B3005">
            <v>40064051</v>
          </cell>
          <cell r="C3005" t="str">
            <v>GODREJ FAB 5KG M599 P2 ECOM</v>
          </cell>
          <cell r="D3005">
            <v>0</v>
          </cell>
          <cell r="E3005">
            <v>0</v>
          </cell>
          <cell r="F3005">
            <v>0</v>
          </cell>
        </row>
        <row r="3006">
          <cell r="B3006">
            <v>40065290</v>
          </cell>
          <cell r="C3006" t="str">
            <v>GODREJ FAB 5KG M660 P2 ECOM</v>
          </cell>
          <cell r="D3006">
            <v>0</v>
          </cell>
          <cell r="E3006">
            <v>0</v>
          </cell>
          <cell r="F3006">
            <v>0</v>
          </cell>
        </row>
        <row r="3007">
          <cell r="B3007">
            <v>40061853</v>
          </cell>
          <cell r="C3007" t="str">
            <v>GODREJ FAB 850ML POUCH M99 P12 ECOM</v>
          </cell>
          <cell r="D3007">
            <v>0</v>
          </cell>
          <cell r="E3007">
            <v>0</v>
          </cell>
          <cell r="F3007">
            <v>0</v>
          </cell>
        </row>
        <row r="3008">
          <cell r="B3008">
            <v>40034838</v>
          </cell>
          <cell r="C3008" t="str">
            <v>GENTEEL 1Kg MRP 230 PK12</v>
          </cell>
          <cell r="D3008">
            <v>0</v>
          </cell>
          <cell r="E3008">
            <v>0</v>
          </cell>
          <cell r="F3008">
            <v>0</v>
          </cell>
        </row>
        <row r="3009">
          <cell r="B3009">
            <v>40039484</v>
          </cell>
          <cell r="C3009" t="str">
            <v>GENTEEL 1Kg MRP160 PK12 N</v>
          </cell>
          <cell r="D3009">
            <v>0</v>
          </cell>
          <cell r="E3009">
            <v>0</v>
          </cell>
          <cell r="F3009">
            <v>0</v>
          </cell>
        </row>
        <row r="3010">
          <cell r="B3010">
            <v>40041426</v>
          </cell>
          <cell r="C3010" t="str">
            <v>GENTEEL 1Kg MRP280 PK12 (NF)</v>
          </cell>
          <cell r="D3010">
            <v>0</v>
          </cell>
          <cell r="E3010">
            <v>0</v>
          </cell>
          <cell r="F3010">
            <v>0</v>
          </cell>
        </row>
        <row r="3011">
          <cell r="B3011">
            <v>40039537</v>
          </cell>
          <cell r="C3011" t="str">
            <v>GENTEEL 1Kg Rfill MRP150 PK12 N</v>
          </cell>
          <cell r="D3011">
            <v>0</v>
          </cell>
          <cell r="E3011">
            <v>0</v>
          </cell>
          <cell r="F3011">
            <v>0</v>
          </cell>
        </row>
        <row r="3012">
          <cell r="B3012">
            <v>40060655</v>
          </cell>
          <cell r="C3012" t="str">
            <v>GENTEEL 1KG RFILL M150 P12 N PRF</v>
          </cell>
          <cell r="D3012">
            <v>0</v>
          </cell>
          <cell r="E3012">
            <v>0</v>
          </cell>
          <cell r="F3012">
            <v>0</v>
          </cell>
        </row>
        <row r="3013">
          <cell r="B3013">
            <v>40000707</v>
          </cell>
          <cell r="C3013" t="str">
            <v>GENTEEL LIQ DETERG 1KG  1KG PK6 MRP230</v>
          </cell>
          <cell r="D3013">
            <v>0</v>
          </cell>
          <cell r="E3013">
            <v>0</v>
          </cell>
          <cell r="F3013">
            <v>0</v>
          </cell>
        </row>
        <row r="3014">
          <cell r="B3014">
            <v>40018637</v>
          </cell>
          <cell r="C3014" t="str">
            <v>GENTEEL 1KgB1G1FreP6 MRP340 (New Design)</v>
          </cell>
          <cell r="D3014">
            <v>0</v>
          </cell>
          <cell r="E3014">
            <v>0</v>
          </cell>
          <cell r="F3014">
            <v>0</v>
          </cell>
        </row>
        <row r="3015">
          <cell r="B3015">
            <v>40023488</v>
          </cell>
          <cell r="C3015" t="str">
            <v>GENTEEL 1KgB1G1FreP6 MRP320 (New Design)</v>
          </cell>
          <cell r="D3015">
            <v>0</v>
          </cell>
          <cell r="E3015">
            <v>0</v>
          </cell>
          <cell r="F3015">
            <v>0</v>
          </cell>
        </row>
        <row r="3016">
          <cell r="B3016">
            <v>40031511</v>
          </cell>
          <cell r="C3016" t="str">
            <v>GENTEEL 1KG+1KG MRP320P6 Ecom</v>
          </cell>
          <cell r="D3016">
            <v>0</v>
          </cell>
          <cell r="E3016">
            <v>0</v>
          </cell>
          <cell r="F3016">
            <v>0</v>
          </cell>
        </row>
        <row r="3017">
          <cell r="B3017">
            <v>40032751</v>
          </cell>
          <cell r="C3017" t="str">
            <v>GENTEEL 1KgB1G1Free P6 MRP320 NF</v>
          </cell>
          <cell r="D3017">
            <v>0</v>
          </cell>
          <cell r="E3017">
            <v>0</v>
          </cell>
          <cell r="F3017">
            <v>0</v>
          </cell>
        </row>
        <row r="3018">
          <cell r="B3018">
            <v>40035112</v>
          </cell>
          <cell r="C3018" t="str">
            <v>GENTEEL 1KgB1G1Free P6 MRP330 MT</v>
          </cell>
          <cell r="D3018">
            <v>0</v>
          </cell>
          <cell r="E3018">
            <v>0</v>
          </cell>
          <cell r="F3018">
            <v>0</v>
          </cell>
        </row>
        <row r="3019">
          <cell r="B3019">
            <v>40037402</v>
          </cell>
          <cell r="C3019" t="str">
            <v>GENTEEL 1KG+1KG MRP350P6</v>
          </cell>
          <cell r="D3019">
            <v>0</v>
          </cell>
          <cell r="E3019">
            <v>0</v>
          </cell>
          <cell r="F3019">
            <v>0</v>
          </cell>
        </row>
        <row r="3020">
          <cell r="B3020">
            <v>40037612</v>
          </cell>
          <cell r="C3020" t="str">
            <v>GENTEEL 1KG+1KG MRP350P6 mt</v>
          </cell>
          <cell r="D3020">
            <v>0</v>
          </cell>
          <cell r="E3020">
            <v>0</v>
          </cell>
          <cell r="F3020">
            <v>0</v>
          </cell>
        </row>
        <row r="3021">
          <cell r="B3021">
            <v>40037752</v>
          </cell>
          <cell r="C3021" t="str">
            <v>GENTEEL 1KG+1KG MRP350P6 Ecom</v>
          </cell>
          <cell r="D3021">
            <v>0</v>
          </cell>
          <cell r="E3021">
            <v>0</v>
          </cell>
          <cell r="F3021">
            <v>0</v>
          </cell>
        </row>
        <row r="3022">
          <cell r="B3022">
            <v>40039481</v>
          </cell>
          <cell r="C3022" t="str">
            <v>GENTEEL 1KG+1KG MRP300P6</v>
          </cell>
          <cell r="D3022">
            <v>0</v>
          </cell>
          <cell r="E3022">
            <v>0</v>
          </cell>
          <cell r="F3022">
            <v>0</v>
          </cell>
        </row>
        <row r="3023">
          <cell r="B3023">
            <v>40041290</v>
          </cell>
          <cell r="C3023" t="str">
            <v>GENTEEL 1KG+1KG MRP300P6 NF</v>
          </cell>
          <cell r="D3023">
            <v>0</v>
          </cell>
          <cell r="E3023">
            <v>0</v>
          </cell>
          <cell r="F3023">
            <v>0</v>
          </cell>
        </row>
        <row r="3024">
          <cell r="B3024">
            <v>40043276</v>
          </cell>
          <cell r="C3024" t="str">
            <v>GENTEEL 1KG+1KG MRP300P6  MT</v>
          </cell>
          <cell r="D3024">
            <v>0</v>
          </cell>
          <cell r="E3024">
            <v>0</v>
          </cell>
          <cell r="F3024">
            <v>0</v>
          </cell>
        </row>
        <row r="3025">
          <cell r="B3025">
            <v>40043397</v>
          </cell>
          <cell r="C3025" t="str">
            <v>GENTEEL 1KG+1KG MRP300P6 Ecom</v>
          </cell>
          <cell r="D3025">
            <v>0</v>
          </cell>
          <cell r="E3025">
            <v>0</v>
          </cell>
          <cell r="F3025">
            <v>0</v>
          </cell>
        </row>
        <row r="3026">
          <cell r="B3026">
            <v>40013181</v>
          </cell>
          <cell r="C3026" t="str">
            <v>GENTEEL 500g PK 24 MRP99 - GT</v>
          </cell>
          <cell r="D3026">
            <v>0</v>
          </cell>
          <cell r="E3026">
            <v>0</v>
          </cell>
          <cell r="F3026">
            <v>0</v>
          </cell>
        </row>
        <row r="3027">
          <cell r="B3027">
            <v>40029605</v>
          </cell>
          <cell r="C3027" t="str">
            <v>GENTEEL 500g P24 M90</v>
          </cell>
          <cell r="D3027">
            <v>0</v>
          </cell>
          <cell r="E3027">
            <v>0</v>
          </cell>
          <cell r="F3027">
            <v>0</v>
          </cell>
        </row>
        <row r="3028">
          <cell r="B3028">
            <v>40013790</v>
          </cell>
          <cell r="C3028" t="str">
            <v>GENTEEL B1G1F 1KG P6 MRP310 (ND)MT</v>
          </cell>
          <cell r="D3028">
            <v>0</v>
          </cell>
          <cell r="E3028">
            <v>0</v>
          </cell>
          <cell r="F3028">
            <v>0</v>
          </cell>
        </row>
        <row r="3029">
          <cell r="B3029">
            <v>40019109</v>
          </cell>
          <cell r="C3029" t="str">
            <v>GENTEEL 1KgB1G1FrP6 M340 (New Design)-MT</v>
          </cell>
          <cell r="D3029">
            <v>0</v>
          </cell>
          <cell r="E3029">
            <v>0</v>
          </cell>
          <cell r="F3029">
            <v>0</v>
          </cell>
        </row>
        <row r="3030">
          <cell r="B3030">
            <v>40029035</v>
          </cell>
          <cell r="C3030" t="str">
            <v>Genteel 60g 216 sachet  MRP10</v>
          </cell>
          <cell r="D3030">
            <v>0</v>
          </cell>
          <cell r="E3030">
            <v>0</v>
          </cell>
          <cell r="F3030">
            <v>0</v>
          </cell>
        </row>
        <row r="3031">
          <cell r="B3031">
            <v>40018642</v>
          </cell>
          <cell r="C3031" t="str">
            <v>Genteel washomatic1Kg(NewDesign)P12 M220</v>
          </cell>
          <cell r="D3031">
            <v>0</v>
          </cell>
          <cell r="E3031">
            <v>0</v>
          </cell>
          <cell r="F3031">
            <v>0</v>
          </cell>
        </row>
        <row r="3032">
          <cell r="B3032">
            <v>40028671</v>
          </cell>
          <cell r="C3032" t="str">
            <v>Genteel washomatic1Kg P12 M190 N</v>
          </cell>
          <cell r="D3032">
            <v>0</v>
          </cell>
          <cell r="E3032">
            <v>0</v>
          </cell>
          <cell r="F3032">
            <v>0</v>
          </cell>
        </row>
        <row r="3033">
          <cell r="B3033">
            <v>40018368</v>
          </cell>
          <cell r="C3033" t="str">
            <v>NiveaSoftCream27ml-Rs49FRWEzee1KgJarP120</v>
          </cell>
          <cell r="D3033">
            <v>0</v>
          </cell>
          <cell r="E3033">
            <v>0</v>
          </cell>
          <cell r="F3033">
            <v>0</v>
          </cell>
        </row>
        <row r="3034">
          <cell r="B3034">
            <v>40000063</v>
          </cell>
          <cell r="C3034" t="str">
            <v>BC D.CONT HC 150G TUB MRP 90 PS 24</v>
          </cell>
          <cell r="D3034">
            <v>0</v>
          </cell>
          <cell r="E3034">
            <v>0</v>
          </cell>
          <cell r="F3034">
            <v>0</v>
          </cell>
        </row>
        <row r="3035">
          <cell r="B3035">
            <v>40000067</v>
          </cell>
          <cell r="C3035" t="str">
            <v>BC D.CONT HC 50G LT MRP 40 PS 36</v>
          </cell>
          <cell r="D3035">
            <v>0</v>
          </cell>
          <cell r="E3035">
            <v>0</v>
          </cell>
          <cell r="F3035">
            <v>0</v>
          </cell>
        </row>
        <row r="3036">
          <cell r="B3036">
            <v>40000073</v>
          </cell>
          <cell r="C3036" t="str">
            <v>BC HYBRIDZ HRGLWTLK SPHLD50G MRP 60PS 36</v>
          </cell>
          <cell r="D3036">
            <v>0</v>
          </cell>
          <cell r="E3036">
            <v>0</v>
          </cell>
          <cell r="F3036">
            <v>0</v>
          </cell>
        </row>
        <row r="3037">
          <cell r="B3037">
            <v>40000100</v>
          </cell>
          <cell r="C3037" t="str">
            <v>BC ULT.STRG HOLD GEL 60G MRP 60 PS 36</v>
          </cell>
          <cell r="D3037">
            <v>0</v>
          </cell>
          <cell r="E3037">
            <v>0</v>
          </cell>
          <cell r="F3037">
            <v>0</v>
          </cell>
        </row>
        <row r="3038">
          <cell r="B3038">
            <v>40000134</v>
          </cell>
          <cell r="C3038" t="str">
            <v>BRYL GEL WET LOOK 100G MRP 80 PS 24</v>
          </cell>
          <cell r="D3038">
            <v>0</v>
          </cell>
          <cell r="E3038">
            <v>0</v>
          </cell>
          <cell r="F3038">
            <v>0</v>
          </cell>
        </row>
        <row r="3039">
          <cell r="B3039">
            <v>40000150</v>
          </cell>
          <cell r="C3039" t="str">
            <v>BRYL.GEL WetLk25g W FlowWrap M 22 PS 120</v>
          </cell>
          <cell r="D3039">
            <v>0</v>
          </cell>
          <cell r="E3039">
            <v>0</v>
          </cell>
          <cell r="F3039">
            <v>0</v>
          </cell>
        </row>
        <row r="3040">
          <cell r="B3040">
            <v>40000112</v>
          </cell>
          <cell r="C3040" t="str">
            <v>BC WET LOOK GEL 5G MRP 4 PS 480</v>
          </cell>
          <cell r="D3040">
            <v>0</v>
          </cell>
          <cell r="E3040">
            <v>0</v>
          </cell>
          <cell r="F3040">
            <v>0</v>
          </cell>
        </row>
        <row r="3041">
          <cell r="B3041">
            <v>40000115</v>
          </cell>
          <cell r="C3041" t="str">
            <v>BC WET LOOK GEL 60G MRP 50 PS 36</v>
          </cell>
          <cell r="D3041">
            <v>0</v>
          </cell>
          <cell r="E3041">
            <v>0</v>
          </cell>
          <cell r="F3041">
            <v>0</v>
          </cell>
        </row>
        <row r="3042">
          <cell r="B3042">
            <v>40000143</v>
          </cell>
          <cell r="C3042" t="str">
            <v>BRYL PRTN PLUS HCTUB150G MRP 90 PS 24</v>
          </cell>
          <cell r="D3042">
            <v>0</v>
          </cell>
          <cell r="E3042">
            <v>0</v>
          </cell>
          <cell r="F3042">
            <v>0</v>
          </cell>
        </row>
        <row r="3043">
          <cell r="B3043">
            <v>40000144</v>
          </cell>
          <cell r="C3043" t="str">
            <v>BRYL PRTN PLUS HRCRM TUB75G MRP 55 PS 36</v>
          </cell>
          <cell r="D3043">
            <v>0</v>
          </cell>
          <cell r="E3043">
            <v>0</v>
          </cell>
          <cell r="F3043">
            <v>0</v>
          </cell>
        </row>
        <row r="3044">
          <cell r="B3044">
            <v>40040261</v>
          </cell>
          <cell r="C3044" t="str">
            <v>Tru Tone Hair Dye Stick(Bl)7.5g(M70)P144</v>
          </cell>
          <cell r="D3044">
            <v>0</v>
          </cell>
          <cell r="E3044">
            <v>0</v>
          </cell>
          <cell r="F3044">
            <v>0</v>
          </cell>
        </row>
        <row r="3045">
          <cell r="B3045">
            <v>40032299</v>
          </cell>
          <cell r="C3045" t="str">
            <v>GK COIL Green Shakti LSC12H P014 P36 M36</v>
          </cell>
          <cell r="D3045">
            <v>0</v>
          </cell>
          <cell r="E3045">
            <v>0</v>
          </cell>
          <cell r="F3045">
            <v>0</v>
          </cell>
        </row>
        <row r="3046">
          <cell r="B3046">
            <v>40002713</v>
          </cell>
          <cell r="C3046" t="str">
            <v>GK CARE MAHAJMB CL 4 FR MRP:26 PS:30</v>
          </cell>
          <cell r="D3046">
            <v>0</v>
          </cell>
          <cell r="E3046">
            <v>0</v>
          </cell>
          <cell r="F3046">
            <v>0</v>
          </cell>
        </row>
        <row r="3047">
          <cell r="B3047">
            <v>40003140</v>
          </cell>
          <cell r="C3047" t="str">
            <v>GK CARE CL 4 FR MAHAJMB  MRP:27 PS:30</v>
          </cell>
          <cell r="D3047">
            <v>0</v>
          </cell>
          <cell r="E3047">
            <v>0</v>
          </cell>
          <cell r="F3047">
            <v>0</v>
          </cell>
        </row>
        <row r="3048">
          <cell r="B3048">
            <v>40006239</v>
          </cell>
          <cell r="C3048" t="str">
            <v>GK CARE CL 4 FR MAHAJMB  MRP:28 PS:30</v>
          </cell>
          <cell r="D3048">
            <v>0</v>
          </cell>
          <cell r="E3048">
            <v>0</v>
          </cell>
          <cell r="F3048">
            <v>0</v>
          </cell>
        </row>
        <row r="3049">
          <cell r="B3049">
            <v>40018745</v>
          </cell>
          <cell r="C3049" t="str">
            <v>GK CARE CL 4 FR MAHAJMB M32 PS36NEW</v>
          </cell>
          <cell r="D3049">
            <v>0</v>
          </cell>
          <cell r="E3049">
            <v>0</v>
          </cell>
          <cell r="F3049">
            <v>0</v>
          </cell>
        </row>
        <row r="3050">
          <cell r="B3050">
            <v>40024591</v>
          </cell>
          <cell r="C3050" t="str">
            <v>GK Coil4Fr Mahjmb M33P36 fre LMD(48c:1c)</v>
          </cell>
          <cell r="D3050">
            <v>0</v>
          </cell>
          <cell r="E3050">
            <v>0</v>
          </cell>
          <cell r="F3050">
            <v>0</v>
          </cell>
        </row>
        <row r="3051">
          <cell r="B3051">
            <v>40026264</v>
          </cell>
          <cell r="C3051" t="str">
            <v>GK Coil 4FR MAHAJMB M34 P36NEW</v>
          </cell>
          <cell r="D3051">
            <v>0</v>
          </cell>
          <cell r="E3051">
            <v>0</v>
          </cell>
          <cell r="F3051">
            <v>0</v>
          </cell>
        </row>
        <row r="3052">
          <cell r="B3052">
            <v>40041226</v>
          </cell>
          <cell r="C3052" t="str">
            <v>GK Coil 4FR MAHAJMB MRP40 P36 TN</v>
          </cell>
          <cell r="D3052">
            <v>0</v>
          </cell>
          <cell r="E3052">
            <v>0</v>
          </cell>
          <cell r="F3052">
            <v>0</v>
          </cell>
        </row>
        <row r="3053">
          <cell r="B3053">
            <v>40044101</v>
          </cell>
          <cell r="C3053" t="str">
            <v>GK Coil 4FR MAHAJMB MRP41 P36 TN</v>
          </cell>
          <cell r="D3053">
            <v>0</v>
          </cell>
          <cell r="E3053">
            <v>0</v>
          </cell>
          <cell r="F3053">
            <v>0</v>
          </cell>
        </row>
        <row r="3054">
          <cell r="B3054">
            <v>40013392</v>
          </cell>
          <cell r="C3054" t="str">
            <v>GK CR MJmb4fr LavJas P36 FRW(19cs+1cs)</v>
          </cell>
          <cell r="D3054">
            <v>0</v>
          </cell>
          <cell r="E3054">
            <v>0</v>
          </cell>
          <cell r="F3054">
            <v>0</v>
          </cell>
        </row>
        <row r="3055">
          <cell r="B3055">
            <v>40013394</v>
          </cell>
          <cell r="C3055" t="str">
            <v>GK CR MhJmb4fr LavJasM32 P36(14cs+1cs)</v>
          </cell>
          <cell r="D3055">
            <v>0</v>
          </cell>
          <cell r="E3055">
            <v>0</v>
          </cell>
          <cell r="F3055">
            <v>0</v>
          </cell>
        </row>
        <row r="3056">
          <cell r="B3056">
            <v>40018743</v>
          </cell>
          <cell r="C3056" t="str">
            <v>GK CARE 4fr LavndrJas MahaJmb M32P36NEW</v>
          </cell>
          <cell r="D3056">
            <v>0</v>
          </cell>
          <cell r="E3056">
            <v>0</v>
          </cell>
          <cell r="F3056">
            <v>0</v>
          </cell>
        </row>
        <row r="3057">
          <cell r="B3057">
            <v>40032296</v>
          </cell>
          <cell r="C3057" t="str">
            <v>GK Coil 4FR LavndrJasl M35 P36</v>
          </cell>
          <cell r="D3057">
            <v>0</v>
          </cell>
          <cell r="E3057">
            <v>0</v>
          </cell>
          <cell r="F3057">
            <v>0</v>
          </cell>
        </row>
        <row r="3058">
          <cell r="B3058">
            <v>40035114</v>
          </cell>
          <cell r="C3058" t="str">
            <v>GK Coil 4F LavndrJas MRP36 P36</v>
          </cell>
          <cell r="D3058">
            <v>0</v>
          </cell>
          <cell r="E3058">
            <v>0</v>
          </cell>
          <cell r="F3058">
            <v>0</v>
          </cell>
        </row>
        <row r="3059">
          <cell r="B3059">
            <v>40037889</v>
          </cell>
          <cell r="C3059" t="str">
            <v>GK Coil 4F LavndrJas MRP39 P36</v>
          </cell>
          <cell r="D3059">
            <v>0</v>
          </cell>
          <cell r="E3059">
            <v>0</v>
          </cell>
          <cell r="F3059">
            <v>0</v>
          </cell>
        </row>
        <row r="3060">
          <cell r="B3060">
            <v>40000770</v>
          </cell>
          <cell r="C3060" t="str">
            <v>GK CARE MAHAJMB CL MRP 25 PS 60</v>
          </cell>
          <cell r="D3060">
            <v>0</v>
          </cell>
          <cell r="E3060">
            <v>0</v>
          </cell>
          <cell r="F3060">
            <v>0</v>
          </cell>
        </row>
        <row r="3061">
          <cell r="B3061">
            <v>40002714</v>
          </cell>
          <cell r="C3061" t="str">
            <v>GK CARE MAHAJMB CL MRP:26 PS:60</v>
          </cell>
          <cell r="D3061">
            <v>0</v>
          </cell>
          <cell r="E3061">
            <v>0</v>
          </cell>
          <cell r="F3061">
            <v>0</v>
          </cell>
        </row>
        <row r="3062">
          <cell r="B3062">
            <v>40026263</v>
          </cell>
          <cell r="C3062" t="str">
            <v>GK MAHAJMB COIL MRP:34 PS:60NEW</v>
          </cell>
          <cell r="D3062">
            <v>0</v>
          </cell>
          <cell r="E3062">
            <v>0</v>
          </cell>
          <cell r="F3062">
            <v>0</v>
          </cell>
        </row>
        <row r="3063">
          <cell r="B3063">
            <v>40036818</v>
          </cell>
          <cell r="C3063" t="str">
            <v>GK MAHAJMB COIL MRP37 PS60 NEW CSD</v>
          </cell>
          <cell r="D3063">
            <v>0</v>
          </cell>
          <cell r="E3063">
            <v>0</v>
          </cell>
          <cell r="F3063">
            <v>0</v>
          </cell>
        </row>
        <row r="3064">
          <cell r="B3064">
            <v>40026342</v>
          </cell>
          <cell r="C3064" t="str">
            <v>GK Green Shakti LSC12hr CS60M35 FRW(5+1)</v>
          </cell>
          <cell r="D3064">
            <v>0</v>
          </cell>
          <cell r="E3064">
            <v>0</v>
          </cell>
          <cell r="F3064">
            <v>0</v>
          </cell>
        </row>
        <row r="3065">
          <cell r="B3065">
            <v>40026359</v>
          </cell>
          <cell r="C3065" t="str">
            <v>GK Green Shakti LSC12hr CS60 M35 (5+1)</v>
          </cell>
          <cell r="D3065">
            <v>0</v>
          </cell>
          <cell r="E3065">
            <v>0</v>
          </cell>
          <cell r="F3065">
            <v>0</v>
          </cell>
        </row>
        <row r="3066">
          <cell r="B3066">
            <v>40013339</v>
          </cell>
          <cell r="C3066" t="str">
            <v>GK ADV LOW SMOKE COIL MRP:32 PS60</v>
          </cell>
          <cell r="D3066">
            <v>0</v>
          </cell>
          <cell r="E3066">
            <v>0</v>
          </cell>
          <cell r="F3066">
            <v>0</v>
          </cell>
        </row>
        <row r="3067">
          <cell r="B3067">
            <v>40026262</v>
          </cell>
          <cell r="C3067" t="str">
            <v>GK ADV LOWSMOKE COIL MRP34 PS60NEW</v>
          </cell>
          <cell r="D3067">
            <v>0</v>
          </cell>
          <cell r="E3067">
            <v>0</v>
          </cell>
          <cell r="F3067">
            <v>0</v>
          </cell>
        </row>
        <row r="3068">
          <cell r="B3068">
            <v>40032300</v>
          </cell>
          <cell r="C3068" t="str">
            <v>GK COIL CARE MINI JUMBO MRP28 PS60 NEW</v>
          </cell>
          <cell r="D3068">
            <v>0</v>
          </cell>
          <cell r="E3068">
            <v>0</v>
          </cell>
          <cell r="F3068">
            <v>0</v>
          </cell>
        </row>
        <row r="3069">
          <cell r="B3069">
            <v>40035883</v>
          </cell>
          <cell r="C3069" t="str">
            <v>JET CHANDAN 4 FR MRP35 P30-JFC Sampling</v>
          </cell>
          <cell r="D3069">
            <v>0</v>
          </cell>
          <cell r="E3069">
            <v>0</v>
          </cell>
          <cell r="F3069">
            <v>0</v>
          </cell>
        </row>
        <row r="3070">
          <cell r="B3070">
            <v>40065293</v>
          </cell>
          <cell r="C3070" t="str">
            <v>JET CHANDAN 2 FR M49 P36 HP</v>
          </cell>
          <cell r="D3070">
            <v>0</v>
          </cell>
          <cell r="E3070">
            <v>0</v>
          </cell>
          <cell r="F3070">
            <v>0</v>
          </cell>
        </row>
        <row r="3071">
          <cell r="B3071">
            <v>40024622</v>
          </cell>
          <cell r="C3071" t="str">
            <v>JET COIL JUMBO BULK 30 MRP80 P18</v>
          </cell>
          <cell r="D3071">
            <v>0</v>
          </cell>
          <cell r="E3071">
            <v>0</v>
          </cell>
          <cell r="F3071">
            <v>0</v>
          </cell>
        </row>
        <row r="3072">
          <cell r="B3072">
            <v>40028083</v>
          </cell>
          <cell r="C3072" t="str">
            <v>JET COIL JUM BULK 30 M80P18 1PC LV Free</v>
          </cell>
          <cell r="D3072">
            <v>0</v>
          </cell>
          <cell r="E3072">
            <v>0</v>
          </cell>
          <cell r="F3072">
            <v>0</v>
          </cell>
        </row>
        <row r="3073">
          <cell r="B3073">
            <v>40035125</v>
          </cell>
          <cell r="C3073" t="str">
            <v>JET COIL JUMBO BULK 30 MRP86 P18</v>
          </cell>
          <cell r="D3073">
            <v>0</v>
          </cell>
          <cell r="E3073">
            <v>0</v>
          </cell>
          <cell r="F3073">
            <v>0</v>
          </cell>
        </row>
        <row r="3074">
          <cell r="B3074">
            <v>40056485</v>
          </cell>
          <cell r="C3074" t="str">
            <v>JET COIL JUMBOBULK 12HR 30 M110 P18</v>
          </cell>
          <cell r="D3074">
            <v>0</v>
          </cell>
          <cell r="E3074">
            <v>0</v>
          </cell>
          <cell r="F3074">
            <v>0</v>
          </cell>
        </row>
        <row r="3075">
          <cell r="B3075">
            <v>40059328</v>
          </cell>
          <cell r="C3075" t="str">
            <v>JET COIL JUMBOBULK 12HR 40 M145 P12 RNF</v>
          </cell>
          <cell r="D3075">
            <v>0</v>
          </cell>
          <cell r="E3075">
            <v>0</v>
          </cell>
          <cell r="F3075">
            <v>0</v>
          </cell>
        </row>
        <row r="3076">
          <cell r="B3076">
            <v>40063619</v>
          </cell>
          <cell r="C3076" t="str">
            <v>JET COIL JUMBOBULK 12HR 40 M150 P12 RNF</v>
          </cell>
          <cell r="D3076">
            <v>0</v>
          </cell>
          <cell r="E3076">
            <v>0</v>
          </cell>
          <cell r="F3076">
            <v>0</v>
          </cell>
        </row>
        <row r="3077">
          <cell r="B3077">
            <v>40065282</v>
          </cell>
          <cell r="C3077" t="str">
            <v>JET COIL JUMBOBULK 12HR 40 M155 P12 RNF</v>
          </cell>
          <cell r="D3077">
            <v>0</v>
          </cell>
          <cell r="E3077">
            <v>0</v>
          </cell>
          <cell r="F3077">
            <v>0</v>
          </cell>
        </row>
        <row r="3078">
          <cell r="B3078">
            <v>40025004</v>
          </cell>
          <cell r="C3078" t="str">
            <v>JET COIL 10HR RED BULK 30 MRP70 PS18 NEW</v>
          </cell>
          <cell r="D3078">
            <v>0</v>
          </cell>
          <cell r="E3078">
            <v>0</v>
          </cell>
          <cell r="F3078">
            <v>0</v>
          </cell>
        </row>
        <row r="3079">
          <cell r="B3079">
            <v>40036694</v>
          </cell>
          <cell r="C3079" t="str">
            <v>JET COIL 10HR RED BULK 30 MRP80 PS18</v>
          </cell>
          <cell r="D3079">
            <v>0</v>
          </cell>
          <cell r="E3079">
            <v>0</v>
          </cell>
          <cell r="F3079">
            <v>0</v>
          </cell>
        </row>
        <row r="3080">
          <cell r="B3080">
            <v>40056494</v>
          </cell>
          <cell r="C3080" t="str">
            <v>JET COIL 10HR RED BULK 30 M100 P18</v>
          </cell>
          <cell r="D3080">
            <v>0</v>
          </cell>
          <cell r="E3080">
            <v>0</v>
          </cell>
          <cell r="F3080">
            <v>0</v>
          </cell>
        </row>
        <row r="3081">
          <cell r="B3081">
            <v>40056733</v>
          </cell>
          <cell r="C3081" t="str">
            <v>JETCOIL10HRREDBULK30M85P18_LIQ</v>
          </cell>
          <cell r="D3081">
            <v>0</v>
          </cell>
          <cell r="E3081">
            <v>0</v>
          </cell>
          <cell r="F3081">
            <v>0</v>
          </cell>
        </row>
        <row r="3082">
          <cell r="B3082">
            <v>40063620</v>
          </cell>
          <cell r="C3082" t="str">
            <v>JET COIL 10HR RED BULK 30 M105 P18 HP</v>
          </cell>
          <cell r="D3082">
            <v>0</v>
          </cell>
          <cell r="E3082">
            <v>0</v>
          </cell>
          <cell r="F3082">
            <v>0</v>
          </cell>
        </row>
        <row r="3083">
          <cell r="B3083">
            <v>40065251</v>
          </cell>
          <cell r="C3083" t="str">
            <v>JET COIL 10HR RED BULK 30 M110 P18 HP</v>
          </cell>
          <cell r="D3083">
            <v>0</v>
          </cell>
          <cell r="E3083">
            <v>0</v>
          </cell>
          <cell r="F3083">
            <v>0</v>
          </cell>
        </row>
        <row r="3084">
          <cell r="B3084">
            <v>40018042</v>
          </cell>
          <cell r="C3084" t="str">
            <v>GK Cool Gel 14G M20 P180</v>
          </cell>
          <cell r="D3084">
            <v>0</v>
          </cell>
          <cell r="E3084">
            <v>0</v>
          </cell>
          <cell r="F3084">
            <v>0</v>
          </cell>
        </row>
        <row r="3085">
          <cell r="B3085">
            <v>40033283</v>
          </cell>
          <cell r="C3085" t="str">
            <v>GK FabricRollOn 8ml M75P48 MildBlm Bheem</v>
          </cell>
          <cell r="D3085">
            <v>0</v>
          </cell>
          <cell r="E3085">
            <v>0</v>
          </cell>
          <cell r="F3085">
            <v>0</v>
          </cell>
        </row>
        <row r="3086">
          <cell r="B3086">
            <v>40035339</v>
          </cell>
          <cell r="C3086" t="str">
            <v>GK FabRollOn8ml M80P48 MildBloom Bheem</v>
          </cell>
          <cell r="D3086">
            <v>0</v>
          </cell>
          <cell r="E3086">
            <v>0</v>
          </cell>
          <cell r="F3086">
            <v>0</v>
          </cell>
        </row>
        <row r="3087">
          <cell r="B3087">
            <v>40035652</v>
          </cell>
          <cell r="C3087" t="str">
            <v>GK FabRollOn8ml M80P48 MildBlm Bheem MT</v>
          </cell>
          <cell r="D3087">
            <v>0</v>
          </cell>
          <cell r="E3087">
            <v>0</v>
          </cell>
          <cell r="F3087">
            <v>0</v>
          </cell>
        </row>
        <row r="3088">
          <cell r="B3088">
            <v>40064912</v>
          </cell>
          <cell r="C3088" t="str">
            <v>GK PERSONAL REPELLANT LOTION M3 P1200 GT</v>
          </cell>
          <cell r="D3088">
            <v>0</v>
          </cell>
          <cell r="E3088">
            <v>0</v>
          </cell>
          <cell r="F3088">
            <v>0</v>
          </cell>
        </row>
        <row r="3089">
          <cell r="B3089">
            <v>40032251</v>
          </cell>
          <cell r="C3089" t="str">
            <v>GK Mosquito Repell Crm50g 100%RM P72 M50</v>
          </cell>
          <cell r="D3089">
            <v>0</v>
          </cell>
          <cell r="E3089">
            <v>0</v>
          </cell>
          <cell r="F3089">
            <v>0</v>
          </cell>
        </row>
        <row r="3090">
          <cell r="B3090">
            <v>40032746</v>
          </cell>
          <cell r="C3090" t="str">
            <v>HIT FIK Racquet Regular M549P12 - ECOM</v>
          </cell>
          <cell r="D3090">
            <v>0</v>
          </cell>
          <cell r="E3090">
            <v>0</v>
          </cell>
          <cell r="F3090">
            <v>0</v>
          </cell>
        </row>
        <row r="3091">
          <cell r="B3091">
            <v>40035007</v>
          </cell>
          <cell r="C3091" t="str">
            <v>HIT FIK Racquet Regular M565 P12 Indian</v>
          </cell>
          <cell r="D3091">
            <v>0</v>
          </cell>
          <cell r="E3091">
            <v>0</v>
          </cell>
          <cell r="F3091">
            <v>0</v>
          </cell>
        </row>
        <row r="3092">
          <cell r="B3092">
            <v>40000925</v>
          </cell>
          <cell r="C3092" t="str">
            <v>HIT CHALK MRP 15 PS 360</v>
          </cell>
          <cell r="D3092">
            <v>0</v>
          </cell>
          <cell r="E3092">
            <v>0</v>
          </cell>
          <cell r="F3092">
            <v>0</v>
          </cell>
        </row>
        <row r="3093">
          <cell r="B3093">
            <v>40028028</v>
          </cell>
          <cell r="C3093" t="str">
            <v>GK Flash refill Po2 M140 P120</v>
          </cell>
          <cell r="D3093">
            <v>0</v>
          </cell>
          <cell r="E3093">
            <v>0</v>
          </cell>
          <cell r="F3093">
            <v>0</v>
          </cell>
        </row>
        <row r="3094">
          <cell r="B3094">
            <v>40035159</v>
          </cell>
          <cell r="C3094" t="str">
            <v>GK Flash refill Po2 M144 P120 GT</v>
          </cell>
          <cell r="D3094">
            <v>0</v>
          </cell>
          <cell r="E3094">
            <v>0</v>
          </cell>
          <cell r="F3094">
            <v>0</v>
          </cell>
        </row>
        <row r="3095">
          <cell r="B3095">
            <v>40035911</v>
          </cell>
          <cell r="C3095" t="str">
            <v>GK Flash refill Po2 M145 P120-NL</v>
          </cell>
          <cell r="D3095">
            <v>0</v>
          </cell>
          <cell r="E3095">
            <v>0</v>
          </cell>
          <cell r="F3095">
            <v>0</v>
          </cell>
        </row>
        <row r="3096">
          <cell r="B3096">
            <v>40041266</v>
          </cell>
          <cell r="C3096" t="str">
            <v>GK Flash refill Po2 M150 P120 GT - MT</v>
          </cell>
          <cell r="D3096">
            <v>0</v>
          </cell>
          <cell r="E3096">
            <v>0</v>
          </cell>
          <cell r="F3096">
            <v>0</v>
          </cell>
        </row>
        <row r="3097">
          <cell r="B3097">
            <v>40050373</v>
          </cell>
          <cell r="C3097" t="str">
            <v>GK FLASH REFILL PO2 M165.00 P120 GTMTRNF</v>
          </cell>
          <cell r="D3097">
            <v>0</v>
          </cell>
          <cell r="E3097">
            <v>0</v>
          </cell>
          <cell r="F3097">
            <v>0</v>
          </cell>
        </row>
        <row r="3098">
          <cell r="B3098">
            <v>40060353</v>
          </cell>
          <cell r="C3098" t="str">
            <v>GK FLASH REFILL PO2M165 P120 GTMTRNF PCR</v>
          </cell>
          <cell r="D3098">
            <v>0</v>
          </cell>
          <cell r="E3098">
            <v>0</v>
          </cell>
          <cell r="F3098">
            <v>0</v>
          </cell>
        </row>
        <row r="3099">
          <cell r="B3099">
            <v>40042681</v>
          </cell>
          <cell r="C3099" t="str">
            <v>GK Flash refill Po2 M135 P120GT</v>
          </cell>
          <cell r="D3099">
            <v>0</v>
          </cell>
          <cell r="E3099">
            <v>0</v>
          </cell>
          <cell r="F3099">
            <v>0</v>
          </cell>
        </row>
        <row r="3100">
          <cell r="B3100">
            <v>40050397</v>
          </cell>
          <cell r="C3100" t="str">
            <v>GK FLASH REFILL PO2 M155.00 P120 GT RNF</v>
          </cell>
          <cell r="D3100">
            <v>0</v>
          </cell>
          <cell r="E3100">
            <v>0</v>
          </cell>
          <cell r="F3100">
            <v>0</v>
          </cell>
        </row>
        <row r="3101">
          <cell r="B3101">
            <v>40038080</v>
          </cell>
          <cell r="C3101" t="str">
            <v>GK Flash refill Po2 M150 P120 Ecom-NL</v>
          </cell>
          <cell r="D3101">
            <v>0</v>
          </cell>
          <cell r="E3101">
            <v>0</v>
          </cell>
          <cell r="F3101">
            <v>0</v>
          </cell>
        </row>
        <row r="3102">
          <cell r="B3102">
            <v>40050426</v>
          </cell>
          <cell r="C3102" t="str">
            <v>GK FLASH REFILL PO4 M325.00 P60 ECOM RNF</v>
          </cell>
          <cell r="D3102">
            <v>0</v>
          </cell>
          <cell r="E3102">
            <v>0</v>
          </cell>
          <cell r="F3102">
            <v>0</v>
          </cell>
        </row>
        <row r="3103">
          <cell r="B3103">
            <v>40056730</v>
          </cell>
          <cell r="C3103" t="str">
            <v>GKFLASHREFILLPO4M310P60ECOM_LIQ</v>
          </cell>
          <cell r="D3103">
            <v>0</v>
          </cell>
          <cell r="E3103">
            <v>0</v>
          </cell>
          <cell r="F3103">
            <v>0</v>
          </cell>
        </row>
        <row r="3104">
          <cell r="B3104">
            <v>40057694</v>
          </cell>
          <cell r="C3104" t="str">
            <v>GK FLASH REFILL PO4 M325 P60 ECOMRNF CAF</v>
          </cell>
          <cell r="D3104">
            <v>0</v>
          </cell>
          <cell r="E3104">
            <v>0</v>
          </cell>
          <cell r="F3104">
            <v>0</v>
          </cell>
        </row>
        <row r="3105">
          <cell r="B3105">
            <v>40058714</v>
          </cell>
          <cell r="C3105" t="str">
            <v>GK FLASH REFILL PO4 M325P60EC RNF CAF RS</v>
          </cell>
          <cell r="D3105">
            <v>0</v>
          </cell>
          <cell r="E3105">
            <v>0</v>
          </cell>
          <cell r="F3105">
            <v>0</v>
          </cell>
        </row>
        <row r="3106">
          <cell r="B3106">
            <v>40035029</v>
          </cell>
          <cell r="C3106" t="str">
            <v>GK Flash lav refill 45ml M77 P120</v>
          </cell>
          <cell r="D3106">
            <v>0</v>
          </cell>
          <cell r="E3106">
            <v>0</v>
          </cell>
          <cell r="F3106">
            <v>0</v>
          </cell>
        </row>
        <row r="3107">
          <cell r="B3107">
            <v>40027296</v>
          </cell>
          <cell r="C3107" t="str">
            <v>GK PA  Lav refill Po3 M216 P80 ecom</v>
          </cell>
          <cell r="D3107">
            <v>0</v>
          </cell>
          <cell r="E3107">
            <v>0</v>
          </cell>
          <cell r="F3107">
            <v>0</v>
          </cell>
        </row>
        <row r="3108">
          <cell r="B3108">
            <v>40056534</v>
          </cell>
          <cell r="C3108" t="str">
            <v>GK PA+ PO6 M495 P40 ECOM TFT HP</v>
          </cell>
          <cell r="D3108">
            <v>0</v>
          </cell>
          <cell r="E3108">
            <v>0</v>
          </cell>
          <cell r="F3108">
            <v>0</v>
          </cell>
        </row>
        <row r="3109">
          <cell r="B3109">
            <v>40017663</v>
          </cell>
          <cell r="C3109" t="str">
            <v>GK ACTIV+ SHRINK Neem 45N MRP69 PS120</v>
          </cell>
          <cell r="D3109">
            <v>0</v>
          </cell>
          <cell r="E3109">
            <v>0</v>
          </cell>
          <cell r="F3109">
            <v>0</v>
          </cell>
        </row>
        <row r="3110">
          <cell r="B3110">
            <v>40000743</v>
          </cell>
          <cell r="C3110" t="str">
            <v>GK ACTIV  CARTRIDGE 45N MRP 54 PS 120</v>
          </cell>
          <cell r="D3110">
            <v>0</v>
          </cell>
          <cell r="E3110">
            <v>0</v>
          </cell>
          <cell r="F3110">
            <v>0</v>
          </cell>
        </row>
        <row r="3111">
          <cell r="B3111">
            <v>40018337</v>
          </cell>
          <cell r="C3111" t="str">
            <v>GK ACTIV+ SHRINK WRAP 45N MRP72 PS120</v>
          </cell>
          <cell r="D3111">
            <v>0</v>
          </cell>
          <cell r="E3111">
            <v>0</v>
          </cell>
          <cell r="F3111">
            <v>0</v>
          </cell>
        </row>
        <row r="3112">
          <cell r="B3112">
            <v>40023947</v>
          </cell>
          <cell r="C3112" t="str">
            <v>GK PWRACTV+ 45ml REFILL MRP72 PS120NEW</v>
          </cell>
          <cell r="D3112">
            <v>0</v>
          </cell>
          <cell r="E3112">
            <v>0</v>
          </cell>
          <cell r="F3112">
            <v>0</v>
          </cell>
        </row>
        <row r="3113">
          <cell r="B3113">
            <v>40029153</v>
          </cell>
          <cell r="C3113" t="str">
            <v>GK PWRACTV+45ml REFILL MRP72 PS120 ED</v>
          </cell>
          <cell r="D3113">
            <v>0</v>
          </cell>
          <cell r="E3113">
            <v>0</v>
          </cell>
          <cell r="F3113">
            <v>0</v>
          </cell>
        </row>
        <row r="3114">
          <cell r="B3114">
            <v>40050591</v>
          </cell>
          <cell r="C3114" t="str">
            <v>GK REFACTIV+ REFILL M85.00 P240 RNF</v>
          </cell>
          <cell r="D3114">
            <v>0</v>
          </cell>
          <cell r="E3114">
            <v>0</v>
          </cell>
          <cell r="F3114">
            <v>0</v>
          </cell>
        </row>
        <row r="3115">
          <cell r="B3115">
            <v>40025386</v>
          </cell>
          <cell r="C3115" t="str">
            <v>GK PWR ACT TWIN PACK M134 Ps120</v>
          </cell>
          <cell r="D3115">
            <v>0</v>
          </cell>
          <cell r="E3115">
            <v>0</v>
          </cell>
          <cell r="F3115">
            <v>0</v>
          </cell>
        </row>
        <row r="3116">
          <cell r="B3116">
            <v>40050559</v>
          </cell>
          <cell r="C3116" t="str">
            <v>GK PW ACTIV+ PO2 REFILL M165.00 P120 RNF</v>
          </cell>
          <cell r="D3116">
            <v>0</v>
          </cell>
          <cell r="E3116">
            <v>0</v>
          </cell>
          <cell r="F3116">
            <v>0</v>
          </cell>
        </row>
        <row r="3117">
          <cell r="B3117">
            <v>40003039</v>
          </cell>
          <cell r="C3117" t="str">
            <v>GK SIL REF 45N MRP 49 PS 120</v>
          </cell>
          <cell r="D3117">
            <v>0</v>
          </cell>
          <cell r="E3117">
            <v>0</v>
          </cell>
          <cell r="F3117">
            <v>0</v>
          </cell>
        </row>
        <row r="3118">
          <cell r="B3118">
            <v>40013327</v>
          </cell>
          <cell r="C3118" t="str">
            <v>GK SIL REF 45N MRP 63 PS 120</v>
          </cell>
          <cell r="D3118">
            <v>0</v>
          </cell>
          <cell r="E3118">
            <v>0</v>
          </cell>
          <cell r="F3118">
            <v>0</v>
          </cell>
        </row>
        <row r="3119">
          <cell r="B3119">
            <v>40019219</v>
          </cell>
          <cell r="C3119" t="str">
            <v>GK SIL REF 45N MRP 63 PS120 NEW AW</v>
          </cell>
          <cell r="D3119">
            <v>0</v>
          </cell>
          <cell r="E3119">
            <v>0</v>
          </cell>
          <cell r="F3119">
            <v>0</v>
          </cell>
        </row>
        <row r="3120">
          <cell r="B3120">
            <v>40003040</v>
          </cell>
          <cell r="C3120" t="str">
            <v>GK SIL REF 60N MRP 60 PS 120</v>
          </cell>
          <cell r="D3120">
            <v>0</v>
          </cell>
          <cell r="E3120">
            <v>0</v>
          </cell>
          <cell r="F3120">
            <v>0</v>
          </cell>
        </row>
        <row r="3121">
          <cell r="B3121">
            <v>40012379</v>
          </cell>
          <cell r="C3121" t="str">
            <v>GK SIL REF 60N MRP 72 PS 120</v>
          </cell>
          <cell r="D3121">
            <v>0</v>
          </cell>
          <cell r="E3121">
            <v>0</v>
          </cell>
          <cell r="F3121">
            <v>0</v>
          </cell>
        </row>
        <row r="3122">
          <cell r="B3122">
            <v>40013349</v>
          </cell>
          <cell r="C3122" t="str">
            <v>GK SIL REF 45N MRP 63 PS 120-MT</v>
          </cell>
          <cell r="D3122">
            <v>0</v>
          </cell>
          <cell r="E3122">
            <v>0</v>
          </cell>
          <cell r="F3122">
            <v>0</v>
          </cell>
        </row>
        <row r="3123">
          <cell r="B3123">
            <v>40000759</v>
          </cell>
          <cell r="C3123" t="str">
            <v>GK ADV MosSPR225mlRS26OFF MRP 49PS 60</v>
          </cell>
          <cell r="D3123">
            <v>0</v>
          </cell>
          <cell r="E3123">
            <v>0</v>
          </cell>
          <cell r="F3123">
            <v>0</v>
          </cell>
        </row>
        <row r="3124">
          <cell r="B3124">
            <v>40016334</v>
          </cell>
          <cell r="C3124" t="str">
            <v>HIT CIK 125ML M59 P90 SnS cap NF GT</v>
          </cell>
          <cell r="D3124">
            <v>0</v>
          </cell>
          <cell r="E3124">
            <v>0</v>
          </cell>
          <cell r="F3124">
            <v>0</v>
          </cell>
        </row>
        <row r="3125">
          <cell r="B3125">
            <v>40024425</v>
          </cell>
          <cell r="C3125" t="str">
            <v>HIT CIK 125ML M65 P90 SnS cap NF GT</v>
          </cell>
          <cell r="D3125">
            <v>0</v>
          </cell>
          <cell r="E3125">
            <v>0</v>
          </cell>
          <cell r="F3125">
            <v>0</v>
          </cell>
        </row>
        <row r="3126">
          <cell r="B3126">
            <v>40027280</v>
          </cell>
          <cell r="C3126" t="str">
            <v>HIT CIK 125ML M65 P90 With Hanger</v>
          </cell>
          <cell r="D3126">
            <v>0</v>
          </cell>
          <cell r="E3126">
            <v>0</v>
          </cell>
          <cell r="F3126">
            <v>0</v>
          </cell>
        </row>
        <row r="3127">
          <cell r="B3127">
            <v>40034354</v>
          </cell>
          <cell r="C3127" t="str">
            <v>HIT CIK 125ML MRP75 P90</v>
          </cell>
          <cell r="D3127">
            <v>0</v>
          </cell>
          <cell r="E3127">
            <v>0</v>
          </cell>
          <cell r="F3127">
            <v>0</v>
          </cell>
        </row>
        <row r="3128">
          <cell r="B3128">
            <v>40065369</v>
          </cell>
          <cell r="C3128" t="str">
            <v>HIT CIK 125ML MRP75 P90 &lt;6M LIQ</v>
          </cell>
          <cell r="D3128">
            <v>0</v>
          </cell>
          <cell r="E3128">
            <v>0</v>
          </cell>
          <cell r="F3128">
            <v>0</v>
          </cell>
        </row>
        <row r="3129">
          <cell r="B3129">
            <v>40018282</v>
          </cell>
          <cell r="C3129" t="str">
            <v>HIT CIK 200ML M92 P60 NC GT NF</v>
          </cell>
          <cell r="D3129">
            <v>0</v>
          </cell>
          <cell r="E3129">
            <v>0</v>
          </cell>
          <cell r="F3129">
            <v>0</v>
          </cell>
        </row>
        <row r="3130">
          <cell r="B3130">
            <v>40032502</v>
          </cell>
          <cell r="C3130" t="str">
            <v>HIT CIK 200ML M101 P60</v>
          </cell>
          <cell r="D3130">
            <v>0</v>
          </cell>
          <cell r="E3130">
            <v>0</v>
          </cell>
          <cell r="F3130">
            <v>0</v>
          </cell>
        </row>
        <row r="3131">
          <cell r="B3131">
            <v>40018237</v>
          </cell>
          <cell r="C3131" t="str">
            <v>HIT CIK 400ML M172 P36-NC GT NF</v>
          </cell>
          <cell r="D3131">
            <v>0</v>
          </cell>
          <cell r="E3131">
            <v>0</v>
          </cell>
          <cell r="F3131">
            <v>0</v>
          </cell>
        </row>
        <row r="3132">
          <cell r="B3132">
            <v>40028889</v>
          </cell>
          <cell r="C3132" t="str">
            <v>HIT CIK 400ML SLIM M217 P36 ECOM</v>
          </cell>
          <cell r="D3132">
            <v>0</v>
          </cell>
          <cell r="E3132">
            <v>0</v>
          </cell>
          <cell r="F3132">
            <v>0</v>
          </cell>
        </row>
        <row r="3133">
          <cell r="B3133">
            <v>40032879</v>
          </cell>
          <cell r="C3133" t="str">
            <v>HIT CIK 400ML SLIM M189 P36</v>
          </cell>
          <cell r="D3133">
            <v>0</v>
          </cell>
          <cell r="E3133">
            <v>0</v>
          </cell>
          <cell r="F3133">
            <v>0</v>
          </cell>
        </row>
        <row r="3134">
          <cell r="B3134">
            <v>40034410</v>
          </cell>
          <cell r="C3134" t="str">
            <v>HIT CIK 400ML M205 P36</v>
          </cell>
          <cell r="D3134">
            <v>0</v>
          </cell>
          <cell r="E3134">
            <v>0</v>
          </cell>
          <cell r="F3134">
            <v>0</v>
          </cell>
        </row>
        <row r="3135">
          <cell r="B3135">
            <v>40010778</v>
          </cell>
          <cell r="C3135" t="str">
            <v>HIT FIK 125ML M58 P90</v>
          </cell>
          <cell r="D3135">
            <v>0</v>
          </cell>
          <cell r="E3135">
            <v>0</v>
          </cell>
          <cell r="F3135">
            <v>0</v>
          </cell>
        </row>
        <row r="3136">
          <cell r="B3136">
            <v>40018234</v>
          </cell>
          <cell r="C3136" t="str">
            <v>HIT FIK 125ML M60 P90</v>
          </cell>
          <cell r="D3136">
            <v>0</v>
          </cell>
          <cell r="E3136">
            <v>0</v>
          </cell>
          <cell r="F3136">
            <v>0</v>
          </cell>
        </row>
        <row r="3137">
          <cell r="B3137">
            <v>40032868</v>
          </cell>
          <cell r="C3137" t="str">
            <v>HIT FIK 125ML M67 P90</v>
          </cell>
          <cell r="D3137">
            <v>0</v>
          </cell>
          <cell r="E3137">
            <v>0</v>
          </cell>
          <cell r="F3137">
            <v>0</v>
          </cell>
        </row>
        <row r="3138">
          <cell r="B3138">
            <v>40034353</v>
          </cell>
          <cell r="C3138" t="str">
            <v>HIT FIK 125ML MRP70 P90</v>
          </cell>
          <cell r="D3138">
            <v>0</v>
          </cell>
          <cell r="E3138">
            <v>0</v>
          </cell>
          <cell r="F3138">
            <v>0</v>
          </cell>
        </row>
        <row r="3139">
          <cell r="B3139">
            <v>40012668</v>
          </cell>
          <cell r="C3139" t="str">
            <v>HIT FIK 200ML M89 P60</v>
          </cell>
          <cell r="D3139">
            <v>0</v>
          </cell>
          <cell r="E3139">
            <v>0</v>
          </cell>
          <cell r="F3139">
            <v>0</v>
          </cell>
        </row>
        <row r="3140">
          <cell r="B3140">
            <v>40018302</v>
          </cell>
          <cell r="C3140" t="str">
            <v>HIT FIK 200ML M92 P60</v>
          </cell>
          <cell r="D3140">
            <v>0</v>
          </cell>
          <cell r="E3140">
            <v>0</v>
          </cell>
          <cell r="F3140">
            <v>0</v>
          </cell>
        </row>
        <row r="3141">
          <cell r="B3141">
            <v>40034125</v>
          </cell>
          <cell r="C3141" t="str">
            <v>HIT FIK 200ML M105 P60</v>
          </cell>
          <cell r="D3141">
            <v>0</v>
          </cell>
          <cell r="E3141">
            <v>0</v>
          </cell>
          <cell r="F3141">
            <v>0</v>
          </cell>
        </row>
        <row r="3142">
          <cell r="B3142">
            <v>40012665</v>
          </cell>
          <cell r="C3142" t="str">
            <v>HIT FIK 400ML M165 P36</v>
          </cell>
          <cell r="D3142">
            <v>0</v>
          </cell>
          <cell r="E3142">
            <v>0</v>
          </cell>
          <cell r="F3142">
            <v>0</v>
          </cell>
        </row>
        <row r="3143">
          <cell r="B3143">
            <v>40028897</v>
          </cell>
          <cell r="C3143" t="str">
            <v>HIT FIK 400ML Slim M217 P36 ECOM</v>
          </cell>
          <cell r="D3143">
            <v>0</v>
          </cell>
          <cell r="E3143">
            <v>0</v>
          </cell>
          <cell r="F3143">
            <v>0</v>
          </cell>
        </row>
        <row r="3144">
          <cell r="B3144">
            <v>40034417</v>
          </cell>
          <cell r="C3144" t="str">
            <v>HIT FIK 400ML MRP199 P36</v>
          </cell>
          <cell r="D3144">
            <v>0</v>
          </cell>
          <cell r="E3144">
            <v>0</v>
          </cell>
          <cell r="F3144">
            <v>0</v>
          </cell>
        </row>
        <row r="3145">
          <cell r="B3145">
            <v>40018287</v>
          </cell>
          <cell r="C3145" t="str">
            <v>HIT FIK Lime F 200ML  M92 P60</v>
          </cell>
          <cell r="D3145">
            <v>0</v>
          </cell>
          <cell r="E3145">
            <v>0</v>
          </cell>
          <cell r="F3145">
            <v>0</v>
          </cell>
        </row>
        <row r="3146">
          <cell r="B3146">
            <v>40034994</v>
          </cell>
          <cell r="C3146" t="str">
            <v>HIT FIK Lime 200ML M115 P60</v>
          </cell>
          <cell r="D3146">
            <v>0</v>
          </cell>
          <cell r="E3146">
            <v>0</v>
          </cell>
          <cell r="F3146">
            <v>0</v>
          </cell>
        </row>
        <row r="3147">
          <cell r="B3147">
            <v>40018292</v>
          </cell>
          <cell r="C3147" t="str">
            <v>HIT FIK Lime F 400ML M172 P36</v>
          </cell>
          <cell r="D3147">
            <v>0</v>
          </cell>
          <cell r="E3147">
            <v>0</v>
          </cell>
          <cell r="F3147">
            <v>0</v>
          </cell>
        </row>
        <row r="3148">
          <cell r="B3148">
            <v>40019809</v>
          </cell>
          <cell r="C3148" t="str">
            <v>HIT FIK Lime F 400ML M176 P36</v>
          </cell>
          <cell r="D3148">
            <v>0</v>
          </cell>
          <cell r="E3148">
            <v>0</v>
          </cell>
          <cell r="F3148">
            <v>0</v>
          </cell>
        </row>
        <row r="3149">
          <cell r="B3149">
            <v>40032500</v>
          </cell>
          <cell r="C3149" t="str">
            <v>HIT FIK Lime 400ML Slim M185 P36</v>
          </cell>
          <cell r="D3149">
            <v>0</v>
          </cell>
          <cell r="E3149">
            <v>0</v>
          </cell>
          <cell r="F3149">
            <v>0</v>
          </cell>
        </row>
        <row r="3150">
          <cell r="B3150">
            <v>40018291</v>
          </cell>
          <cell r="C3150" t="str">
            <v>HIT FIK Lime F 400ML M172 P36 MT</v>
          </cell>
          <cell r="D3150">
            <v>0</v>
          </cell>
          <cell r="E3150">
            <v>0</v>
          </cell>
          <cell r="F3150">
            <v>0</v>
          </cell>
        </row>
        <row r="3151">
          <cell r="B3151">
            <v>40028884</v>
          </cell>
          <cell r="C3151" t="str">
            <v>JET JUMBO JAR 200 MRP325 PS18</v>
          </cell>
          <cell r="D3151">
            <v>0</v>
          </cell>
          <cell r="E3151">
            <v>0</v>
          </cell>
          <cell r="F3151">
            <v>0</v>
          </cell>
        </row>
        <row r="3152">
          <cell r="B3152">
            <v>40031982</v>
          </cell>
          <cell r="C3152" t="str">
            <v>GK Flash Combi new pack M89 P48</v>
          </cell>
          <cell r="D3152">
            <v>0</v>
          </cell>
          <cell r="E3152">
            <v>0</v>
          </cell>
          <cell r="F3152">
            <v>0</v>
          </cell>
        </row>
        <row r="3153">
          <cell r="B3153">
            <v>40032815</v>
          </cell>
          <cell r="C3153" t="str">
            <v>GK Flash Combi pack M79 P48 offer pack</v>
          </cell>
          <cell r="D3153">
            <v>0</v>
          </cell>
          <cell r="E3153">
            <v>0</v>
          </cell>
          <cell r="F3153">
            <v>0</v>
          </cell>
        </row>
        <row r="3154">
          <cell r="B3154">
            <v>40035035</v>
          </cell>
          <cell r="C3154" t="str">
            <v>GK Flash lav combi M95 P48</v>
          </cell>
          <cell r="D3154">
            <v>0</v>
          </cell>
          <cell r="E3154">
            <v>0</v>
          </cell>
          <cell r="F3154">
            <v>0</v>
          </cell>
        </row>
        <row r="3155">
          <cell r="B3155">
            <v>40041283</v>
          </cell>
          <cell r="C3155" t="str">
            <v>GK Flash lav combi M100 P60 NS</v>
          </cell>
          <cell r="D3155">
            <v>0</v>
          </cell>
          <cell r="E3155">
            <v>0</v>
          </cell>
          <cell r="F3155">
            <v>0</v>
          </cell>
        </row>
        <row r="3156">
          <cell r="B3156">
            <v>40050610</v>
          </cell>
          <cell r="C3156" t="str">
            <v>GK FLASH LAV COMBI M105.00 P60_RNF</v>
          </cell>
          <cell r="D3156">
            <v>0</v>
          </cell>
          <cell r="E3156">
            <v>0</v>
          </cell>
          <cell r="F3156">
            <v>0</v>
          </cell>
        </row>
        <row r="3157">
          <cell r="B3157">
            <v>40060089</v>
          </cell>
          <cell r="C3157" t="str">
            <v>GK FLASHLAV COMBI M105 P60 RNF PCB</v>
          </cell>
          <cell r="D3157">
            <v>0</v>
          </cell>
          <cell r="E3157">
            <v>0</v>
          </cell>
          <cell r="F3157">
            <v>0</v>
          </cell>
        </row>
        <row r="3158">
          <cell r="B3158">
            <v>40060367</v>
          </cell>
          <cell r="C3158" t="str">
            <v>GK FLASH LAV COMBI M105P60_RNF PCR</v>
          </cell>
          <cell r="D3158">
            <v>0</v>
          </cell>
          <cell r="E3158">
            <v>0</v>
          </cell>
          <cell r="F3158">
            <v>0</v>
          </cell>
        </row>
        <row r="3159">
          <cell r="B3159">
            <v>40063597</v>
          </cell>
          <cell r="C3159" t="str">
            <v>GK FLASH LAV COMBI M110 P60 RNF PCB</v>
          </cell>
          <cell r="D3159">
            <v>0</v>
          </cell>
          <cell r="E3159">
            <v>0</v>
          </cell>
          <cell r="F3159">
            <v>0</v>
          </cell>
        </row>
        <row r="3160">
          <cell r="B3160">
            <v>40065344</v>
          </cell>
          <cell r="C3160" t="str">
            <v>GK FLASH LAV COMBI M115 P60 RNF PCB</v>
          </cell>
          <cell r="D3160">
            <v>0</v>
          </cell>
          <cell r="E3160">
            <v>0</v>
          </cell>
          <cell r="F3160">
            <v>0</v>
          </cell>
        </row>
        <row r="3161">
          <cell r="B3161">
            <v>40006591</v>
          </cell>
          <cell r="C3161" t="str">
            <v>GK ACTIVE+ COMBI PACK  MRP 72 PS 48</v>
          </cell>
          <cell r="D3161">
            <v>0</v>
          </cell>
          <cell r="E3161">
            <v>0</v>
          </cell>
          <cell r="F3161">
            <v>0</v>
          </cell>
        </row>
        <row r="3162">
          <cell r="B3162">
            <v>40020298</v>
          </cell>
          <cell r="C3162" t="str">
            <v>GK ACTIV  2Refills LMD pk MRP138 PS60</v>
          </cell>
          <cell r="D3162">
            <v>0</v>
          </cell>
          <cell r="E3162">
            <v>0</v>
          </cell>
          <cell r="F3162">
            <v>0</v>
          </cell>
        </row>
        <row r="3163">
          <cell r="B3163">
            <v>40018406</v>
          </cell>
          <cell r="C3163" t="str">
            <v>GK ACTIVE+combiFRW(GK Care4fr)M72P48</v>
          </cell>
          <cell r="D3163">
            <v>0</v>
          </cell>
          <cell r="E3163">
            <v>0</v>
          </cell>
          <cell r="F3163">
            <v>0</v>
          </cell>
        </row>
        <row r="3164">
          <cell r="B3164">
            <v>40019310</v>
          </cell>
          <cell r="C3164" t="str">
            <v>GK ACTIVE+ COMBI PACK  MRP78 PS 48NEW-MT</v>
          </cell>
          <cell r="D3164">
            <v>0</v>
          </cell>
          <cell r="E3164">
            <v>0</v>
          </cell>
          <cell r="F3164">
            <v>0</v>
          </cell>
        </row>
        <row r="3165">
          <cell r="B3165">
            <v>40018789</v>
          </cell>
          <cell r="C3165" t="str">
            <v>GK XPRESS COMBIPACK MRP99 PS48- NEW</v>
          </cell>
          <cell r="D3165">
            <v>0</v>
          </cell>
          <cell r="E3165">
            <v>0</v>
          </cell>
          <cell r="F3165">
            <v>0</v>
          </cell>
        </row>
        <row r="3166">
          <cell r="B3166">
            <v>40019307</v>
          </cell>
          <cell r="C3166" t="str">
            <v>GK XPRESS COMBIPACK MRP99 PS48- NEW-MT</v>
          </cell>
          <cell r="D3166">
            <v>0</v>
          </cell>
          <cell r="E3166">
            <v>0</v>
          </cell>
          <cell r="F3166">
            <v>0</v>
          </cell>
        </row>
        <row r="3167">
          <cell r="B3167">
            <v>40000739</v>
          </cell>
          <cell r="C3167" t="str">
            <v>GK 30N COMBIPACK MRP 49 PS 120</v>
          </cell>
          <cell r="D3167">
            <v>0</v>
          </cell>
          <cell r="E3167">
            <v>0</v>
          </cell>
          <cell r="F3167">
            <v>0</v>
          </cell>
        </row>
        <row r="3168">
          <cell r="B3168">
            <v>40000829</v>
          </cell>
          <cell r="C3168" t="str">
            <v>GK  SHAKTI MAC 10SLVR MAT  MRP 36 PS 72</v>
          </cell>
          <cell r="D3168">
            <v>0</v>
          </cell>
          <cell r="E3168">
            <v>0</v>
          </cell>
          <cell r="F3168">
            <v>0</v>
          </cell>
        </row>
        <row r="3169">
          <cell r="B3169">
            <v>40000798</v>
          </cell>
          <cell r="C3169" t="str">
            <v>GK JUMBO COIL 10HR 10 COILS –Mauritius</v>
          </cell>
          <cell r="D3169">
            <v>0</v>
          </cell>
          <cell r="E3169">
            <v>0</v>
          </cell>
          <cell r="F3169">
            <v>0</v>
          </cell>
        </row>
        <row r="3170">
          <cell r="B3170">
            <v>40065498</v>
          </cell>
          <cell r="C3170" t="str">
            <v>HIT CIK 400ML M205 P36 NPL</v>
          </cell>
          <cell r="D3170">
            <v>0</v>
          </cell>
          <cell r="E3170">
            <v>0</v>
          </cell>
          <cell r="F3170">
            <v>0</v>
          </cell>
        </row>
        <row r="3171">
          <cell r="B3171">
            <v>40065495</v>
          </cell>
          <cell r="C3171" t="str">
            <v>HIT CIK 625ML M310 P25 0.18 RH 25% NPL</v>
          </cell>
          <cell r="D3171">
            <v>0</v>
          </cell>
          <cell r="E3171">
            <v>0</v>
          </cell>
          <cell r="F3171">
            <v>0</v>
          </cell>
        </row>
        <row r="3172">
          <cell r="B3172">
            <v>40026445</v>
          </cell>
          <cell r="C3172" t="str">
            <v>*ScotchBriteScrbPadRs10FRW2CSR100gSpP160</v>
          </cell>
          <cell r="D3172">
            <v>0</v>
          </cell>
          <cell r="E3172">
            <v>0</v>
          </cell>
          <cell r="F3172">
            <v>0</v>
          </cell>
        </row>
        <row r="3173">
          <cell r="B3173">
            <v>40031866</v>
          </cell>
          <cell r="C3173" t="str">
            <v>ScotchBritScrubPad M10 P72 FRWPrtktdish</v>
          </cell>
          <cell r="D3173">
            <v>0</v>
          </cell>
          <cell r="E3173">
            <v>0</v>
          </cell>
          <cell r="F3173">
            <v>0</v>
          </cell>
        </row>
        <row r="3174">
          <cell r="B3174">
            <v>40010000</v>
          </cell>
          <cell r="C3174" t="str">
            <v>GJ DishWash500g M90P24-ScrubPadFreeOffr</v>
          </cell>
          <cell r="D3174">
            <v>0</v>
          </cell>
          <cell r="E3174">
            <v>0</v>
          </cell>
          <cell r="F3174">
            <v>0</v>
          </cell>
        </row>
        <row r="3175">
          <cell r="B3175">
            <v>40020655</v>
          </cell>
          <cell r="C3175" t="str">
            <v>AER click gel cool surf blue P18 M299</v>
          </cell>
          <cell r="D3175">
            <v>0</v>
          </cell>
          <cell r="E3175">
            <v>0</v>
          </cell>
          <cell r="F3175">
            <v>0</v>
          </cell>
        </row>
        <row r="3176">
          <cell r="B3176">
            <v>40017594</v>
          </cell>
          <cell r="C3176" t="str">
            <v>Aer clickgel brighttangydelight P18M279</v>
          </cell>
          <cell r="D3176">
            <v>0</v>
          </cell>
          <cell r="E3176">
            <v>0</v>
          </cell>
          <cell r="F3176">
            <v>0</v>
          </cell>
        </row>
        <row r="3177">
          <cell r="B3177">
            <v>40017583</v>
          </cell>
          <cell r="C3177" t="str">
            <v>AER click gel fresh lush green P18 M279</v>
          </cell>
          <cell r="D3177">
            <v>0</v>
          </cell>
          <cell r="E3177">
            <v>0</v>
          </cell>
          <cell r="F3177">
            <v>0</v>
          </cell>
        </row>
        <row r="3178">
          <cell r="B3178">
            <v>40032374</v>
          </cell>
          <cell r="C3178" t="str">
            <v>Aer clikgel PetCrshPink 10g M299 P18 CSD</v>
          </cell>
          <cell r="D3178">
            <v>0</v>
          </cell>
          <cell r="E3178">
            <v>0</v>
          </cell>
          <cell r="F3178">
            <v>0</v>
          </cell>
        </row>
        <row r="3179">
          <cell r="B3179">
            <v>40012774</v>
          </cell>
          <cell r="C3179" t="str">
            <v>AER click gel musk after smokeP18 M250</v>
          </cell>
          <cell r="D3179">
            <v>0</v>
          </cell>
          <cell r="E3179">
            <v>0</v>
          </cell>
          <cell r="F3179">
            <v>0</v>
          </cell>
        </row>
        <row r="3180">
          <cell r="B3180">
            <v>40015702</v>
          </cell>
          <cell r="C3180" t="str">
            <v>AER CLICK GEL TWIN PK COOL PETAL M440P12</v>
          </cell>
          <cell r="D3180">
            <v>0</v>
          </cell>
          <cell r="E3180">
            <v>0</v>
          </cell>
          <cell r="F3180">
            <v>0</v>
          </cell>
        </row>
        <row r="3181">
          <cell r="B3181">
            <v>40025858</v>
          </cell>
          <cell r="C3181" t="str">
            <v>AER Matic Combi VtVlBlm225ml P6 M499</v>
          </cell>
          <cell r="D3181">
            <v>0</v>
          </cell>
          <cell r="E3181">
            <v>0</v>
          </cell>
          <cell r="F3181">
            <v>0</v>
          </cell>
        </row>
        <row r="3182">
          <cell r="B3182">
            <v>40033046</v>
          </cell>
          <cell r="C3182" t="str">
            <v>AER Mat com VVBlm225mlP6M549 INST</v>
          </cell>
          <cell r="D3182">
            <v>0</v>
          </cell>
          <cell r="E3182">
            <v>0</v>
          </cell>
          <cell r="F3182">
            <v>0</v>
          </cell>
        </row>
        <row r="3183">
          <cell r="B3183">
            <v>40036802</v>
          </cell>
          <cell r="C3183" t="str">
            <v>AER Matic combi VVBlm225ml P6M569 MT</v>
          </cell>
          <cell r="D3183">
            <v>0</v>
          </cell>
          <cell r="E3183">
            <v>0</v>
          </cell>
          <cell r="F3183">
            <v>0</v>
          </cell>
        </row>
        <row r="3184">
          <cell r="B3184">
            <v>40041518</v>
          </cell>
          <cell r="C3184" t="str">
            <v>Aer Matic combi VVB 225ml P6M600 GP</v>
          </cell>
          <cell r="D3184">
            <v>0</v>
          </cell>
          <cell r="E3184">
            <v>0</v>
          </cell>
          <cell r="F3184">
            <v>0</v>
          </cell>
        </row>
        <row r="3185">
          <cell r="B3185">
            <v>40043554</v>
          </cell>
          <cell r="C3185" t="str">
            <v>God AerMatic combi VVB 225ml P6M600MT Nw</v>
          </cell>
          <cell r="D3185">
            <v>0</v>
          </cell>
          <cell r="E3185">
            <v>0</v>
          </cell>
          <cell r="F3185">
            <v>0</v>
          </cell>
        </row>
        <row r="3186">
          <cell r="B3186">
            <v>40032558</v>
          </cell>
          <cell r="C3186" t="str">
            <v>AER Matic Spray can FLGre 225ml M275 P18</v>
          </cell>
          <cell r="D3186">
            <v>0</v>
          </cell>
          <cell r="E3186">
            <v>0</v>
          </cell>
          <cell r="F3186">
            <v>0</v>
          </cell>
        </row>
        <row r="3187">
          <cell r="B3187">
            <v>40024579</v>
          </cell>
          <cell r="C3187" t="str">
            <v>AER Matic Spray can PCPnk P18 M249 225ml</v>
          </cell>
          <cell r="D3187">
            <v>0</v>
          </cell>
          <cell r="E3187">
            <v>0</v>
          </cell>
          <cell r="F3187">
            <v>0</v>
          </cell>
        </row>
        <row r="3188">
          <cell r="B3188">
            <v>40032588</v>
          </cell>
          <cell r="C3188" t="str">
            <v>AER Matic Spray can PCPnk 225ml M275 P18</v>
          </cell>
          <cell r="D3188">
            <v>0</v>
          </cell>
          <cell r="E3188">
            <v>0</v>
          </cell>
          <cell r="F3188">
            <v>0</v>
          </cell>
        </row>
        <row r="3189">
          <cell r="B3189">
            <v>40031614</v>
          </cell>
          <cell r="C3189" t="str">
            <v>AerPowerPocket PO5 M275P24 Ecom</v>
          </cell>
          <cell r="D3189">
            <v>0</v>
          </cell>
          <cell r="E3189">
            <v>0</v>
          </cell>
          <cell r="F3189">
            <v>0</v>
          </cell>
        </row>
        <row r="3190">
          <cell r="B3190">
            <v>40032813</v>
          </cell>
          <cell r="C3190" t="str">
            <v>AerPowerPocket Assorted PO5 M300P24 Ecom</v>
          </cell>
          <cell r="D3190">
            <v>0</v>
          </cell>
          <cell r="E3190">
            <v>0</v>
          </cell>
          <cell r="F3190">
            <v>0</v>
          </cell>
        </row>
        <row r="3191">
          <cell r="B3191">
            <v>40056149</v>
          </cell>
          <cell r="C3191" t="str">
            <v>AER PO5 POWERPOCKET ASSORTED M325P24ECOM</v>
          </cell>
          <cell r="D3191">
            <v>0</v>
          </cell>
          <cell r="E3191">
            <v>0</v>
          </cell>
          <cell r="F3191">
            <v>0</v>
          </cell>
        </row>
        <row r="3192">
          <cell r="B3192">
            <v>40060886</v>
          </cell>
          <cell r="C3192" t="str">
            <v>AER PO5 PWRPCKT ASSORTED M325P24 ECOM NF</v>
          </cell>
          <cell r="D3192">
            <v>0</v>
          </cell>
          <cell r="E3192">
            <v>0</v>
          </cell>
          <cell r="F3192">
            <v>0</v>
          </cell>
        </row>
        <row r="3193">
          <cell r="B3193">
            <v>40062302</v>
          </cell>
          <cell r="C3193" t="str">
            <v>AER PO6 PWPOCKET ASRTED60G M390 P20E-COM</v>
          </cell>
          <cell r="D3193">
            <v>0</v>
          </cell>
          <cell r="E3193">
            <v>0</v>
          </cell>
          <cell r="F3193">
            <v>0</v>
          </cell>
        </row>
        <row r="3194">
          <cell r="B3194">
            <v>40065694</v>
          </cell>
          <cell r="C3194" t="str">
            <v>AERPOCKET 60G PO6 M390 P20 AMZ- L+L+J</v>
          </cell>
          <cell r="D3194">
            <v>0</v>
          </cell>
          <cell r="E3194">
            <v>0</v>
          </cell>
          <cell r="F3194">
            <v>0</v>
          </cell>
        </row>
        <row r="3195">
          <cell r="B3195">
            <v>40018182</v>
          </cell>
          <cell r="C3195" t="str">
            <v>AERPckt BathHyg BrightTanDel 10g P108M55</v>
          </cell>
          <cell r="D3195">
            <v>0</v>
          </cell>
          <cell r="E3195">
            <v>0</v>
          </cell>
          <cell r="F3195">
            <v>0</v>
          </cell>
        </row>
        <row r="3196">
          <cell r="B3196">
            <v>40019244</v>
          </cell>
          <cell r="C3196" t="str">
            <v>AERPckt BathHyg Freshlushgrn 10g P108M55</v>
          </cell>
          <cell r="D3196">
            <v>0</v>
          </cell>
          <cell r="E3196">
            <v>0</v>
          </cell>
          <cell r="F3196">
            <v>0</v>
          </cell>
        </row>
        <row r="3197">
          <cell r="B3197">
            <v>40050252</v>
          </cell>
          <cell r="C3197" t="str">
            <v>Aer Power Pocket MinRosBlo 6g M30P120</v>
          </cell>
          <cell r="D3197">
            <v>0</v>
          </cell>
          <cell r="E3197">
            <v>0</v>
          </cell>
          <cell r="F3197">
            <v>0</v>
          </cell>
        </row>
        <row r="3198">
          <cell r="B3198">
            <v>40050268</v>
          </cell>
          <cell r="C3198" t="str">
            <v>Aer Power Pocket MiniLavBlm 6g M30P120</v>
          </cell>
          <cell r="D3198">
            <v>0</v>
          </cell>
          <cell r="E3198">
            <v>0</v>
          </cell>
          <cell r="F3198">
            <v>0</v>
          </cell>
        </row>
        <row r="3199">
          <cell r="B3199">
            <v>40019246</v>
          </cell>
          <cell r="C3199" t="str">
            <v>AERPOCKET PetalCrushPink P108M55 MT</v>
          </cell>
          <cell r="D3199">
            <v>0</v>
          </cell>
          <cell r="E3199">
            <v>0</v>
          </cell>
          <cell r="F3199">
            <v>0</v>
          </cell>
        </row>
        <row r="3200">
          <cell r="B3200">
            <v>40018179</v>
          </cell>
          <cell r="C3200" t="str">
            <v>AERPckt BathHyg vltvalybloom 10g P108M55</v>
          </cell>
          <cell r="D3200">
            <v>0</v>
          </cell>
          <cell r="E3200">
            <v>0</v>
          </cell>
          <cell r="F3200">
            <v>0</v>
          </cell>
        </row>
        <row r="3201">
          <cell r="B3201">
            <v>40050338</v>
          </cell>
          <cell r="C3201" t="str">
            <v>AER PWRPCKTLEMTNGYDEL10G M60.00P120 HANG</v>
          </cell>
          <cell r="D3201">
            <v>0</v>
          </cell>
          <cell r="E3201">
            <v>0</v>
          </cell>
          <cell r="F3201">
            <v>0</v>
          </cell>
        </row>
        <row r="3202">
          <cell r="B3202">
            <v>40013353</v>
          </cell>
          <cell r="C3202" t="str">
            <v>Aer Clickgel Ref Fresh LushGreen P18M175</v>
          </cell>
          <cell r="D3202">
            <v>0</v>
          </cell>
          <cell r="E3202">
            <v>0</v>
          </cell>
          <cell r="F3202">
            <v>0</v>
          </cell>
        </row>
        <row r="3203">
          <cell r="B3203">
            <v>40013351</v>
          </cell>
          <cell r="C3203" t="str">
            <v>Aer ClickGel Ref PetalCrush Pink P18M175</v>
          </cell>
          <cell r="D3203">
            <v>0</v>
          </cell>
          <cell r="E3203">
            <v>0</v>
          </cell>
          <cell r="F3203">
            <v>0</v>
          </cell>
        </row>
        <row r="3204">
          <cell r="B3204">
            <v>40016168</v>
          </cell>
          <cell r="C3204" t="str">
            <v>Aer Clickgel Ref RICHIrishCktail P18M175</v>
          </cell>
          <cell r="D3204">
            <v>0</v>
          </cell>
          <cell r="E3204">
            <v>0</v>
          </cell>
          <cell r="F3204">
            <v>0</v>
          </cell>
        </row>
        <row r="3205">
          <cell r="B3205">
            <v>40026660</v>
          </cell>
          <cell r="C3205" t="str">
            <v>AER SPRAY GREEN BLUE PO2 M298P12 ECOM</v>
          </cell>
          <cell r="D3205">
            <v>0</v>
          </cell>
          <cell r="E3205">
            <v>0</v>
          </cell>
          <cell r="F3205">
            <v>0</v>
          </cell>
        </row>
        <row r="3206">
          <cell r="B3206">
            <v>40016141</v>
          </cell>
          <cell r="C3206" t="str">
            <v>AER SPRY MORNG MISTY MEADOWS P24 M140-MT</v>
          </cell>
          <cell r="D3206">
            <v>0</v>
          </cell>
          <cell r="E3206">
            <v>0</v>
          </cell>
          <cell r="F3206">
            <v>0</v>
          </cell>
        </row>
        <row r="3207">
          <cell r="B3207">
            <v>40026677</v>
          </cell>
          <cell r="C3207" t="str">
            <v>AER SPRAY PASSION-ALIVE PO2 M358P12 ECOM</v>
          </cell>
          <cell r="D3207">
            <v>0</v>
          </cell>
          <cell r="E3207">
            <v>0</v>
          </cell>
          <cell r="F3207">
            <v>0</v>
          </cell>
        </row>
        <row r="3208">
          <cell r="B3208">
            <v>40027115</v>
          </cell>
          <cell r="C3208" t="str">
            <v>AER SPRAY MONSOON REFRESH 240ml M149P24</v>
          </cell>
          <cell r="D3208">
            <v>0</v>
          </cell>
          <cell r="E3208">
            <v>0</v>
          </cell>
          <cell r="F3208">
            <v>0</v>
          </cell>
        </row>
        <row r="3209">
          <cell r="B3209">
            <v>40034250</v>
          </cell>
          <cell r="C3209" t="str">
            <v>AER SPRAY MONSOON REFRESH 240ml M155P24</v>
          </cell>
          <cell r="D3209">
            <v>0</v>
          </cell>
          <cell r="E3209">
            <v>0</v>
          </cell>
          <cell r="F3209">
            <v>0</v>
          </cell>
        </row>
        <row r="3210">
          <cell r="B3210">
            <v>40035368</v>
          </cell>
          <cell r="C3210" t="str">
            <v>AER SPRAY MONSOON REFRESH 220ml M169P24</v>
          </cell>
          <cell r="D3210">
            <v>0</v>
          </cell>
          <cell r="E3210">
            <v>0</v>
          </cell>
          <cell r="F3210">
            <v>0</v>
          </cell>
        </row>
        <row r="3211">
          <cell r="B3211">
            <v>40035395</v>
          </cell>
          <cell r="C3211" t="str">
            <v>AER SPRAY MONSOON REFRESH 240ml M169P24</v>
          </cell>
          <cell r="D3211">
            <v>0</v>
          </cell>
          <cell r="E3211">
            <v>0</v>
          </cell>
          <cell r="F3211">
            <v>0</v>
          </cell>
        </row>
        <row r="3212">
          <cell r="B3212">
            <v>40016034</v>
          </cell>
          <cell r="C3212" t="str">
            <v>AER SPRAY MUSK AFTER SMOKE P24 M140</v>
          </cell>
          <cell r="D3212">
            <v>0</v>
          </cell>
          <cell r="E3212">
            <v>0</v>
          </cell>
          <cell r="F3212">
            <v>0</v>
          </cell>
        </row>
        <row r="3213">
          <cell r="B3213">
            <v>40027111</v>
          </cell>
          <cell r="C3213" t="str">
            <v>AER SPRAY MUSKAFTER SMOKE 240ml M149P24</v>
          </cell>
          <cell r="D3213">
            <v>0</v>
          </cell>
          <cell r="E3213">
            <v>0</v>
          </cell>
          <cell r="F3213">
            <v>0</v>
          </cell>
        </row>
        <row r="3214">
          <cell r="B3214">
            <v>40034234</v>
          </cell>
          <cell r="C3214" t="str">
            <v>AER SPRAY MUSKAFTER SMOKE 240ml M155P24</v>
          </cell>
          <cell r="D3214">
            <v>0</v>
          </cell>
          <cell r="E3214">
            <v>0</v>
          </cell>
          <cell r="F3214">
            <v>0</v>
          </cell>
        </row>
        <row r="3215">
          <cell r="B3215">
            <v>40029692</v>
          </cell>
          <cell r="C3215" t="str">
            <v>AerTravelSanitizerBlue 85mlM99P24</v>
          </cell>
          <cell r="D3215">
            <v>0</v>
          </cell>
          <cell r="E3215">
            <v>0</v>
          </cell>
          <cell r="F3215">
            <v>0</v>
          </cell>
        </row>
        <row r="3216">
          <cell r="B3216">
            <v>40027891</v>
          </cell>
          <cell r="C3216" t="str">
            <v>AER SPRAY PREMIUM RELAX M179P24  240ml</v>
          </cell>
          <cell r="D3216">
            <v>0</v>
          </cell>
          <cell r="E3216">
            <v>0</v>
          </cell>
          <cell r="F3216">
            <v>0</v>
          </cell>
        </row>
        <row r="3217">
          <cell r="B3217">
            <v>40016142</v>
          </cell>
          <cell r="C3217" t="str">
            <v>AER SPRAY VIOLET VALLEYBLOOM P24M140- MT</v>
          </cell>
          <cell r="D3217">
            <v>0</v>
          </cell>
          <cell r="E3217">
            <v>0</v>
          </cell>
          <cell r="F3217">
            <v>0</v>
          </cell>
        </row>
        <row r="3218">
          <cell r="B3218">
            <v>40025027</v>
          </cell>
          <cell r="C3218" t="str">
            <v>AER TWIST FRESH FOREST DRIZZLE M379P15</v>
          </cell>
          <cell r="D3218">
            <v>0</v>
          </cell>
          <cell r="E3218">
            <v>0</v>
          </cell>
          <cell r="F3218">
            <v>0</v>
          </cell>
        </row>
        <row r="3219">
          <cell r="B3219">
            <v>40028940</v>
          </cell>
          <cell r="C3219" t="str">
            <v>AER TWIST Rich Irish Cktl 45g M379P15</v>
          </cell>
          <cell r="D3219">
            <v>0</v>
          </cell>
          <cell r="E3219">
            <v>0</v>
          </cell>
          <cell r="F3219">
            <v>0</v>
          </cell>
        </row>
        <row r="3220">
          <cell r="B3220">
            <v>40024957</v>
          </cell>
          <cell r="C3220" t="str">
            <v>AER TWIST SUNNY CITRUS BLAST M379P15</v>
          </cell>
          <cell r="D3220">
            <v>0</v>
          </cell>
          <cell r="E3220">
            <v>0</v>
          </cell>
          <cell r="F3220">
            <v>0</v>
          </cell>
        </row>
        <row r="3221">
          <cell r="B3221">
            <v>40029115</v>
          </cell>
          <cell r="C3221" t="str">
            <v>AER TWIST SUNNY CIT BLAST45g M379P15</v>
          </cell>
          <cell r="D3221">
            <v>0</v>
          </cell>
          <cell r="E3221">
            <v>0</v>
          </cell>
          <cell r="F3221">
            <v>0</v>
          </cell>
        </row>
        <row r="3222">
          <cell r="B3222">
            <v>40028953</v>
          </cell>
          <cell r="C3222" t="str">
            <v>AER TWIST MUSK AFTR SMOKE 45g M379P15</v>
          </cell>
          <cell r="D3222">
            <v>0</v>
          </cell>
          <cell r="E3222">
            <v>0</v>
          </cell>
          <cell r="F3222">
            <v>0</v>
          </cell>
        </row>
        <row r="3223">
          <cell r="B3223">
            <v>40036902</v>
          </cell>
          <cell r="C3223" t="str">
            <v>AER TWIST MUSK AFTERSMK(REDU)M399P12 MRT</v>
          </cell>
          <cell r="D3223">
            <v>0</v>
          </cell>
          <cell r="E3223">
            <v>0</v>
          </cell>
          <cell r="F3223">
            <v>0</v>
          </cell>
        </row>
        <row r="3224">
          <cell r="B3224">
            <v>40039429</v>
          </cell>
          <cell r="C3224" t="str">
            <v>AerTwist Gel CarFr Msk CSD 45g M399P15</v>
          </cell>
          <cell r="D3224">
            <v>0</v>
          </cell>
          <cell r="E3224">
            <v>0</v>
          </cell>
          <cell r="F3224">
            <v>0</v>
          </cell>
        </row>
        <row r="3225">
          <cell r="B3225">
            <v>40001294</v>
          </cell>
          <cell r="C3225" t="str">
            <v>KIWI TWIN DIB MRP 54 PS 24</v>
          </cell>
          <cell r="D3225">
            <v>0</v>
          </cell>
          <cell r="E3225">
            <v>0</v>
          </cell>
          <cell r="F3225">
            <v>0</v>
          </cell>
        </row>
        <row r="3226">
          <cell r="B3226">
            <v>40063858</v>
          </cell>
          <cell r="C3226" t="str">
            <v>AER SPRAY FOREST FRESH 180ML M99P24 NPL</v>
          </cell>
          <cell r="D3226">
            <v>0</v>
          </cell>
          <cell r="E3226">
            <v>0</v>
          </cell>
          <cell r="F3226">
            <v>0</v>
          </cell>
        </row>
        <row r="3227">
          <cell r="B3227">
            <v>40063857</v>
          </cell>
          <cell r="C3227" t="str">
            <v>AER SPRY ROSEBLOSSOM 180ML M99P24 NPL</v>
          </cell>
          <cell r="D3227">
            <v>0</v>
          </cell>
          <cell r="E3227">
            <v>0</v>
          </cell>
          <cell r="F3227">
            <v>0</v>
          </cell>
        </row>
        <row r="3228">
          <cell r="B3228">
            <v>40031028</v>
          </cell>
          <cell r="C3228" t="str">
            <v>AER TWIST FRESH LUSH GRN(R)P15 W/O MRP</v>
          </cell>
          <cell r="D3228">
            <v>0</v>
          </cell>
          <cell r="E3228">
            <v>0</v>
          </cell>
          <cell r="F3228">
            <v>0</v>
          </cell>
        </row>
        <row r="3229">
          <cell r="B3229">
            <v>40040001</v>
          </cell>
          <cell r="C3229" t="str">
            <v>KS Spark 45ml Deo 6 Pc HangPack M65/-P72</v>
          </cell>
          <cell r="D3229">
            <v>0</v>
          </cell>
          <cell r="E3229">
            <v>0</v>
          </cell>
          <cell r="F3229">
            <v>0</v>
          </cell>
        </row>
        <row r="3230">
          <cell r="B3230">
            <v>40040033</v>
          </cell>
          <cell r="C3230" t="str">
            <v>PA BD GM 100gm LB (MRP199) 72cpP72</v>
          </cell>
          <cell r="D3230">
            <v>0</v>
          </cell>
          <cell r="E3230">
            <v>0</v>
          </cell>
          <cell r="F3230">
            <v>0</v>
          </cell>
        </row>
        <row r="3231">
          <cell r="B3231">
            <v>40040062</v>
          </cell>
          <cell r="C3231" t="str">
            <v>PA Neo Perf Spry 100g(MRP240) 72cP72</v>
          </cell>
          <cell r="D3231">
            <v>0</v>
          </cell>
          <cell r="E3231">
            <v>0</v>
          </cell>
          <cell r="F3231">
            <v>0</v>
          </cell>
        </row>
        <row r="3232">
          <cell r="B3232">
            <v>40040111</v>
          </cell>
          <cell r="C3232" t="str">
            <v>PA pre perf DeoMagnifico 120ml(M250)P36</v>
          </cell>
          <cell r="D3232">
            <v>0</v>
          </cell>
          <cell r="E3232">
            <v>0</v>
          </cell>
          <cell r="F3232">
            <v>0</v>
          </cell>
        </row>
        <row r="3233">
          <cell r="B3233">
            <v>40040336</v>
          </cell>
          <cell r="C3233" t="str">
            <v>PA original BD(Mrp.420)(GM+Storm+CB)P24</v>
          </cell>
          <cell r="D3233">
            <v>0</v>
          </cell>
          <cell r="E3233">
            <v>0</v>
          </cell>
          <cell r="F3233">
            <v>0</v>
          </cell>
        </row>
        <row r="3234">
          <cell r="B3234">
            <v>40040631</v>
          </cell>
          <cell r="C3234" t="str">
            <v>PA BD Storm 100gm (MRP199) (A)P36</v>
          </cell>
          <cell r="D3234">
            <v>0</v>
          </cell>
          <cell r="E3234">
            <v>0</v>
          </cell>
          <cell r="F3234">
            <v>0</v>
          </cell>
        </row>
        <row r="3235">
          <cell r="B3235">
            <v>40040665</v>
          </cell>
          <cell r="C3235" t="str">
            <v>PA Deo CB220mlNew Design(MRP319)P72</v>
          </cell>
          <cell r="D3235">
            <v>0</v>
          </cell>
          <cell r="E3235">
            <v>0</v>
          </cell>
          <cell r="F3235">
            <v>0</v>
          </cell>
        </row>
        <row r="3236">
          <cell r="B3236">
            <v>40040600</v>
          </cell>
          <cell r="C3236" t="str">
            <v>PA pre perf DeoRegal 130ml(Mrp250) RLP36</v>
          </cell>
          <cell r="D3236">
            <v>0</v>
          </cell>
          <cell r="E3236">
            <v>0</v>
          </cell>
          <cell r="F3236">
            <v>0</v>
          </cell>
        </row>
        <row r="3237">
          <cell r="B3237">
            <v>40061127</v>
          </cell>
          <cell r="C3237" t="str">
            <v>PA AMAZONWOODS 4 X150ML M299 P72 GCPL</v>
          </cell>
          <cell r="D3237">
            <v>0</v>
          </cell>
          <cell r="E3237">
            <v>0</v>
          </cell>
          <cell r="F3237">
            <v>0</v>
          </cell>
        </row>
        <row r="3238">
          <cell r="B3238">
            <v>40039988</v>
          </cell>
          <cell r="C3238" t="str">
            <v>KS Spark Deodorant (150 ml) MRP 210/-P48</v>
          </cell>
          <cell r="D3238">
            <v>0</v>
          </cell>
          <cell r="E3238">
            <v>0</v>
          </cell>
          <cell r="F3238">
            <v>0</v>
          </cell>
        </row>
        <row r="3239">
          <cell r="B3239">
            <v>40043209</v>
          </cell>
          <cell r="C3239" t="str">
            <v>PA NC MISTYTRAIL AER 150ML M349 P24 GCPL</v>
          </cell>
          <cell r="D3239">
            <v>0</v>
          </cell>
          <cell r="E3239">
            <v>0</v>
          </cell>
          <cell r="F3239">
            <v>0</v>
          </cell>
        </row>
        <row r="3240">
          <cell r="B3240">
            <v>40043206</v>
          </cell>
          <cell r="C3240" t="str">
            <v>PA NC SPICETRAIL AER 150ML M349 P24 GCPL</v>
          </cell>
          <cell r="D3240">
            <v>0</v>
          </cell>
          <cell r="E3240">
            <v>0</v>
          </cell>
          <cell r="F3240">
            <v>0</v>
          </cell>
        </row>
        <row r="3241">
          <cell r="B3241">
            <v>40040591</v>
          </cell>
          <cell r="C3241" t="str">
            <v>PA Pure collection Trance 135mlM210RLP36</v>
          </cell>
          <cell r="D3241">
            <v>0</v>
          </cell>
          <cell r="E3241">
            <v>0</v>
          </cell>
          <cell r="F3241">
            <v>0</v>
          </cell>
        </row>
        <row r="3242">
          <cell r="B3242">
            <v>40040619</v>
          </cell>
          <cell r="C3242" t="str">
            <v>PA Pure collection Zouk 135ml M210 RLP36</v>
          </cell>
          <cell r="D3242">
            <v>0</v>
          </cell>
          <cell r="E3242">
            <v>0</v>
          </cell>
          <cell r="F3242">
            <v>0</v>
          </cell>
        </row>
        <row r="3243">
          <cell r="B3243">
            <v>40058945</v>
          </cell>
          <cell r="C3243" t="str">
            <v>KS SPARK AER 120ML M99.00 P48 GCPL NEPAL</v>
          </cell>
          <cell r="D3243">
            <v>0</v>
          </cell>
          <cell r="E3243">
            <v>0</v>
          </cell>
          <cell r="F3243">
            <v>0</v>
          </cell>
        </row>
        <row r="3244">
          <cell r="B3244">
            <v>40061951</v>
          </cell>
          <cell r="C3244" t="str">
            <v>PA ALTER EGO AER 150ML M250 P48 GCPL NPL</v>
          </cell>
          <cell r="D3244">
            <v>0</v>
          </cell>
          <cell r="E3244">
            <v>0</v>
          </cell>
          <cell r="F3244">
            <v>0</v>
          </cell>
        </row>
        <row r="3245">
          <cell r="B3245">
            <v>40062888</v>
          </cell>
          <cell r="C3245" t="str">
            <v>PA FEM EDP VERVE 100ML M799 P6 BD</v>
          </cell>
          <cell r="D3245">
            <v>0</v>
          </cell>
          <cell r="E3245">
            <v>0</v>
          </cell>
          <cell r="F3245">
            <v>0</v>
          </cell>
        </row>
        <row r="3246">
          <cell r="B3246">
            <v>40059154</v>
          </cell>
          <cell r="C3246" t="str">
            <v>PA EDP KNIGHT 100ML G M599 P12 NEPAL</v>
          </cell>
          <cell r="D3246">
            <v>0</v>
          </cell>
          <cell r="E3246">
            <v>0</v>
          </cell>
          <cell r="F3246">
            <v>0</v>
          </cell>
        </row>
        <row r="3247">
          <cell r="B3247">
            <v>40059173</v>
          </cell>
          <cell r="C3247" t="str">
            <v>PA EDP SAMURAI 100ML G M599 P12 NEPAL</v>
          </cell>
          <cell r="D3247">
            <v>0</v>
          </cell>
          <cell r="E3247">
            <v>0</v>
          </cell>
          <cell r="F3247">
            <v>0</v>
          </cell>
        </row>
        <row r="3248">
          <cell r="B3248">
            <v>40040877</v>
          </cell>
          <cell r="C3248" t="str">
            <v>*PA Soap NEW Cool Blue 125g B3G1 M180P27</v>
          </cell>
          <cell r="D3248">
            <v>0</v>
          </cell>
          <cell r="E3248">
            <v>0</v>
          </cell>
          <cell r="F3248">
            <v>0</v>
          </cell>
        </row>
        <row r="3249">
          <cell r="B3249">
            <v>40040880</v>
          </cell>
          <cell r="C3249" t="str">
            <v>*PA Soap NEW Good Mrng 125g B3G1 M180P27</v>
          </cell>
          <cell r="D3249">
            <v>0</v>
          </cell>
          <cell r="E3249">
            <v>0</v>
          </cell>
          <cell r="F3249">
            <v>0</v>
          </cell>
        </row>
        <row r="3250">
          <cell r="B3250">
            <v>40000694</v>
          </cell>
          <cell r="C3250" t="str">
            <v>*FLAIR SPEED BALL PEN FW GODREJ NO.1</v>
          </cell>
          <cell r="D3250">
            <v>0</v>
          </cell>
          <cell r="E3250">
            <v>0</v>
          </cell>
          <cell r="F3250">
            <v>0</v>
          </cell>
        </row>
        <row r="3251">
          <cell r="B3251">
            <v>40012914</v>
          </cell>
          <cell r="C3251" t="str">
            <v>*ROTOMACPENworthRs10FRWNo1100gP224</v>
          </cell>
          <cell r="D3251">
            <v>0</v>
          </cell>
          <cell r="E3251">
            <v>0</v>
          </cell>
          <cell r="F3251">
            <v>0</v>
          </cell>
        </row>
        <row r="3252">
          <cell r="B3252">
            <v>40040369</v>
          </cell>
          <cell r="C3252" t="str">
            <v>*PA SC Cool Blue 84 g (MRP69)P144</v>
          </cell>
          <cell r="D3252">
            <v>0</v>
          </cell>
          <cell r="E3252">
            <v>0</v>
          </cell>
          <cell r="F3252">
            <v>0</v>
          </cell>
        </row>
        <row r="3253">
          <cell r="B3253">
            <v>40040917</v>
          </cell>
          <cell r="C3253" t="str">
            <v>PA Shaving Brush Blister Pack(M75) RLP96</v>
          </cell>
          <cell r="D3253">
            <v>0</v>
          </cell>
          <cell r="E3253">
            <v>0</v>
          </cell>
          <cell r="F3253">
            <v>0</v>
          </cell>
        </row>
        <row r="3254">
          <cell r="B3254">
            <v>40035047</v>
          </cell>
          <cell r="C3254" t="str">
            <v>*Cin Shaving Cream Menthol 78g M75 P72</v>
          </cell>
          <cell r="D3254">
            <v>0</v>
          </cell>
          <cell r="E3254">
            <v>0</v>
          </cell>
          <cell r="F3254">
            <v>0</v>
          </cell>
        </row>
        <row r="3255">
          <cell r="B3255">
            <v>40040586</v>
          </cell>
          <cell r="C3255" t="str">
            <v>*PA BS 700 ml Damage free (MRP 369)P12</v>
          </cell>
          <cell r="D3255">
            <v>0</v>
          </cell>
          <cell r="E3255">
            <v>0</v>
          </cell>
          <cell r="F3255">
            <v>0</v>
          </cell>
        </row>
        <row r="3256">
          <cell r="B3256">
            <v>40041398</v>
          </cell>
          <cell r="C3256" t="str">
            <v>TECHNICAL PPDA (Q) - BD</v>
          </cell>
          <cell r="D3256">
            <v>0</v>
          </cell>
          <cell r="E3256">
            <v>0</v>
          </cell>
          <cell r="F3256">
            <v>0</v>
          </cell>
        </row>
        <row r="3257">
          <cell r="B3257">
            <v>40042771</v>
          </cell>
          <cell r="C3257" t="str">
            <v>PHD PREMIX-TECHNICAL PPDA (Q) M0.00 P1</v>
          </cell>
          <cell r="D3257">
            <v>0</v>
          </cell>
          <cell r="E3257">
            <v>0</v>
          </cell>
          <cell r="F3257">
            <v>0</v>
          </cell>
        </row>
        <row r="3258">
          <cell r="B3258">
            <v>40041388</v>
          </cell>
          <cell r="C3258" t="str">
            <v>TECHNICAL PERBORATE (P) - BD</v>
          </cell>
          <cell r="D3258">
            <v>0</v>
          </cell>
          <cell r="E3258">
            <v>0</v>
          </cell>
          <cell r="F3258">
            <v>0</v>
          </cell>
        </row>
        <row r="3259">
          <cell r="B3259">
            <v>40061148</v>
          </cell>
          <cell r="C3259" t="str">
            <v>PHD PREMIX-TECH PERBORATEBLACK P1(48.70)</v>
          </cell>
          <cell r="D3259">
            <v>0</v>
          </cell>
          <cell r="E3259">
            <v>0</v>
          </cell>
          <cell r="F3259">
            <v>0</v>
          </cell>
        </row>
        <row r="3260">
          <cell r="B3260">
            <v>40042777</v>
          </cell>
          <cell r="C3260" t="str">
            <v>Technical CMC (C) {ABHA in Drum}</v>
          </cell>
          <cell r="D3260">
            <v>0</v>
          </cell>
          <cell r="E3260">
            <v>0</v>
          </cell>
          <cell r="F3260">
            <v>0</v>
          </cell>
        </row>
        <row r="3261">
          <cell r="B3261">
            <v>40039255</v>
          </cell>
          <cell r="C3261" t="str">
            <v>TECHNICAL CMC (R ) - BD</v>
          </cell>
          <cell r="D3261">
            <v>0</v>
          </cell>
          <cell r="E3261">
            <v>0</v>
          </cell>
          <cell r="F3261">
            <v>0</v>
          </cell>
        </row>
        <row r="3262">
          <cell r="B3262">
            <v>40042787</v>
          </cell>
          <cell r="C3262" t="str">
            <v>HENNA MIX (D) ABHA SL</v>
          </cell>
          <cell r="D3262">
            <v>0</v>
          </cell>
          <cell r="E3262">
            <v>0</v>
          </cell>
          <cell r="F3262">
            <v>0</v>
          </cell>
        </row>
        <row r="3263">
          <cell r="B3263">
            <v>40065403</v>
          </cell>
          <cell r="C3263" t="str">
            <v>GENTEEL 2Kg Pouch PK6 MRP290 Ecom LIQ</v>
          </cell>
          <cell r="D3263">
            <v>0</v>
          </cell>
          <cell r="E3263">
            <v>0</v>
          </cell>
          <cell r="F3263">
            <v>0</v>
          </cell>
        </row>
        <row r="3264">
          <cell r="B3264">
            <v>40059592</v>
          </cell>
          <cell r="C3264" t="str">
            <v>EZEE SACHET18G(12U X 54N) P648 M5 NEWPCK</v>
          </cell>
          <cell r="D3264">
            <v>0</v>
          </cell>
          <cell r="E3264">
            <v>0</v>
          </cell>
          <cell r="F3264">
            <v>0</v>
          </cell>
        </row>
        <row r="3265">
          <cell r="B3265">
            <v>40065416</v>
          </cell>
          <cell r="C3265" t="str">
            <v>EZEE SACHET 18G (12U X 54N) P648M5NF LIQ</v>
          </cell>
          <cell r="D3265">
            <v>0</v>
          </cell>
          <cell r="E3265">
            <v>0</v>
          </cell>
          <cell r="F3265">
            <v>0</v>
          </cell>
        </row>
        <row r="3266">
          <cell r="B3266">
            <v>40049873</v>
          </cell>
          <cell r="C3266" t="str">
            <v>GENTEEL 2KG POUCH M340 P6 FL MT</v>
          </cell>
          <cell r="D3266">
            <v>0</v>
          </cell>
          <cell r="E3266">
            <v>0</v>
          </cell>
          <cell r="F3266">
            <v>0</v>
          </cell>
        </row>
        <row r="3267">
          <cell r="B3267">
            <v>40060648</v>
          </cell>
          <cell r="C3267" t="str">
            <v>GENTEEL 2KG POUCH M340P6 FL MT PRF</v>
          </cell>
          <cell r="D3267">
            <v>0</v>
          </cell>
          <cell r="E3267">
            <v>0</v>
          </cell>
          <cell r="F3267">
            <v>0</v>
          </cell>
        </row>
        <row r="3268">
          <cell r="B3268">
            <v>40050553</v>
          </cell>
          <cell r="C3268" t="str">
            <v>GENTEEL 3.2KG POUCH M440.00 P4</v>
          </cell>
          <cell r="D3268">
            <v>0</v>
          </cell>
          <cell r="E3268">
            <v>0</v>
          </cell>
          <cell r="F3268">
            <v>0</v>
          </cell>
        </row>
        <row r="3269">
          <cell r="B3269">
            <v>40058458</v>
          </cell>
          <cell r="C3269" t="str">
            <v>GENTEEL TL 3.2KG POUCH M480 P4</v>
          </cell>
          <cell r="D3269">
            <v>0</v>
          </cell>
          <cell r="E3269">
            <v>0</v>
          </cell>
          <cell r="F3269">
            <v>0</v>
          </cell>
        </row>
        <row r="3270">
          <cell r="B3270">
            <v>40060652</v>
          </cell>
          <cell r="C3270" t="str">
            <v>GENTEEL TL 3.2KG POUCH M480 P4 NEWPRF</v>
          </cell>
          <cell r="D3270">
            <v>0</v>
          </cell>
          <cell r="E3270">
            <v>0</v>
          </cell>
          <cell r="F3270">
            <v>0</v>
          </cell>
        </row>
        <row r="3271">
          <cell r="B3271">
            <v>40065426</v>
          </cell>
          <cell r="C3271" t="str">
            <v>GENTEEL 3.2KG POUCH M440.00 P4 LIQ</v>
          </cell>
          <cell r="D3271">
            <v>0</v>
          </cell>
          <cell r="E3271">
            <v>0</v>
          </cell>
          <cell r="F3271">
            <v>0</v>
          </cell>
        </row>
        <row r="3272">
          <cell r="B3272">
            <v>40057686</v>
          </cell>
          <cell r="C3272" t="str">
            <v>EZEE 2KGPOUCH M430 P6 NF OA FRSH STK NPL</v>
          </cell>
          <cell r="D3272">
            <v>0</v>
          </cell>
          <cell r="E3272">
            <v>0</v>
          </cell>
          <cell r="F3272">
            <v>0</v>
          </cell>
        </row>
        <row r="3273">
          <cell r="B3273">
            <v>40056417</v>
          </cell>
          <cell r="C3273" t="str">
            <v>EZEE 1KG MRP 225 P12 BOTTLES  10%PCR NPL</v>
          </cell>
          <cell r="D3273">
            <v>0</v>
          </cell>
          <cell r="E3273">
            <v>0</v>
          </cell>
          <cell r="F3273">
            <v>0</v>
          </cell>
        </row>
        <row r="3274">
          <cell r="B3274">
            <v>40060890</v>
          </cell>
          <cell r="C3274" t="str">
            <v>EZEE 900GMBT M225P12 50%PCRNFOANPTMT NPL</v>
          </cell>
          <cell r="D3274">
            <v>0</v>
          </cell>
          <cell r="E3274">
            <v>0</v>
          </cell>
          <cell r="F3274">
            <v>0</v>
          </cell>
        </row>
        <row r="3275">
          <cell r="B3275">
            <v>40056415</v>
          </cell>
          <cell r="C3275" t="str">
            <v>EZEE500GMBTTLS10%PCR MRP120 P24 BHUTAN</v>
          </cell>
          <cell r="D3275">
            <v>0</v>
          </cell>
          <cell r="E3275">
            <v>0</v>
          </cell>
          <cell r="F3275">
            <v>0</v>
          </cell>
        </row>
        <row r="3276">
          <cell r="B3276">
            <v>40056500</v>
          </cell>
          <cell r="C3276" t="str">
            <v>GODREJ FAB 1LTR POUCH M250 P12 NPR NPL</v>
          </cell>
          <cell r="D3276">
            <v>0</v>
          </cell>
          <cell r="E3276">
            <v>0</v>
          </cell>
          <cell r="F3276">
            <v>0</v>
          </cell>
        </row>
        <row r="3277">
          <cell r="B3277">
            <v>40064266</v>
          </cell>
          <cell r="C3277" t="str">
            <v>GODREJ FAB 825GM POUCH M99 P14 BTN</v>
          </cell>
          <cell r="D3277">
            <v>0</v>
          </cell>
          <cell r="E3277">
            <v>0</v>
          </cell>
          <cell r="F3277">
            <v>0</v>
          </cell>
        </row>
        <row r="3278">
          <cell r="B3278">
            <v>40063599</v>
          </cell>
          <cell r="C3278" t="str">
            <v>FAB FRONTLOAD 950ML NEW AW P12 NPR289NPL</v>
          </cell>
          <cell r="D3278">
            <v>0</v>
          </cell>
          <cell r="E3278">
            <v>0</v>
          </cell>
          <cell r="F3278">
            <v>0</v>
          </cell>
        </row>
        <row r="3279">
          <cell r="B3279">
            <v>40064268</v>
          </cell>
          <cell r="C3279" t="str">
            <v>GODREJ FAB 2KG MT POUCH P6 NPR500 NF NPL</v>
          </cell>
          <cell r="D3279">
            <v>0</v>
          </cell>
          <cell r="E3279">
            <v>0</v>
          </cell>
          <cell r="F3279">
            <v>0</v>
          </cell>
        </row>
        <row r="3280">
          <cell r="B3280">
            <v>40059133</v>
          </cell>
          <cell r="C3280" t="str">
            <v>GODREJ FAB 3.2LTR POUCH P4 NPR750 NF NPL</v>
          </cell>
          <cell r="D3280">
            <v>0</v>
          </cell>
          <cell r="E3280">
            <v>0</v>
          </cell>
          <cell r="F3280">
            <v>0</v>
          </cell>
        </row>
        <row r="3281">
          <cell r="B3281">
            <v>40064265</v>
          </cell>
          <cell r="C3281" t="str">
            <v>GODREJ FAB 4 KG MT POUCH NPR949 P3 NPL</v>
          </cell>
          <cell r="D3281">
            <v>0</v>
          </cell>
          <cell r="E3281">
            <v>0</v>
          </cell>
          <cell r="F3281">
            <v>0</v>
          </cell>
        </row>
        <row r="3282">
          <cell r="B3282">
            <v>40063550</v>
          </cell>
          <cell r="C3282" t="str">
            <v>FAB FRONTLOAD 4LTR NEW AW P3 NPR1099 NPL</v>
          </cell>
          <cell r="D3282">
            <v>0</v>
          </cell>
          <cell r="E3282">
            <v>0</v>
          </cell>
          <cell r="F3282">
            <v>0</v>
          </cell>
        </row>
        <row r="3283">
          <cell r="B3283">
            <v>40059437</v>
          </cell>
          <cell r="C3283" t="str">
            <v>GODREJ FAB 75ML SACHET M10 P96 NPL</v>
          </cell>
          <cell r="D3283">
            <v>0</v>
          </cell>
          <cell r="E3283">
            <v>0</v>
          </cell>
          <cell r="F3283">
            <v>0</v>
          </cell>
        </row>
        <row r="3284">
          <cell r="B3284">
            <v>40062020</v>
          </cell>
          <cell r="C3284" t="str">
            <v>GODREJ XPRSS SHC 5+5ML P360 M15 NBRWN ND</v>
          </cell>
          <cell r="D3284">
            <v>0</v>
          </cell>
          <cell r="E3284">
            <v>0</v>
          </cell>
          <cell r="F3284">
            <v>0</v>
          </cell>
        </row>
        <row r="3285">
          <cell r="B3285">
            <v>40038940</v>
          </cell>
          <cell r="C3285" t="str">
            <v>Godrej SelfieSHC 9ml+9ml P144 M25 NBrwn</v>
          </cell>
          <cell r="D3285">
            <v>0</v>
          </cell>
          <cell r="E3285">
            <v>0</v>
          </cell>
          <cell r="F3285">
            <v>0</v>
          </cell>
        </row>
        <row r="3286">
          <cell r="B3286">
            <v>40064106</v>
          </cell>
          <cell r="C3286" t="str">
            <v>GODREJXPRSSSHC 9ML+9ML P144 M30 NBRWN ND</v>
          </cell>
          <cell r="D3286">
            <v>0</v>
          </cell>
          <cell r="E3286">
            <v>0</v>
          </cell>
          <cell r="F3286">
            <v>0</v>
          </cell>
        </row>
        <row r="3287">
          <cell r="B3287">
            <v>40050222</v>
          </cell>
          <cell r="C3287" t="str">
            <v>Exp Selfie NBrwn P08 18ml M30 P144 - MT</v>
          </cell>
          <cell r="D3287">
            <v>0</v>
          </cell>
          <cell r="E3287">
            <v>0</v>
          </cell>
          <cell r="F3287">
            <v>0</v>
          </cell>
        </row>
        <row r="3288">
          <cell r="B3288">
            <v>40031760</v>
          </cell>
          <cell r="C3288" t="str">
            <v>ExpEasy5Min2.0 Bur 20ml PO12 M300 P12</v>
          </cell>
          <cell r="D3288">
            <v>0</v>
          </cell>
          <cell r="E3288">
            <v>0</v>
          </cell>
          <cell r="F3288">
            <v>0</v>
          </cell>
        </row>
        <row r="3289">
          <cell r="B3289">
            <v>40037208</v>
          </cell>
          <cell r="C3289" t="str">
            <v>ExpEasy5min 2.018mlBur M28 P144</v>
          </cell>
          <cell r="D3289">
            <v>0</v>
          </cell>
          <cell r="E3289">
            <v>0</v>
          </cell>
          <cell r="F3289">
            <v>0</v>
          </cell>
        </row>
        <row r="3290">
          <cell r="B3290">
            <v>40058431</v>
          </cell>
          <cell r="C3290" t="str">
            <v>EXPCRM 12G NBLK P240 M15.00 WB PILOT</v>
          </cell>
          <cell r="D3290">
            <v>0</v>
          </cell>
          <cell r="E3290">
            <v>0</v>
          </cell>
          <cell r="F3290">
            <v>0</v>
          </cell>
        </row>
        <row r="3291">
          <cell r="B3291">
            <v>40057703</v>
          </cell>
          <cell r="C3291" t="str">
            <v>EXPCRM 20G+20ML+2ML DBRWN PO10 P240 M37</v>
          </cell>
          <cell r="D3291">
            <v>0</v>
          </cell>
          <cell r="E3291">
            <v>0</v>
          </cell>
          <cell r="F3291">
            <v>0</v>
          </cell>
        </row>
        <row r="3292">
          <cell r="B3292">
            <v>40061126</v>
          </cell>
          <cell r="C3292" t="str">
            <v>EXPCRM 20G+20ML+2ML DBRWN PO10 P240 M40</v>
          </cell>
          <cell r="D3292">
            <v>0</v>
          </cell>
          <cell r="E3292">
            <v>0</v>
          </cell>
          <cell r="F3292">
            <v>0</v>
          </cell>
        </row>
        <row r="3293">
          <cell r="B3293">
            <v>40062044</v>
          </cell>
          <cell r="C3293" t="str">
            <v>EXPCREME 20G DBRWN PO10 P240 M30 DPH</v>
          </cell>
          <cell r="D3293">
            <v>0</v>
          </cell>
          <cell r="E3293">
            <v>0</v>
          </cell>
          <cell r="F3293">
            <v>0</v>
          </cell>
        </row>
        <row r="3294">
          <cell r="B3294">
            <v>40058655</v>
          </cell>
          <cell r="C3294" t="str">
            <v>EXPCRM 11G BLK BRWN P240 M15</v>
          </cell>
          <cell r="D3294">
            <v>0</v>
          </cell>
          <cell r="E3294">
            <v>0</v>
          </cell>
          <cell r="F3294">
            <v>0</v>
          </cell>
        </row>
        <row r="3295">
          <cell r="B3295">
            <v>40062021</v>
          </cell>
          <cell r="C3295" t="str">
            <v>EXPCRM 11G BLK BRWN P240 M15 ND</v>
          </cell>
          <cell r="D3295">
            <v>0</v>
          </cell>
          <cell r="E3295">
            <v>0</v>
          </cell>
          <cell r="F3295">
            <v>0</v>
          </cell>
        </row>
        <row r="3296">
          <cell r="B3296">
            <v>40057700</v>
          </cell>
          <cell r="C3296" t="str">
            <v>EXPCRM 20G+20ML+2ML BLKBRWN PO10 P240M37</v>
          </cell>
          <cell r="D3296">
            <v>0</v>
          </cell>
          <cell r="E3296">
            <v>0</v>
          </cell>
          <cell r="F3296">
            <v>0</v>
          </cell>
        </row>
        <row r="3297">
          <cell r="B3297">
            <v>40061121</v>
          </cell>
          <cell r="C3297" t="str">
            <v>EXPCRM 20G+20ML+2ML BLKBRWN PO10 P240M40</v>
          </cell>
          <cell r="D3297">
            <v>0</v>
          </cell>
          <cell r="E3297">
            <v>0</v>
          </cell>
          <cell r="F3297">
            <v>0</v>
          </cell>
        </row>
        <row r="3298">
          <cell r="B3298">
            <v>40063177</v>
          </cell>
          <cell r="C3298" t="str">
            <v>GRCRM 20G+20ML+2ML BKBRN PO10 P240M30 ND</v>
          </cell>
          <cell r="D3298">
            <v>0</v>
          </cell>
          <cell r="E3298">
            <v>0</v>
          </cell>
          <cell r="F3298">
            <v>0</v>
          </cell>
        </row>
        <row r="3299">
          <cell r="B3299">
            <v>40058976</v>
          </cell>
          <cell r="C3299" t="str">
            <v>EXPCRM 11G NAT BRWN M15.00 P240</v>
          </cell>
          <cell r="D3299">
            <v>0</v>
          </cell>
          <cell r="E3299">
            <v>0</v>
          </cell>
          <cell r="F3299">
            <v>0</v>
          </cell>
        </row>
        <row r="3300">
          <cell r="B3300">
            <v>40057701</v>
          </cell>
          <cell r="C3300" t="str">
            <v>EXPCRM 20G+20ML+2ML P010 NATBRWN P240M37</v>
          </cell>
          <cell r="D3300">
            <v>0</v>
          </cell>
          <cell r="E3300">
            <v>0</v>
          </cell>
          <cell r="F3300">
            <v>0</v>
          </cell>
        </row>
        <row r="3301">
          <cell r="B3301">
            <v>40061122</v>
          </cell>
          <cell r="C3301" t="str">
            <v>EXPCRM 20G+20ML+2ML P010 NATBRWN P240M40</v>
          </cell>
          <cell r="D3301">
            <v>0</v>
          </cell>
          <cell r="E3301">
            <v>0</v>
          </cell>
          <cell r="F3301">
            <v>0</v>
          </cell>
        </row>
        <row r="3302">
          <cell r="B3302">
            <v>40056909</v>
          </cell>
          <cell r="C3302" t="str">
            <v>Expert GERC NAT BRWN50G+50ML BOX M130P36</v>
          </cell>
          <cell r="D3302">
            <v>0</v>
          </cell>
          <cell r="E3302">
            <v>0</v>
          </cell>
          <cell r="F3302">
            <v>0</v>
          </cell>
        </row>
        <row r="3303">
          <cell r="B3303">
            <v>40058972</v>
          </cell>
          <cell r="C3303" t="str">
            <v>EXPCRM 11G BURGUNDY M15.00 P240</v>
          </cell>
          <cell r="D3303">
            <v>0</v>
          </cell>
          <cell r="E3303">
            <v>0</v>
          </cell>
          <cell r="F3303">
            <v>0</v>
          </cell>
        </row>
        <row r="3304">
          <cell r="B3304">
            <v>40059144</v>
          </cell>
          <cell r="C3304" t="str">
            <v>EXPCRM 12G BURGUNDY M15 P240 PROMO PACK</v>
          </cell>
          <cell r="D3304">
            <v>0</v>
          </cell>
          <cell r="E3304">
            <v>0</v>
          </cell>
          <cell r="F3304">
            <v>0</v>
          </cell>
        </row>
        <row r="3305">
          <cell r="B3305">
            <v>40058706</v>
          </cell>
          <cell r="C3305" t="str">
            <v>EXPCRM 20G+20ML+2ML BUR PO10 P240 M37</v>
          </cell>
          <cell r="D3305">
            <v>0</v>
          </cell>
          <cell r="E3305">
            <v>0</v>
          </cell>
          <cell r="F3305">
            <v>0</v>
          </cell>
        </row>
        <row r="3306">
          <cell r="B3306">
            <v>40061124</v>
          </cell>
          <cell r="C3306" t="str">
            <v>EXPCRM 20G+20ML+2ML BUR PO10 P240 M40</v>
          </cell>
          <cell r="D3306">
            <v>0</v>
          </cell>
          <cell r="E3306">
            <v>0</v>
          </cell>
          <cell r="F3306">
            <v>0</v>
          </cell>
        </row>
        <row r="3307">
          <cell r="B3307">
            <v>40062059</v>
          </cell>
          <cell r="C3307" t="str">
            <v>EXPCREME 20G BUR PO10 P240 M30 DPH</v>
          </cell>
          <cell r="D3307">
            <v>0</v>
          </cell>
          <cell r="E3307">
            <v>0</v>
          </cell>
          <cell r="F3307">
            <v>0</v>
          </cell>
        </row>
        <row r="3308">
          <cell r="B3308">
            <v>40063176</v>
          </cell>
          <cell r="C3308" t="str">
            <v>GRCRM 20G+20ML+2ML BUR PO10 P240 M30 ND</v>
          </cell>
          <cell r="D3308">
            <v>0</v>
          </cell>
          <cell r="E3308">
            <v>0</v>
          </cell>
          <cell r="F3308">
            <v>0</v>
          </cell>
        </row>
        <row r="3309">
          <cell r="B3309">
            <v>40017811</v>
          </cell>
          <cell r="C3309" t="str">
            <v>BBLNT SALSec CHOCOLATM199P24</v>
          </cell>
          <cell r="D3309">
            <v>0</v>
          </cell>
          <cell r="E3309">
            <v>0</v>
          </cell>
          <cell r="F3309">
            <v>0</v>
          </cell>
        </row>
        <row r="3310">
          <cell r="B3310">
            <v>40017803</v>
          </cell>
          <cell r="C3310" t="str">
            <v>BBLNT SALSecrt BLACKM199P24</v>
          </cell>
          <cell r="D3310">
            <v>0</v>
          </cell>
          <cell r="E3310">
            <v>0</v>
          </cell>
          <cell r="F3310">
            <v>0</v>
          </cell>
        </row>
        <row r="3311">
          <cell r="B3311">
            <v>40060463</v>
          </cell>
          <cell r="C3311" t="str">
            <v>RNWEXPSHAMPHAIRCLRNATBL12.5+12.5MLP120SA</v>
          </cell>
          <cell r="D3311">
            <v>0</v>
          </cell>
          <cell r="E3311">
            <v>0</v>
          </cell>
          <cell r="F3311">
            <v>0</v>
          </cell>
        </row>
        <row r="3312">
          <cell r="B3312">
            <v>40060465</v>
          </cell>
          <cell r="C3312" t="str">
            <v>RNWEXPSHAMHIRCLRDRKBLND12.5+12.5MLP120SA</v>
          </cell>
          <cell r="D3312">
            <v>0</v>
          </cell>
          <cell r="E3312">
            <v>0</v>
          </cell>
          <cell r="F3312">
            <v>0</v>
          </cell>
        </row>
        <row r="3313">
          <cell r="B3313">
            <v>40060464</v>
          </cell>
          <cell r="C3313" t="str">
            <v>RNWEXPSHAMPHAIRCLRNATBR12.5+12.5MLP120SA</v>
          </cell>
          <cell r="D3313">
            <v>0</v>
          </cell>
          <cell r="E3313">
            <v>0</v>
          </cell>
          <cell r="F3313">
            <v>0</v>
          </cell>
        </row>
        <row r="3314">
          <cell r="B3314">
            <v>40042045</v>
          </cell>
          <cell r="C3314" t="str">
            <v>Godrej SelfieSHC 5ml+5mlP360M15NBlck-NPL</v>
          </cell>
          <cell r="D3314">
            <v>0</v>
          </cell>
          <cell r="E3314">
            <v>0</v>
          </cell>
          <cell r="F3314">
            <v>0</v>
          </cell>
        </row>
        <row r="3315">
          <cell r="B3315">
            <v>40057047</v>
          </cell>
          <cell r="C3315" t="str">
            <v>ILICIT 10/1 RUB ACLARCENIZA 45G 2023 P12</v>
          </cell>
          <cell r="D3315">
            <v>0</v>
          </cell>
          <cell r="E3315">
            <v>0</v>
          </cell>
          <cell r="F3315">
            <v>0</v>
          </cell>
        </row>
        <row r="3316">
          <cell r="B3316">
            <v>40057034</v>
          </cell>
          <cell r="C3316" t="str">
            <v>ILICIT 6/35 AVELLANA 45G 2023 P12</v>
          </cell>
          <cell r="D3316">
            <v>0</v>
          </cell>
          <cell r="E3316">
            <v>0</v>
          </cell>
          <cell r="F3316">
            <v>0</v>
          </cell>
        </row>
        <row r="3317">
          <cell r="B3317">
            <v>40057039</v>
          </cell>
          <cell r="C3317" t="str">
            <v>ILICIT 5/0 CASTAÑO CLARO 45G 2023 P12</v>
          </cell>
          <cell r="D3317">
            <v>0</v>
          </cell>
          <cell r="E3317">
            <v>0</v>
          </cell>
          <cell r="F3317">
            <v>0</v>
          </cell>
        </row>
        <row r="3318">
          <cell r="B3318">
            <v>40057036</v>
          </cell>
          <cell r="C3318" t="str">
            <v>ILICIT 7/46 CEREZA 45G 2023 P12</v>
          </cell>
          <cell r="D3318">
            <v>0</v>
          </cell>
          <cell r="E3318">
            <v>0</v>
          </cell>
          <cell r="F3318">
            <v>0</v>
          </cell>
        </row>
        <row r="3319">
          <cell r="B3319">
            <v>40057041</v>
          </cell>
          <cell r="C3319" t="str">
            <v>ILICIT 5/20 CIRUELA 45G 2023 P12</v>
          </cell>
          <cell r="D3319">
            <v>0</v>
          </cell>
          <cell r="E3319">
            <v>0</v>
          </cell>
          <cell r="F3319">
            <v>0</v>
          </cell>
        </row>
        <row r="3320">
          <cell r="B3320">
            <v>40057023</v>
          </cell>
          <cell r="C3320" t="str">
            <v>ILICIT 3/0 CASTAÑO OSCURO 45G 2023 P12</v>
          </cell>
          <cell r="D3320">
            <v>0</v>
          </cell>
          <cell r="E3320">
            <v>0</v>
          </cell>
          <cell r="F3320">
            <v>0</v>
          </cell>
        </row>
        <row r="3321">
          <cell r="B3321">
            <v>40056979</v>
          </cell>
          <cell r="C3321" t="str">
            <v>ILICIT 6/66 GUINDA 45G 2023 P12</v>
          </cell>
          <cell r="D3321">
            <v>0</v>
          </cell>
          <cell r="E3321">
            <v>0</v>
          </cell>
          <cell r="F3321">
            <v>0</v>
          </cell>
        </row>
        <row r="3322">
          <cell r="B3322">
            <v>40057048</v>
          </cell>
          <cell r="C3322" t="str">
            <v>ILICIT 6/75 CHOCOLATE CAOBA 45G P12</v>
          </cell>
          <cell r="D3322">
            <v>0</v>
          </cell>
          <cell r="E3322">
            <v>0</v>
          </cell>
          <cell r="F3322">
            <v>0</v>
          </cell>
        </row>
        <row r="3323">
          <cell r="B3323">
            <v>40057052</v>
          </cell>
          <cell r="C3323" t="str">
            <v>ILICIT7/1 RUBIO MEDIO CENIZ 45G 2023 P12</v>
          </cell>
          <cell r="D3323">
            <v>0</v>
          </cell>
          <cell r="E3323">
            <v>0</v>
          </cell>
          <cell r="F3323">
            <v>0</v>
          </cell>
        </row>
        <row r="3324">
          <cell r="B3324">
            <v>40057022</v>
          </cell>
          <cell r="C3324" t="str">
            <v>ILICIT 7/35 MIEL 45G 2023 P12</v>
          </cell>
          <cell r="D3324">
            <v>0</v>
          </cell>
          <cell r="E3324">
            <v>0</v>
          </cell>
          <cell r="F3324">
            <v>0</v>
          </cell>
        </row>
        <row r="3325">
          <cell r="B3325">
            <v>40056977</v>
          </cell>
          <cell r="C3325" t="str">
            <v>ILICIT 2/8 NEGRO AZULADO 45G 2023 P12</v>
          </cell>
          <cell r="D3325">
            <v>0</v>
          </cell>
          <cell r="E3325">
            <v>0</v>
          </cell>
          <cell r="F3325">
            <v>0</v>
          </cell>
        </row>
        <row r="3326">
          <cell r="B3326">
            <v>40057024</v>
          </cell>
          <cell r="C3326" t="str">
            <v>ILICIT 1/0 NEGRO 45G 2023 P12</v>
          </cell>
          <cell r="D3326">
            <v>0</v>
          </cell>
          <cell r="E3326">
            <v>0</v>
          </cell>
          <cell r="F3326">
            <v>0</v>
          </cell>
        </row>
        <row r="3327">
          <cell r="B3327">
            <v>40056978</v>
          </cell>
          <cell r="C3327" t="str">
            <v>ILICIT 6/1 RUBIO OSCU CENIZA 45G2023 P12</v>
          </cell>
          <cell r="D3327">
            <v>0</v>
          </cell>
          <cell r="E3327">
            <v>0</v>
          </cell>
          <cell r="F3327">
            <v>0</v>
          </cell>
        </row>
        <row r="3328">
          <cell r="B3328">
            <v>40057050</v>
          </cell>
          <cell r="C3328" t="str">
            <v>ILICIT 10/0 RUBIO ACLARANTE 45G 2023 P12</v>
          </cell>
          <cell r="D3328">
            <v>0</v>
          </cell>
          <cell r="E3328">
            <v>0</v>
          </cell>
          <cell r="F3328">
            <v>0</v>
          </cell>
        </row>
        <row r="3329">
          <cell r="B3329">
            <v>40057030</v>
          </cell>
          <cell r="C3329" t="str">
            <v>ILICIT 8/0 RUBIO CLARO 45G 2023 P12</v>
          </cell>
          <cell r="D3329">
            <v>0</v>
          </cell>
          <cell r="E3329">
            <v>0</v>
          </cell>
          <cell r="F3329">
            <v>0</v>
          </cell>
        </row>
        <row r="3330">
          <cell r="B3330">
            <v>40057038</v>
          </cell>
          <cell r="C3330" t="str">
            <v>ILICIT 7/3 RUBIO DORADO 45G 2023 P12</v>
          </cell>
          <cell r="D3330">
            <v>0</v>
          </cell>
          <cell r="E3330">
            <v>0</v>
          </cell>
          <cell r="F3330">
            <v>0</v>
          </cell>
        </row>
        <row r="3331">
          <cell r="B3331">
            <v>40057040</v>
          </cell>
          <cell r="C3331" t="str">
            <v>ILICIT 7/0 RUBIO MEDIO 45G 2023 P12</v>
          </cell>
          <cell r="D3331">
            <v>0</v>
          </cell>
          <cell r="E3331">
            <v>0</v>
          </cell>
          <cell r="F3331">
            <v>0</v>
          </cell>
        </row>
        <row r="3332">
          <cell r="B3332">
            <v>40057027</v>
          </cell>
          <cell r="C3332" t="str">
            <v>ILICIT 6/0 RUBIO OSCURO 45G 2023 P12</v>
          </cell>
          <cell r="D3332">
            <v>0</v>
          </cell>
          <cell r="E3332">
            <v>0</v>
          </cell>
          <cell r="F3332">
            <v>0</v>
          </cell>
        </row>
        <row r="3333">
          <cell r="B3333">
            <v>40056980</v>
          </cell>
          <cell r="C3333" t="str">
            <v>ILICIT 8/1 RUBIO CLARO CENIZ45G 2023 P12</v>
          </cell>
          <cell r="D3333">
            <v>0</v>
          </cell>
          <cell r="E3333">
            <v>0</v>
          </cell>
          <cell r="F3333">
            <v>0</v>
          </cell>
        </row>
        <row r="3334">
          <cell r="B3334">
            <v>40057160</v>
          </cell>
          <cell r="C3334" t="str">
            <v>ILICIT SIN AMONÍACO 5/0 CASTAÑO CLRO P12</v>
          </cell>
          <cell r="D3334">
            <v>0</v>
          </cell>
          <cell r="E3334">
            <v>0</v>
          </cell>
          <cell r="F3334">
            <v>0</v>
          </cell>
        </row>
        <row r="3335">
          <cell r="B3335">
            <v>40057174</v>
          </cell>
          <cell r="C3335" t="str">
            <v>ILICIT SIN AMONÍACO 6/7 CHOCOLATE P12</v>
          </cell>
          <cell r="D3335">
            <v>0</v>
          </cell>
          <cell r="E3335">
            <v>0</v>
          </cell>
          <cell r="F3335">
            <v>0</v>
          </cell>
        </row>
        <row r="3336">
          <cell r="B3336">
            <v>40057246</v>
          </cell>
          <cell r="C3336" t="str">
            <v>ILICIT SIN AMONÍACO6/1RUBIO OSCCENIZAP12</v>
          </cell>
          <cell r="D3336">
            <v>0</v>
          </cell>
          <cell r="E3336">
            <v>0</v>
          </cell>
          <cell r="F3336">
            <v>0</v>
          </cell>
        </row>
        <row r="3337">
          <cell r="B3337">
            <v>40057252</v>
          </cell>
          <cell r="C3337" t="str">
            <v>ILICIT SIN AMONÍACO 8/0 RUBIO CLARO P12</v>
          </cell>
          <cell r="D3337">
            <v>0</v>
          </cell>
          <cell r="E3337">
            <v>0</v>
          </cell>
          <cell r="F3337">
            <v>0</v>
          </cell>
        </row>
        <row r="3338">
          <cell r="B3338">
            <v>40057278</v>
          </cell>
          <cell r="C3338" t="str">
            <v>ILICIT SIN AMONÍACO 2/8 NEGROAZULADO P12</v>
          </cell>
          <cell r="D3338">
            <v>0</v>
          </cell>
          <cell r="E3338">
            <v>0</v>
          </cell>
          <cell r="F3338">
            <v>0</v>
          </cell>
        </row>
        <row r="3339">
          <cell r="B3339">
            <v>40059024</v>
          </cell>
          <cell r="C3339" t="str">
            <v>EXPCRM 11G NBLK P240 M15 NEPAL</v>
          </cell>
          <cell r="D3339">
            <v>0</v>
          </cell>
          <cell r="E3339">
            <v>0</v>
          </cell>
          <cell r="F3339">
            <v>0</v>
          </cell>
        </row>
        <row r="3340">
          <cell r="B3340">
            <v>40064126</v>
          </cell>
          <cell r="C3340" t="str">
            <v>EXPCRM 11G NBLK P240 ND-EXP CC</v>
          </cell>
          <cell r="D3340">
            <v>0</v>
          </cell>
          <cell r="E3340">
            <v>0</v>
          </cell>
          <cell r="F3340">
            <v>0</v>
          </cell>
        </row>
        <row r="3341">
          <cell r="B3341">
            <v>40064215</v>
          </cell>
          <cell r="C3341" t="str">
            <v>EXPCRM 11G NBLK M15 P240 ND-NPL</v>
          </cell>
          <cell r="D3341">
            <v>0</v>
          </cell>
          <cell r="E3341">
            <v>0</v>
          </cell>
          <cell r="F3341">
            <v>0</v>
          </cell>
        </row>
        <row r="3342">
          <cell r="B3342">
            <v>40065124</v>
          </cell>
          <cell r="C3342" t="str">
            <v>EXPCRM 11G NBLK P240 M15 NPL-EXP</v>
          </cell>
          <cell r="D3342">
            <v>0</v>
          </cell>
          <cell r="E3342">
            <v>0</v>
          </cell>
          <cell r="F3342">
            <v>0</v>
          </cell>
        </row>
        <row r="3343">
          <cell r="B3343">
            <v>40049607</v>
          </cell>
          <cell r="C3343" t="str">
            <v>ExpCrm 20g P010 NBlk P240 M40Nepal</v>
          </cell>
          <cell r="D3343">
            <v>0</v>
          </cell>
          <cell r="E3343">
            <v>0</v>
          </cell>
          <cell r="F3343">
            <v>0</v>
          </cell>
        </row>
        <row r="3344">
          <cell r="B3344">
            <v>40064202</v>
          </cell>
          <cell r="C3344" t="str">
            <v>GRCRM20G+20G+2ML P010NBLK P240M37 ND NPL</v>
          </cell>
          <cell r="D3344">
            <v>0</v>
          </cell>
          <cell r="E3344">
            <v>0</v>
          </cell>
          <cell r="F3344">
            <v>0</v>
          </cell>
        </row>
        <row r="3345">
          <cell r="B3345">
            <v>40064217</v>
          </cell>
          <cell r="C3345" t="str">
            <v>GRCRM20G+20G+2ML P010 NBLK P240M40ND BTN</v>
          </cell>
          <cell r="D3345">
            <v>0</v>
          </cell>
          <cell r="E3345">
            <v>0</v>
          </cell>
          <cell r="F3345">
            <v>0</v>
          </cell>
        </row>
        <row r="3346">
          <cell r="B3346">
            <v>40042782</v>
          </cell>
          <cell r="C3346" t="str">
            <v>ExpCreme 20g DBrwn PO10 P240 M37-NEPAL</v>
          </cell>
          <cell r="D3346">
            <v>0</v>
          </cell>
          <cell r="E3346">
            <v>0</v>
          </cell>
          <cell r="F3346">
            <v>0</v>
          </cell>
        </row>
        <row r="3347">
          <cell r="B3347">
            <v>40042783</v>
          </cell>
          <cell r="C3347" t="str">
            <v>ExpCreme 20g BlkBrwn PO10 P240 M37-NEPAL</v>
          </cell>
          <cell r="D3347">
            <v>0</v>
          </cell>
          <cell r="E3347">
            <v>0</v>
          </cell>
          <cell r="F3347">
            <v>0</v>
          </cell>
        </row>
        <row r="3348">
          <cell r="B3348">
            <v>40049615</v>
          </cell>
          <cell r="C3348" t="str">
            <v>ExpCreme 20g BlkBrwn PO10 P240 M40Nepal</v>
          </cell>
          <cell r="D3348">
            <v>0</v>
          </cell>
          <cell r="E3348">
            <v>0</v>
          </cell>
          <cell r="F3348">
            <v>0</v>
          </cell>
        </row>
        <row r="3349">
          <cell r="B3349">
            <v>40062198</v>
          </cell>
          <cell r="C3349" t="str">
            <v>EXPCRM 11G NAT BRWN M15.00 P240 NPL</v>
          </cell>
          <cell r="D3349">
            <v>0</v>
          </cell>
          <cell r="E3349">
            <v>0</v>
          </cell>
          <cell r="F3349">
            <v>0</v>
          </cell>
        </row>
        <row r="3350">
          <cell r="B3350">
            <v>40059668</v>
          </cell>
          <cell r="C3350" t="str">
            <v>EXPCREME 20G P010 NAT BRWN P240  EGY-EXP</v>
          </cell>
          <cell r="D3350">
            <v>0</v>
          </cell>
          <cell r="E3350">
            <v>0</v>
          </cell>
          <cell r="F3350">
            <v>0</v>
          </cell>
        </row>
        <row r="3351">
          <cell r="B3351">
            <v>40064211</v>
          </cell>
          <cell r="C3351" t="str">
            <v>GRCRM20G+20ML+2MLP010NTBRN P240M37ND NPL</v>
          </cell>
          <cell r="D3351">
            <v>0</v>
          </cell>
          <cell r="E3351">
            <v>0</v>
          </cell>
          <cell r="F3351">
            <v>0</v>
          </cell>
        </row>
        <row r="3352">
          <cell r="B3352">
            <v>40065122</v>
          </cell>
          <cell r="C3352" t="str">
            <v>EXPERT CRM NAT BWN PO8 P240-MT ND EXP CC</v>
          </cell>
          <cell r="D3352">
            <v>0</v>
          </cell>
          <cell r="E3352">
            <v>0</v>
          </cell>
          <cell r="F3352">
            <v>0</v>
          </cell>
        </row>
        <row r="3353">
          <cell r="B3353">
            <v>40064204</v>
          </cell>
          <cell r="C3353" t="str">
            <v>GODCRM 11G BURGUNDY M15 P240 ND-NPL</v>
          </cell>
          <cell r="D3353">
            <v>0</v>
          </cell>
          <cell r="E3353">
            <v>0</v>
          </cell>
          <cell r="F3353">
            <v>0</v>
          </cell>
        </row>
        <row r="3354">
          <cell r="B3354">
            <v>40049603</v>
          </cell>
          <cell r="C3354" t="str">
            <v>ExpCreme 20g Bur PO10 P240 M40Nepal</v>
          </cell>
          <cell r="D3354">
            <v>0</v>
          </cell>
          <cell r="E3354">
            <v>0</v>
          </cell>
          <cell r="F3354">
            <v>0</v>
          </cell>
        </row>
        <row r="3355">
          <cell r="B3355">
            <v>40059669</v>
          </cell>
          <cell r="C3355" t="str">
            <v>EXPCREME 20G BUR PO10 P240 - EGY-EXP</v>
          </cell>
          <cell r="D3355">
            <v>0</v>
          </cell>
          <cell r="E3355">
            <v>0</v>
          </cell>
          <cell r="F3355">
            <v>0</v>
          </cell>
        </row>
        <row r="3356">
          <cell r="B3356">
            <v>40064210</v>
          </cell>
          <cell r="C3356" t="str">
            <v>GRCRM20G+20ML+2ML BUR PO10P240M37 ND NPL</v>
          </cell>
          <cell r="D3356">
            <v>0</v>
          </cell>
          <cell r="E3356">
            <v>0</v>
          </cell>
          <cell r="F3356">
            <v>0</v>
          </cell>
        </row>
        <row r="3357">
          <cell r="B3357">
            <v>40059111</v>
          </cell>
          <cell r="C3357" t="str">
            <v>EPHC ORG P010 3GX90 M200 P90 NEPAL</v>
          </cell>
          <cell r="D3357">
            <v>0</v>
          </cell>
          <cell r="E3357">
            <v>0</v>
          </cell>
          <cell r="F3357">
            <v>0</v>
          </cell>
        </row>
        <row r="3358">
          <cell r="B3358">
            <v>40041396</v>
          </cell>
          <cell r="C3358" t="str">
            <v>God SelfieSHC 9ml+9ml P144 NBlck-W/O MRP</v>
          </cell>
          <cell r="D3358">
            <v>0</v>
          </cell>
          <cell r="E3358">
            <v>0</v>
          </cell>
          <cell r="F3358">
            <v>0</v>
          </cell>
        </row>
        <row r="3359">
          <cell r="B3359">
            <v>40041446</v>
          </cell>
          <cell r="C3359" t="str">
            <v>God SelfieSHC9ml+9mlP144NBlck W/oMrpGGME</v>
          </cell>
          <cell r="D3359">
            <v>0</v>
          </cell>
          <cell r="E3359">
            <v>0</v>
          </cell>
          <cell r="F3359">
            <v>0</v>
          </cell>
        </row>
        <row r="3360">
          <cell r="B3360">
            <v>40028353</v>
          </cell>
          <cell r="C3360" t="str">
            <v>Nupur 100g Pk72 GCC - EXP</v>
          </cell>
          <cell r="D3360">
            <v>0</v>
          </cell>
          <cell r="E3360">
            <v>0</v>
          </cell>
          <cell r="F3360">
            <v>0</v>
          </cell>
        </row>
        <row r="3361">
          <cell r="B3361">
            <v>40031921</v>
          </cell>
          <cell r="C3361" t="str">
            <v>NUPUR MEHENDI 1KG P12 FRENCH A/W-CANADA</v>
          </cell>
          <cell r="D3361">
            <v>0</v>
          </cell>
          <cell r="E3361">
            <v>0</v>
          </cell>
          <cell r="F3361">
            <v>0</v>
          </cell>
        </row>
        <row r="3362">
          <cell r="B3362">
            <v>40043904</v>
          </cell>
          <cell r="C3362" t="str">
            <v>NUPUR PURE HEENA 400GM P24-USA</v>
          </cell>
          <cell r="D3362">
            <v>0</v>
          </cell>
          <cell r="E3362">
            <v>0</v>
          </cell>
          <cell r="F3362">
            <v>0</v>
          </cell>
        </row>
        <row r="3363">
          <cell r="B3363">
            <v>40063546</v>
          </cell>
          <cell r="C3363" t="str">
            <v>NUPUR PURE HENNA 500G M200 P24 NEW NPL</v>
          </cell>
          <cell r="D3363">
            <v>0</v>
          </cell>
          <cell r="E3363">
            <v>0</v>
          </cell>
          <cell r="F3363">
            <v>0</v>
          </cell>
        </row>
        <row r="3364">
          <cell r="B3364">
            <v>40064273</v>
          </cell>
          <cell r="C3364" t="str">
            <v>NUPUR HEENA 35G M15 P324  -CO NPL</v>
          </cell>
          <cell r="D3364">
            <v>0</v>
          </cell>
          <cell r="E3364">
            <v>0</v>
          </cell>
          <cell r="F3364">
            <v>0</v>
          </cell>
        </row>
        <row r="3365">
          <cell r="B3365">
            <v>40059542</v>
          </cell>
          <cell r="C3365" t="str">
            <v>NUPUR PURE HENNA 65G M40 P180 NEW NPL</v>
          </cell>
          <cell r="D3365">
            <v>0</v>
          </cell>
          <cell r="E3365">
            <v>0</v>
          </cell>
          <cell r="F3365">
            <v>0</v>
          </cell>
        </row>
        <row r="3366">
          <cell r="B3366">
            <v>40059674</v>
          </cell>
          <cell r="C3366" t="str">
            <v>NUPUR PURE HENNA 65G P180 EGY-EXP</v>
          </cell>
          <cell r="D3366">
            <v>0</v>
          </cell>
          <cell r="E3366">
            <v>0</v>
          </cell>
          <cell r="F3366">
            <v>0</v>
          </cell>
        </row>
        <row r="3367">
          <cell r="B3367">
            <v>40064269</v>
          </cell>
          <cell r="C3367" t="str">
            <v>NUPUR PURE HENNA 100G M40 P144 NEW BTN</v>
          </cell>
          <cell r="D3367">
            <v>0</v>
          </cell>
          <cell r="E3367">
            <v>0</v>
          </cell>
          <cell r="F3367">
            <v>0</v>
          </cell>
        </row>
        <row r="3368">
          <cell r="B3368">
            <v>40064426</v>
          </cell>
          <cell r="C3368" t="str">
            <v>NUPUR PURE HENNA 100G M40 P144 NEW- NPL</v>
          </cell>
          <cell r="D3368">
            <v>0</v>
          </cell>
          <cell r="E3368">
            <v>0</v>
          </cell>
          <cell r="F3368">
            <v>0</v>
          </cell>
        </row>
        <row r="3369">
          <cell r="B3369">
            <v>40059177</v>
          </cell>
          <cell r="C3369" t="str">
            <v>NUPUR PURE HEENA 120G  P72-USA</v>
          </cell>
          <cell r="D3369">
            <v>0</v>
          </cell>
          <cell r="E3369">
            <v>0</v>
          </cell>
          <cell r="F3369">
            <v>0</v>
          </cell>
        </row>
        <row r="3370">
          <cell r="B3370">
            <v>40059769</v>
          </cell>
          <cell r="C3370" t="str">
            <v>NUPUR PURE HENNA 140G M80 P72 NEW NEPAL</v>
          </cell>
          <cell r="D3370">
            <v>0</v>
          </cell>
          <cell r="E3370">
            <v>0</v>
          </cell>
          <cell r="F3370">
            <v>0</v>
          </cell>
        </row>
        <row r="3371">
          <cell r="B3371">
            <v>40064256</v>
          </cell>
          <cell r="C3371" t="str">
            <v>NUPUR PURE HENNA 200G M80 P72 NEW BTN</v>
          </cell>
          <cell r="D3371">
            <v>0</v>
          </cell>
          <cell r="E3371">
            <v>0</v>
          </cell>
          <cell r="F3371">
            <v>0</v>
          </cell>
        </row>
        <row r="3372">
          <cell r="B3372">
            <v>40064274</v>
          </cell>
          <cell r="C3372" t="str">
            <v>NUPUR PURE HENNA 200G M80 P72 NEW NPL</v>
          </cell>
          <cell r="D3372">
            <v>0</v>
          </cell>
          <cell r="E3372">
            <v>0</v>
          </cell>
          <cell r="F3372">
            <v>0</v>
          </cell>
        </row>
        <row r="3373">
          <cell r="B3373">
            <v>40032148</v>
          </cell>
          <cell r="C3373" t="str">
            <v>GK Fast Card Jumbo P010 P432 MRP15</v>
          </cell>
          <cell r="D3373">
            <v>0</v>
          </cell>
          <cell r="E3373">
            <v>0</v>
          </cell>
          <cell r="F3373">
            <v>0</v>
          </cell>
        </row>
        <row r="3374">
          <cell r="B3374">
            <v>40036333</v>
          </cell>
          <cell r="C3374" t="str">
            <v>GK JumboFastCard P010 P432 MRP10</v>
          </cell>
          <cell r="D3374">
            <v>0</v>
          </cell>
          <cell r="E3374">
            <v>0</v>
          </cell>
          <cell r="F3374">
            <v>0</v>
          </cell>
        </row>
        <row r="3375">
          <cell r="B3375">
            <v>40036881</v>
          </cell>
          <cell r="C3375" t="str">
            <v>GK JumboFastCard P010 P432 MRP10 NEW</v>
          </cell>
          <cell r="D3375">
            <v>0</v>
          </cell>
          <cell r="E3375">
            <v>0</v>
          </cell>
          <cell r="F3375">
            <v>0</v>
          </cell>
        </row>
        <row r="3376">
          <cell r="B3376">
            <v>40037795</v>
          </cell>
          <cell r="C3376" t="str">
            <v>GK JumboFastCard P010 P432 MRP10 15 RM</v>
          </cell>
          <cell r="D3376">
            <v>0</v>
          </cell>
          <cell r="E3376">
            <v>0</v>
          </cell>
          <cell r="F3376">
            <v>0</v>
          </cell>
        </row>
        <row r="3377">
          <cell r="B3377">
            <v>40028027</v>
          </cell>
          <cell r="C3377" t="str">
            <v>GK Natural Neem Agarbati-WB NEW M15 P288</v>
          </cell>
          <cell r="D3377">
            <v>0</v>
          </cell>
          <cell r="E3377">
            <v>0</v>
          </cell>
          <cell r="F3377">
            <v>0</v>
          </cell>
        </row>
        <row r="3378">
          <cell r="B3378">
            <v>40043362</v>
          </cell>
          <cell r="C3378" t="str">
            <v>GK Agarbatti M12 P288</v>
          </cell>
          <cell r="D3378">
            <v>0</v>
          </cell>
          <cell r="E3378">
            <v>0</v>
          </cell>
          <cell r="F3378">
            <v>0</v>
          </cell>
        </row>
        <row r="3379">
          <cell r="B3379">
            <v>40058046</v>
          </cell>
          <cell r="C3379" t="str">
            <v>GK AGARBATTI M15 P288</v>
          </cell>
          <cell r="D3379">
            <v>0</v>
          </cell>
          <cell r="E3379">
            <v>0</v>
          </cell>
          <cell r="F3379">
            <v>0</v>
          </cell>
        </row>
        <row r="3380">
          <cell r="B3380">
            <v>40059066</v>
          </cell>
          <cell r="C3380" t="str">
            <v>GK AGARBATTI M15 P288 11 INCH</v>
          </cell>
          <cell r="D3380">
            <v>0</v>
          </cell>
          <cell r="E3380">
            <v>0</v>
          </cell>
          <cell r="F3380">
            <v>0</v>
          </cell>
        </row>
        <row r="3381">
          <cell r="B3381">
            <v>40062484</v>
          </cell>
          <cell r="C3381" t="str">
            <v>GK AGARBATTI M15 P288 8 STICKS REF</v>
          </cell>
          <cell r="D3381">
            <v>0</v>
          </cell>
          <cell r="E3381">
            <v>0</v>
          </cell>
          <cell r="F3381">
            <v>0</v>
          </cell>
        </row>
        <row r="3382">
          <cell r="B3382">
            <v>40059067</v>
          </cell>
          <cell r="C3382" t="str">
            <v>GK AGARBATTI M10(CROSS 15)P288 11INCH</v>
          </cell>
          <cell r="D3382">
            <v>0</v>
          </cell>
          <cell r="E3382">
            <v>0</v>
          </cell>
          <cell r="F3382">
            <v>0</v>
          </cell>
        </row>
        <row r="3383">
          <cell r="B3383">
            <v>40059837</v>
          </cell>
          <cell r="C3383" t="str">
            <v>GK AGARBATTI M10 P288 OP3 50M12X2</v>
          </cell>
          <cell r="D3383">
            <v>0</v>
          </cell>
          <cell r="E3383">
            <v>0</v>
          </cell>
          <cell r="F3383">
            <v>0</v>
          </cell>
        </row>
        <row r="3384">
          <cell r="B3384">
            <v>40059839</v>
          </cell>
          <cell r="C3384" t="str">
            <v>GK AGARBATTI M10 P288 OP4 50M6X4 TT</v>
          </cell>
          <cell r="D3384">
            <v>0</v>
          </cell>
          <cell r="E3384">
            <v>0</v>
          </cell>
          <cell r="F3384">
            <v>0</v>
          </cell>
        </row>
        <row r="3385">
          <cell r="B3385">
            <v>40065408</v>
          </cell>
          <cell r="C3385" t="str">
            <v>GK Agarbatti M120 P24 LIQ</v>
          </cell>
          <cell r="D3385">
            <v>0</v>
          </cell>
          <cell r="E3385">
            <v>0</v>
          </cell>
          <cell r="F3385">
            <v>0</v>
          </cell>
        </row>
        <row r="3386">
          <cell r="B3386">
            <v>40064655</v>
          </cell>
          <cell r="C3386" t="str">
            <v>GK AGARBATTI M60 P288 10 STICKS MT-PO3</v>
          </cell>
          <cell r="D3386">
            <v>0</v>
          </cell>
          <cell r="E3386">
            <v>0</v>
          </cell>
          <cell r="F3386">
            <v>0</v>
          </cell>
        </row>
        <row r="3387">
          <cell r="B3387">
            <v>40065716</v>
          </cell>
          <cell r="C3387" t="str">
            <v>GK AGARBATTI M60 P96 10 STICKS MT-PO3</v>
          </cell>
          <cell r="D3387">
            <v>0</v>
          </cell>
          <cell r="E3387">
            <v>0</v>
          </cell>
          <cell r="F3387">
            <v>0</v>
          </cell>
        </row>
        <row r="3388">
          <cell r="B3388">
            <v>40031836</v>
          </cell>
          <cell r="C3388" t="str">
            <v>GK AntiMosqSkinSpray100ml M299P24</v>
          </cell>
          <cell r="D3388">
            <v>0</v>
          </cell>
          <cell r="E3388">
            <v>0</v>
          </cell>
          <cell r="F3388">
            <v>0</v>
          </cell>
        </row>
        <row r="3389">
          <cell r="B3389">
            <v>40065004</v>
          </cell>
          <cell r="C3389" t="str">
            <v>GK MAHA JUMBO BULK COIL M155 P12 HP</v>
          </cell>
          <cell r="D3389">
            <v>0</v>
          </cell>
          <cell r="E3389">
            <v>0</v>
          </cell>
          <cell r="F3389">
            <v>0</v>
          </cell>
        </row>
        <row r="3390">
          <cell r="B3390">
            <v>40013343</v>
          </cell>
          <cell r="C3390" t="str">
            <v>GK CARE CL 4 FR MAHAJMB  M32 PS36</v>
          </cell>
          <cell r="D3390">
            <v>0</v>
          </cell>
          <cell r="E3390">
            <v>0</v>
          </cell>
          <cell r="F3390">
            <v>0</v>
          </cell>
        </row>
        <row r="3391">
          <cell r="B3391">
            <v>40013397</v>
          </cell>
          <cell r="C3391" t="str">
            <v>GK CRMHJMB CL4FR MRP32PS36(14cs+1cs)</v>
          </cell>
          <cell r="D3391">
            <v>0</v>
          </cell>
          <cell r="E3391">
            <v>0</v>
          </cell>
          <cell r="F3391">
            <v>0</v>
          </cell>
        </row>
        <row r="3392">
          <cell r="B3392">
            <v>40019264</v>
          </cell>
          <cell r="C3392" t="str">
            <v>GK CARE CL4FR MAHAJMB M32PS36NEW(14+1)</v>
          </cell>
          <cell r="D3392">
            <v>0</v>
          </cell>
          <cell r="E3392">
            <v>0</v>
          </cell>
          <cell r="F3392">
            <v>0</v>
          </cell>
        </row>
        <row r="3393">
          <cell r="B3393">
            <v>40019268</v>
          </cell>
          <cell r="C3393" t="str">
            <v>GK CARE CL4FR MAHAJMB M32PS36N FRW(14+1)</v>
          </cell>
          <cell r="D3393">
            <v>0</v>
          </cell>
          <cell r="E3393">
            <v>0</v>
          </cell>
          <cell r="F3393">
            <v>0</v>
          </cell>
        </row>
        <row r="3394">
          <cell r="B3394">
            <v>40032274</v>
          </cell>
          <cell r="C3394" t="str">
            <v>GK Coil 4FR MAHAJMB M35 P36 NEW</v>
          </cell>
          <cell r="D3394">
            <v>0</v>
          </cell>
          <cell r="E3394">
            <v>0</v>
          </cell>
          <cell r="F3394">
            <v>0</v>
          </cell>
        </row>
        <row r="3395">
          <cell r="B3395">
            <v>40035101</v>
          </cell>
          <cell r="C3395" t="str">
            <v>GK Coil 4FR MAHAJMB MRP36 P36 NEW</v>
          </cell>
          <cell r="D3395">
            <v>0</v>
          </cell>
          <cell r="E3395">
            <v>0</v>
          </cell>
          <cell r="F3395">
            <v>0</v>
          </cell>
        </row>
        <row r="3396">
          <cell r="B3396">
            <v>40036692</v>
          </cell>
          <cell r="C3396" t="str">
            <v>GK Coil 4FR MAHAJMB MRP37 P36 NEW</v>
          </cell>
          <cell r="D3396">
            <v>0</v>
          </cell>
          <cell r="E3396">
            <v>0</v>
          </cell>
          <cell r="F3396">
            <v>0</v>
          </cell>
        </row>
        <row r="3397">
          <cell r="B3397">
            <v>40041224</v>
          </cell>
          <cell r="C3397" t="str">
            <v>GK Coil 4FR MAHAJMB MRP39 P36</v>
          </cell>
          <cell r="D3397">
            <v>0</v>
          </cell>
          <cell r="E3397">
            <v>0</v>
          </cell>
          <cell r="F3397">
            <v>0</v>
          </cell>
        </row>
        <row r="3398">
          <cell r="B3398">
            <v>40050429</v>
          </cell>
          <cell r="C3398" t="str">
            <v>GK COIL 4FR MAHAJMB MRP41.00 P36 TFT</v>
          </cell>
          <cell r="D3398">
            <v>0</v>
          </cell>
          <cell r="E3398">
            <v>0</v>
          </cell>
          <cell r="F3398">
            <v>0</v>
          </cell>
        </row>
        <row r="3399">
          <cell r="B3399">
            <v>40050431</v>
          </cell>
          <cell r="C3399" t="str">
            <v>GK COIL 4FR MAHAJMB MRP41.00 P36 RNF</v>
          </cell>
          <cell r="D3399">
            <v>0</v>
          </cell>
          <cell r="E3399">
            <v>0</v>
          </cell>
          <cell r="F3399">
            <v>0</v>
          </cell>
        </row>
        <row r="3400">
          <cell r="B3400">
            <v>40056486</v>
          </cell>
          <cell r="C3400" t="str">
            <v>GK COIL 4FR MAHAJMB M43 P36 RNF</v>
          </cell>
          <cell r="D3400">
            <v>0</v>
          </cell>
          <cell r="E3400">
            <v>0</v>
          </cell>
          <cell r="F3400">
            <v>0</v>
          </cell>
        </row>
        <row r="3401">
          <cell r="B3401">
            <v>40060507</v>
          </cell>
          <cell r="C3401" t="str">
            <v>GK COIL 4FR MAHAJMB M45 P36 RNF</v>
          </cell>
          <cell r="D3401">
            <v>0</v>
          </cell>
          <cell r="E3401">
            <v>0</v>
          </cell>
          <cell r="F3401">
            <v>0</v>
          </cell>
        </row>
        <row r="3402">
          <cell r="B3402">
            <v>40063624</v>
          </cell>
          <cell r="C3402" t="str">
            <v>GK COIL 4FR MAHAJMB M47 P36 RNF HP</v>
          </cell>
          <cell r="D3402">
            <v>0</v>
          </cell>
          <cell r="E3402">
            <v>0</v>
          </cell>
          <cell r="F3402">
            <v>0</v>
          </cell>
        </row>
        <row r="3403">
          <cell r="B3403">
            <v>40065250</v>
          </cell>
          <cell r="C3403" t="str">
            <v>GK COIL 4FR MAHAJMB M49 P36 RNF HP</v>
          </cell>
          <cell r="D3403">
            <v>0</v>
          </cell>
          <cell r="E3403">
            <v>0</v>
          </cell>
          <cell r="F3403">
            <v>0</v>
          </cell>
        </row>
        <row r="3404">
          <cell r="B3404">
            <v>40036725</v>
          </cell>
          <cell r="C3404" t="str">
            <v>GK Coil 4FR MAHAJMB MRP39 P36 NEW TN</v>
          </cell>
          <cell r="D3404">
            <v>0</v>
          </cell>
          <cell r="E3404">
            <v>0</v>
          </cell>
          <cell r="F3404">
            <v>0</v>
          </cell>
        </row>
        <row r="3405">
          <cell r="B3405">
            <v>40044150</v>
          </cell>
          <cell r="C3405" t="str">
            <v>GK Coil 4FR MAHAJMB MRP41 P36 TN RNF</v>
          </cell>
          <cell r="D3405">
            <v>0</v>
          </cell>
          <cell r="E3405">
            <v>0</v>
          </cell>
          <cell r="F3405">
            <v>0</v>
          </cell>
        </row>
        <row r="3406">
          <cell r="B3406">
            <v>40050435</v>
          </cell>
          <cell r="C3406" t="str">
            <v>GK COIL 4FR MAHAJMB MRP42.00 P36 TN RNF</v>
          </cell>
          <cell r="D3406">
            <v>0</v>
          </cell>
          <cell r="E3406">
            <v>0</v>
          </cell>
          <cell r="F3406">
            <v>0</v>
          </cell>
        </row>
        <row r="3407">
          <cell r="B3407">
            <v>40032285</v>
          </cell>
          <cell r="C3407" t="str">
            <v>GK COIL MAHAJMB MRP35 PS60</v>
          </cell>
          <cell r="D3407">
            <v>0</v>
          </cell>
          <cell r="E3407">
            <v>0</v>
          </cell>
          <cell r="F3407">
            <v>0</v>
          </cell>
        </row>
        <row r="3408">
          <cell r="B3408">
            <v>40041210</v>
          </cell>
          <cell r="C3408" t="str">
            <v>GK Maha Jumbo Plain Coil MRP39 PS60 CSD</v>
          </cell>
          <cell r="D3408">
            <v>0</v>
          </cell>
          <cell r="E3408">
            <v>0</v>
          </cell>
          <cell r="F3408">
            <v>0</v>
          </cell>
        </row>
        <row r="3409">
          <cell r="B3409">
            <v>40041212</v>
          </cell>
          <cell r="C3409" t="str">
            <v>GK Coil Maha Jumbo Plain  MRP39 PS60</v>
          </cell>
          <cell r="D3409">
            <v>0</v>
          </cell>
          <cell r="E3409">
            <v>0</v>
          </cell>
          <cell r="F3409">
            <v>0</v>
          </cell>
        </row>
        <row r="3410">
          <cell r="B3410">
            <v>40041778</v>
          </cell>
          <cell r="C3410" t="str">
            <v>GK Coil Maha Jumbo Plain MRP39 PS60 RNF</v>
          </cell>
          <cell r="D3410">
            <v>0</v>
          </cell>
          <cell r="E3410">
            <v>0</v>
          </cell>
          <cell r="F3410">
            <v>0</v>
          </cell>
        </row>
        <row r="3411">
          <cell r="B3411">
            <v>40044108</v>
          </cell>
          <cell r="C3411" t="str">
            <v>GK Coil Maha Jumbo Plain MRP40 PS60 RNF</v>
          </cell>
          <cell r="D3411">
            <v>0</v>
          </cell>
          <cell r="E3411">
            <v>0</v>
          </cell>
          <cell r="F3411">
            <v>0</v>
          </cell>
        </row>
        <row r="3412">
          <cell r="B3412">
            <v>40050438</v>
          </cell>
          <cell r="C3412" t="str">
            <v>GK COIL MAHA JUMBO PLAIN MRP41.00P60 RNF</v>
          </cell>
          <cell r="D3412">
            <v>0</v>
          </cell>
          <cell r="E3412">
            <v>0</v>
          </cell>
          <cell r="F3412">
            <v>0</v>
          </cell>
        </row>
        <row r="3413">
          <cell r="B3413">
            <v>40056487</v>
          </cell>
          <cell r="C3413" t="str">
            <v>GK COIL MAHA JUMBO PLAIN M43 P60 RNF</v>
          </cell>
          <cell r="D3413">
            <v>0</v>
          </cell>
          <cell r="E3413">
            <v>0</v>
          </cell>
          <cell r="F3413">
            <v>0</v>
          </cell>
        </row>
        <row r="3414">
          <cell r="B3414">
            <v>40060448</v>
          </cell>
          <cell r="C3414" t="str">
            <v>GK COIL MAHA JUMBO PLAIN M45 P60 RNF</v>
          </cell>
          <cell r="D3414">
            <v>0</v>
          </cell>
          <cell r="E3414">
            <v>0</v>
          </cell>
          <cell r="F3414">
            <v>0</v>
          </cell>
        </row>
        <row r="3415">
          <cell r="B3415">
            <v>40063623</v>
          </cell>
          <cell r="C3415" t="str">
            <v>GK COIL MAHA JUMBO PLAIN M47 P60 RNF HP</v>
          </cell>
          <cell r="D3415">
            <v>0</v>
          </cell>
          <cell r="E3415">
            <v>0</v>
          </cell>
          <cell r="F3415">
            <v>0</v>
          </cell>
        </row>
        <row r="3416">
          <cell r="B3416">
            <v>40065261</v>
          </cell>
          <cell r="C3416" t="str">
            <v>GK COIL MAHA JUMBO PLAIN M49 P60 RNF HP</v>
          </cell>
          <cell r="D3416">
            <v>0</v>
          </cell>
          <cell r="E3416">
            <v>0</v>
          </cell>
          <cell r="F3416">
            <v>0</v>
          </cell>
        </row>
        <row r="3417">
          <cell r="B3417">
            <v>40032329</v>
          </cell>
          <cell r="C3417" t="str">
            <v>GK COIL GrnShkti LSC12hr PS60 MRP36South</v>
          </cell>
          <cell r="D3417">
            <v>0</v>
          </cell>
          <cell r="E3417">
            <v>0</v>
          </cell>
          <cell r="F3417">
            <v>0</v>
          </cell>
        </row>
        <row r="3418">
          <cell r="B3418">
            <v>40035097</v>
          </cell>
          <cell r="C3418" t="str">
            <v>GK GreenShakti LSC12hr PS60 MRP37</v>
          </cell>
          <cell r="D3418">
            <v>0</v>
          </cell>
          <cell r="E3418">
            <v>0</v>
          </cell>
          <cell r="F3418">
            <v>0</v>
          </cell>
        </row>
        <row r="3419">
          <cell r="B3419">
            <v>40056483</v>
          </cell>
          <cell r="C3419" t="str">
            <v>GK COIL GREENSHAKTI LSC12HR M45 P60</v>
          </cell>
          <cell r="D3419">
            <v>0</v>
          </cell>
          <cell r="E3419">
            <v>0</v>
          </cell>
          <cell r="F3419">
            <v>0</v>
          </cell>
        </row>
        <row r="3420">
          <cell r="B3420">
            <v>40063653</v>
          </cell>
          <cell r="C3420" t="str">
            <v>GK COIL GREENSHAKTI LSC12HR M47 P60 HP</v>
          </cell>
          <cell r="D3420">
            <v>0</v>
          </cell>
          <cell r="E3420">
            <v>0</v>
          </cell>
          <cell r="F3420">
            <v>0</v>
          </cell>
        </row>
        <row r="3421">
          <cell r="B3421">
            <v>40032316</v>
          </cell>
          <cell r="C3421" t="str">
            <v>GK COIL ADV LOWSMOKE  MRP36 PS60NEW</v>
          </cell>
          <cell r="D3421">
            <v>0</v>
          </cell>
          <cell r="E3421">
            <v>0</v>
          </cell>
          <cell r="F3421">
            <v>0</v>
          </cell>
        </row>
        <row r="3422">
          <cell r="B3422">
            <v>40041229</v>
          </cell>
          <cell r="C3422" t="str">
            <v>GK ADV LOWSMOKE 12HR COIL CSD MRP40 PS60</v>
          </cell>
          <cell r="D3422">
            <v>0</v>
          </cell>
          <cell r="E3422">
            <v>0</v>
          </cell>
          <cell r="F3422">
            <v>0</v>
          </cell>
        </row>
        <row r="3423">
          <cell r="B3423">
            <v>40041236</v>
          </cell>
          <cell r="C3423" t="str">
            <v>GK COIL ADV LOWSMOKE 12HR MRP40 PS60</v>
          </cell>
          <cell r="D3423">
            <v>0</v>
          </cell>
          <cell r="E3423">
            <v>0</v>
          </cell>
          <cell r="F3423">
            <v>0</v>
          </cell>
        </row>
        <row r="3424">
          <cell r="B3424">
            <v>40044091</v>
          </cell>
          <cell r="C3424" t="str">
            <v>GK COIL ADV LOWSMOKE 12HR MRP41 PS60</v>
          </cell>
          <cell r="D3424">
            <v>0</v>
          </cell>
          <cell r="E3424">
            <v>0</v>
          </cell>
          <cell r="F3424">
            <v>0</v>
          </cell>
        </row>
        <row r="3425">
          <cell r="B3425">
            <v>40050439</v>
          </cell>
          <cell r="C3425" t="str">
            <v>GK COIL ADV LOWSMOKE 12HR MRP42.00 P60</v>
          </cell>
          <cell r="D3425">
            <v>0</v>
          </cell>
          <cell r="E3425">
            <v>0</v>
          </cell>
          <cell r="F3425">
            <v>0</v>
          </cell>
        </row>
        <row r="3426">
          <cell r="B3426">
            <v>40056484</v>
          </cell>
          <cell r="C3426" t="str">
            <v>GK COIL ADV LOWSMOKE 12HR M45 P60</v>
          </cell>
          <cell r="D3426">
            <v>0</v>
          </cell>
          <cell r="E3426">
            <v>0</v>
          </cell>
          <cell r="F3426">
            <v>0</v>
          </cell>
        </row>
        <row r="3427">
          <cell r="B3427">
            <v>40041201</v>
          </cell>
          <cell r="C3427" t="str">
            <v>GK Mini Jumbo 4FR MRP32 PS60 ORISSA</v>
          </cell>
          <cell r="D3427">
            <v>0</v>
          </cell>
          <cell r="E3427">
            <v>0</v>
          </cell>
          <cell r="F3427">
            <v>0</v>
          </cell>
        </row>
        <row r="3428">
          <cell r="B3428">
            <v>40044148</v>
          </cell>
          <cell r="C3428" t="str">
            <v>GK Mini Jumbo 4FR MRP33PS60 RNF</v>
          </cell>
          <cell r="D3428">
            <v>0</v>
          </cell>
          <cell r="E3428">
            <v>0</v>
          </cell>
          <cell r="F3428">
            <v>0</v>
          </cell>
        </row>
        <row r="3429">
          <cell r="B3429">
            <v>40050440</v>
          </cell>
          <cell r="C3429" t="str">
            <v>GK MINI JUMBO 4FR MRP34.00 P60 RNF</v>
          </cell>
          <cell r="D3429">
            <v>0</v>
          </cell>
          <cell r="E3429">
            <v>0</v>
          </cell>
          <cell r="F3429">
            <v>0</v>
          </cell>
        </row>
        <row r="3430">
          <cell r="B3430">
            <v>40063626</v>
          </cell>
          <cell r="C3430" t="str">
            <v>GK MINI JUMBO 4FR M37 P60 RNF HP</v>
          </cell>
          <cell r="D3430">
            <v>0</v>
          </cell>
          <cell r="E3430">
            <v>0</v>
          </cell>
          <cell r="F3430">
            <v>0</v>
          </cell>
        </row>
        <row r="3431">
          <cell r="B3431">
            <v>40065275</v>
          </cell>
          <cell r="C3431" t="str">
            <v>GK MINI JUMBO 4FR M39 P60 RNF HP</v>
          </cell>
          <cell r="D3431">
            <v>0</v>
          </cell>
          <cell r="E3431">
            <v>0</v>
          </cell>
          <cell r="F3431">
            <v>0</v>
          </cell>
        </row>
        <row r="3432">
          <cell r="B3432">
            <v>40041786</v>
          </cell>
          <cell r="C3432" t="str">
            <v>GK Coil Mini Jumbo Plain MRP31 PS60 RNF</v>
          </cell>
          <cell r="D3432">
            <v>0</v>
          </cell>
          <cell r="E3432">
            <v>0</v>
          </cell>
          <cell r="F3432">
            <v>0</v>
          </cell>
        </row>
        <row r="3433">
          <cell r="B3433">
            <v>40050560</v>
          </cell>
          <cell r="C3433" t="str">
            <v>GK COIL MINIJUMBOPLAIN MRP33.00 P60 RNF</v>
          </cell>
          <cell r="D3433">
            <v>0</v>
          </cell>
          <cell r="E3433">
            <v>0</v>
          </cell>
          <cell r="F3433">
            <v>0</v>
          </cell>
        </row>
        <row r="3434">
          <cell r="B3434">
            <v>40056491</v>
          </cell>
          <cell r="C3434" t="str">
            <v>GK COIL MINIJUMBOPLAIN M35 P60 RNF</v>
          </cell>
          <cell r="D3434">
            <v>0</v>
          </cell>
          <cell r="E3434">
            <v>0</v>
          </cell>
          <cell r="F3434">
            <v>0</v>
          </cell>
        </row>
        <row r="3435">
          <cell r="B3435">
            <v>40063625</v>
          </cell>
          <cell r="C3435" t="str">
            <v>GK COIL MINIJUMBOPLAIN M37 P60 RNF HP</v>
          </cell>
          <cell r="D3435">
            <v>0</v>
          </cell>
          <cell r="E3435">
            <v>0</v>
          </cell>
          <cell r="F3435">
            <v>0</v>
          </cell>
        </row>
        <row r="3436">
          <cell r="B3436">
            <v>40063660</v>
          </cell>
          <cell r="C3436" t="str">
            <v>GK COIL MINIJUMBOPLAIN M34 P60 RNF N+WUP</v>
          </cell>
          <cell r="D3436">
            <v>0</v>
          </cell>
          <cell r="E3436">
            <v>0</v>
          </cell>
          <cell r="F3436">
            <v>0</v>
          </cell>
        </row>
        <row r="3437">
          <cell r="B3437">
            <v>40024480</v>
          </cell>
          <cell r="C3437" t="str">
            <v>GK ChaukaPo4 GreenShakti LSC8h  P144 M10</v>
          </cell>
          <cell r="D3437">
            <v>0</v>
          </cell>
          <cell r="E3437">
            <v>0</v>
          </cell>
          <cell r="F3437">
            <v>0</v>
          </cell>
        </row>
        <row r="3438">
          <cell r="B3438">
            <v>40035079</v>
          </cell>
          <cell r="C3438" t="str">
            <v>GK Fabric RollOn 8ml M80P48 CITRUS</v>
          </cell>
          <cell r="D3438">
            <v>0</v>
          </cell>
          <cell r="E3438">
            <v>0</v>
          </cell>
          <cell r="F3438">
            <v>0</v>
          </cell>
        </row>
        <row r="3439">
          <cell r="B3439">
            <v>40044093</v>
          </cell>
          <cell r="C3439" t="str">
            <v>GK Fabric RollOn 8ml M85P48 CITRUS MT</v>
          </cell>
          <cell r="D3439">
            <v>0</v>
          </cell>
          <cell r="E3439">
            <v>0</v>
          </cell>
          <cell r="F3439">
            <v>0</v>
          </cell>
        </row>
        <row r="3440">
          <cell r="B3440">
            <v>40044111</v>
          </cell>
          <cell r="C3440" t="str">
            <v>GK Fabric RollOn 8ml M85P48 CITRUS</v>
          </cell>
          <cell r="D3440">
            <v>0</v>
          </cell>
          <cell r="E3440">
            <v>0</v>
          </cell>
          <cell r="F3440">
            <v>0</v>
          </cell>
        </row>
        <row r="3441">
          <cell r="B3441">
            <v>40033321</v>
          </cell>
          <cell r="C3441" t="str">
            <v>GK Fabric RollOn 8ml M75P48 fruity Bheem</v>
          </cell>
          <cell r="D3441">
            <v>0</v>
          </cell>
          <cell r="E3441">
            <v>0</v>
          </cell>
          <cell r="F3441">
            <v>0</v>
          </cell>
        </row>
        <row r="3442">
          <cell r="B3442">
            <v>40035322</v>
          </cell>
          <cell r="C3442" t="str">
            <v>GK Fab RollOn 8ml M80P48 fruity Bheem</v>
          </cell>
          <cell r="D3442">
            <v>0</v>
          </cell>
          <cell r="E3442">
            <v>0</v>
          </cell>
          <cell r="F3442">
            <v>0</v>
          </cell>
        </row>
        <row r="3443">
          <cell r="B3443">
            <v>40035073</v>
          </cell>
          <cell r="C3443" t="str">
            <v>GK Fabric RollOn 8ml M80 P48 mildbloom</v>
          </cell>
          <cell r="D3443">
            <v>0</v>
          </cell>
          <cell r="E3443">
            <v>0</v>
          </cell>
          <cell r="F3443">
            <v>0</v>
          </cell>
        </row>
        <row r="3444">
          <cell r="B3444">
            <v>40044112</v>
          </cell>
          <cell r="C3444" t="str">
            <v>GK Fabric RollOn 8ml M85 P48 mildbloom</v>
          </cell>
          <cell r="D3444">
            <v>0</v>
          </cell>
          <cell r="E3444">
            <v>0</v>
          </cell>
          <cell r="F3444">
            <v>0</v>
          </cell>
        </row>
        <row r="3445">
          <cell r="B3445">
            <v>40030519</v>
          </cell>
          <cell r="C3445" t="str">
            <v>GK Mosquito Repellent Cream 50g P72 M50</v>
          </cell>
          <cell r="D3445">
            <v>0</v>
          </cell>
          <cell r="E3445">
            <v>0</v>
          </cell>
          <cell r="F3445">
            <v>0</v>
          </cell>
        </row>
        <row r="3446">
          <cell r="B3446">
            <v>40031175</v>
          </cell>
          <cell r="C3446" t="str">
            <v>GK Smartspray 150ml M199 P48 MT</v>
          </cell>
          <cell r="D3446">
            <v>0</v>
          </cell>
          <cell r="E3446">
            <v>0</v>
          </cell>
          <cell r="F3446">
            <v>0</v>
          </cell>
        </row>
        <row r="3447">
          <cell r="B3447">
            <v>40036795</v>
          </cell>
          <cell r="C3447" t="str">
            <v>GK Smartspray 150ml M199 P48Ecom</v>
          </cell>
          <cell r="D3447">
            <v>0</v>
          </cell>
          <cell r="E3447">
            <v>0</v>
          </cell>
          <cell r="F3447">
            <v>0</v>
          </cell>
        </row>
        <row r="3448">
          <cell r="B3448">
            <v>40032799</v>
          </cell>
          <cell r="C3448" t="str">
            <v>HIT ANTI ROACH  MRP270  PS24</v>
          </cell>
          <cell r="D3448">
            <v>0</v>
          </cell>
          <cell r="E3448">
            <v>0</v>
          </cell>
          <cell r="F3448">
            <v>0</v>
          </cell>
        </row>
        <row r="3449">
          <cell r="B3449">
            <v>40041386</v>
          </cell>
          <cell r="C3449" t="str">
            <v>HIT ANTI ROACH  MRP300  PS30 Stackable</v>
          </cell>
          <cell r="D3449">
            <v>0</v>
          </cell>
          <cell r="E3449">
            <v>0</v>
          </cell>
          <cell r="F3449">
            <v>0</v>
          </cell>
        </row>
        <row r="3450">
          <cell r="B3450">
            <v>40042084</v>
          </cell>
          <cell r="C3450" t="str">
            <v>HIT ANTI ROACH  MRP300PS30StackableEcom</v>
          </cell>
          <cell r="D3450">
            <v>0</v>
          </cell>
          <cell r="E3450">
            <v>0</v>
          </cell>
          <cell r="F3450">
            <v>0</v>
          </cell>
        </row>
        <row r="3451">
          <cell r="B3451">
            <v>40043698</v>
          </cell>
          <cell r="C3451" t="str">
            <v>HIT ANTI ROACH  MRP200 PS30 D2D</v>
          </cell>
          <cell r="D3451">
            <v>0</v>
          </cell>
          <cell r="E3451">
            <v>0</v>
          </cell>
          <cell r="F3451">
            <v>0</v>
          </cell>
        </row>
        <row r="3452">
          <cell r="B3452">
            <v>40043809</v>
          </cell>
          <cell r="C3452" t="str">
            <v>HIT ANTI ROACH  MRP325  PS30 Stackable</v>
          </cell>
          <cell r="D3452">
            <v>0</v>
          </cell>
          <cell r="E3452">
            <v>0</v>
          </cell>
          <cell r="F3452">
            <v>0</v>
          </cell>
        </row>
        <row r="3453">
          <cell r="B3453">
            <v>40059262</v>
          </cell>
          <cell r="C3453" t="str">
            <v>HIT ANTI ROACH M220 P30</v>
          </cell>
          <cell r="D3453">
            <v>0</v>
          </cell>
          <cell r="E3453">
            <v>0</v>
          </cell>
          <cell r="F3453">
            <v>0</v>
          </cell>
        </row>
        <row r="3454">
          <cell r="B3454">
            <v>40065527</v>
          </cell>
          <cell r="C3454" t="str">
            <v>HIT ANTI ROACH 15G M99 P96 HANGER NF</v>
          </cell>
          <cell r="D3454">
            <v>0</v>
          </cell>
          <cell r="E3454">
            <v>0</v>
          </cell>
          <cell r="F3454">
            <v>0</v>
          </cell>
        </row>
        <row r="3455">
          <cell r="B3455">
            <v>40057912</v>
          </cell>
          <cell r="C3455" t="str">
            <v>HIT ANTI ROACH 15G M70 P96</v>
          </cell>
          <cell r="D3455">
            <v>0</v>
          </cell>
          <cell r="E3455">
            <v>0</v>
          </cell>
          <cell r="F3455">
            <v>0</v>
          </cell>
        </row>
        <row r="3456">
          <cell r="B3456">
            <v>40059501</v>
          </cell>
          <cell r="C3456" t="str">
            <v>HIT ANTIROACH 15G M70 P96 CONSPROMHANGER</v>
          </cell>
          <cell r="D3456">
            <v>0</v>
          </cell>
          <cell r="E3456">
            <v>0</v>
          </cell>
          <cell r="F3456">
            <v>0</v>
          </cell>
        </row>
        <row r="3457">
          <cell r="B3457">
            <v>40028196</v>
          </cell>
          <cell r="C3457" t="str">
            <v>HIT FIK Racquet Regular M499 P12 GT</v>
          </cell>
          <cell r="D3457">
            <v>0</v>
          </cell>
          <cell r="E3457">
            <v>0</v>
          </cell>
          <cell r="F3457">
            <v>0</v>
          </cell>
        </row>
        <row r="3458">
          <cell r="B3458">
            <v>40032774</v>
          </cell>
          <cell r="C3458" t="str">
            <v>HIT FIK Racquet Regular M549 P12 Indian</v>
          </cell>
          <cell r="D3458">
            <v>0</v>
          </cell>
          <cell r="E3458">
            <v>0</v>
          </cell>
          <cell r="F3458">
            <v>0</v>
          </cell>
        </row>
        <row r="3459">
          <cell r="B3459">
            <v>40032785</v>
          </cell>
          <cell r="C3459" t="str">
            <v>HIT FIK Racquet Regular M549 P12 GT</v>
          </cell>
          <cell r="D3459">
            <v>0</v>
          </cell>
          <cell r="E3459">
            <v>0</v>
          </cell>
          <cell r="F3459">
            <v>0</v>
          </cell>
        </row>
        <row r="3460">
          <cell r="B3460">
            <v>40036889</v>
          </cell>
          <cell r="C3460" t="str">
            <v>HIT FIK Racquet Regular M575 P12 Indian</v>
          </cell>
          <cell r="D3460">
            <v>0</v>
          </cell>
          <cell r="E3460">
            <v>0</v>
          </cell>
          <cell r="F3460">
            <v>0</v>
          </cell>
        </row>
        <row r="3461">
          <cell r="B3461">
            <v>40037221</v>
          </cell>
          <cell r="C3461" t="str">
            <v>HIT FIK Racquet RegularIND M575P12 -ECOM</v>
          </cell>
          <cell r="D3461">
            <v>0</v>
          </cell>
          <cell r="E3461">
            <v>0</v>
          </cell>
          <cell r="F3461">
            <v>0</v>
          </cell>
        </row>
        <row r="3462">
          <cell r="B3462">
            <v>40037222</v>
          </cell>
          <cell r="C3462" t="str">
            <v>HIT FIK Racquet Regular M575P12 - ECOM</v>
          </cell>
          <cell r="D3462">
            <v>0</v>
          </cell>
          <cell r="E3462">
            <v>0</v>
          </cell>
          <cell r="F3462">
            <v>0</v>
          </cell>
        </row>
        <row r="3463">
          <cell r="B3463">
            <v>40039540</v>
          </cell>
          <cell r="C3463" t="str">
            <v>HIT FIK Racquet Regular M600 P12 Indian</v>
          </cell>
          <cell r="D3463">
            <v>0</v>
          </cell>
          <cell r="E3463">
            <v>0</v>
          </cell>
          <cell r="F3463">
            <v>0</v>
          </cell>
        </row>
        <row r="3464">
          <cell r="B3464">
            <v>40041450</v>
          </cell>
          <cell r="C3464" t="str">
            <v>HIT FIK Racquet Regular M600 P12 MT</v>
          </cell>
          <cell r="D3464">
            <v>0</v>
          </cell>
          <cell r="E3464">
            <v>0</v>
          </cell>
          <cell r="F3464">
            <v>0</v>
          </cell>
        </row>
        <row r="3465">
          <cell r="B3465">
            <v>40041622</v>
          </cell>
          <cell r="C3465" t="str">
            <v>HIT FIK Racquet RegularM600P12IndianECOM</v>
          </cell>
          <cell r="D3465">
            <v>0</v>
          </cell>
          <cell r="E3465">
            <v>0</v>
          </cell>
          <cell r="F3465">
            <v>0</v>
          </cell>
        </row>
        <row r="3466">
          <cell r="B3466">
            <v>40044135</v>
          </cell>
          <cell r="C3466" t="str">
            <v>HIT FIK RACQUET REGULAR M600 P12</v>
          </cell>
          <cell r="D3466">
            <v>0</v>
          </cell>
          <cell r="E3466">
            <v>0</v>
          </cell>
          <cell r="F3466">
            <v>0</v>
          </cell>
        </row>
        <row r="3467">
          <cell r="B3467">
            <v>40061203</v>
          </cell>
          <cell r="C3467" t="str">
            <v>HIT FIK RACQUET REGULARM499P12INDIANECOM</v>
          </cell>
          <cell r="D3467">
            <v>0</v>
          </cell>
          <cell r="E3467">
            <v>0</v>
          </cell>
          <cell r="F3467">
            <v>0</v>
          </cell>
        </row>
        <row r="3468">
          <cell r="B3468">
            <v>40062936</v>
          </cell>
          <cell r="C3468" t="str">
            <v>HIT FIK RACQUET M499 P12- NEW PCBA</v>
          </cell>
          <cell r="D3468">
            <v>0</v>
          </cell>
          <cell r="E3468">
            <v>0</v>
          </cell>
          <cell r="F3468">
            <v>0</v>
          </cell>
        </row>
        <row r="3469">
          <cell r="B3469">
            <v>40063252</v>
          </cell>
          <cell r="C3469" t="str">
            <v>HIT FIK RACQUET REGULARM499P12INDIAN GT</v>
          </cell>
          <cell r="D3469">
            <v>0</v>
          </cell>
          <cell r="E3469">
            <v>0</v>
          </cell>
          <cell r="F3469">
            <v>0</v>
          </cell>
        </row>
        <row r="3470">
          <cell r="B3470">
            <v>40059031</v>
          </cell>
          <cell r="C3470" t="str">
            <v>HIT FIK RACQUET M625 P12 - NEW</v>
          </cell>
          <cell r="D3470">
            <v>0</v>
          </cell>
          <cell r="E3470">
            <v>0</v>
          </cell>
          <cell r="F3470">
            <v>0</v>
          </cell>
        </row>
        <row r="3471">
          <cell r="B3471">
            <v>40028202</v>
          </cell>
          <cell r="C3471" t="str">
            <v>HIT RAT KILL MRP18 P360</v>
          </cell>
          <cell r="D3471">
            <v>0</v>
          </cell>
          <cell r="E3471">
            <v>0</v>
          </cell>
          <cell r="F3471">
            <v>0</v>
          </cell>
        </row>
        <row r="3472">
          <cell r="B3472">
            <v>40033435</v>
          </cell>
          <cell r="C3472" t="str">
            <v>HIT RAT KILL MRP20 P360</v>
          </cell>
          <cell r="D3472">
            <v>0</v>
          </cell>
          <cell r="E3472">
            <v>0</v>
          </cell>
          <cell r="F3472">
            <v>0</v>
          </cell>
        </row>
        <row r="3473">
          <cell r="B3473">
            <v>40039553</v>
          </cell>
          <cell r="C3473" t="str">
            <v>HIT RAT KILL MRP22 P360</v>
          </cell>
          <cell r="D3473">
            <v>0</v>
          </cell>
          <cell r="E3473">
            <v>0</v>
          </cell>
          <cell r="F3473">
            <v>0</v>
          </cell>
        </row>
        <row r="3474">
          <cell r="B3474">
            <v>40055884</v>
          </cell>
          <cell r="C3474" t="str">
            <v>HIT RAT KILL M25 P360</v>
          </cell>
          <cell r="D3474">
            <v>0</v>
          </cell>
          <cell r="E3474">
            <v>0</v>
          </cell>
          <cell r="F3474">
            <v>0</v>
          </cell>
        </row>
        <row r="3475">
          <cell r="B3475">
            <v>40064463</v>
          </cell>
          <cell r="C3475" t="str">
            <v>HIT RAT KILL M30 P360 BLUE ART</v>
          </cell>
          <cell r="D3475">
            <v>0</v>
          </cell>
          <cell r="E3475">
            <v>0</v>
          </cell>
          <cell r="F3475">
            <v>0</v>
          </cell>
        </row>
        <row r="3476">
          <cell r="B3476">
            <v>40034687</v>
          </cell>
          <cell r="C3476" t="str">
            <v>HIT CHALK MRP 16 PS 360</v>
          </cell>
          <cell r="D3476">
            <v>0</v>
          </cell>
          <cell r="E3476">
            <v>0</v>
          </cell>
          <cell r="F3476">
            <v>0</v>
          </cell>
        </row>
        <row r="3477">
          <cell r="B3477">
            <v>40039531</v>
          </cell>
          <cell r="C3477" t="str">
            <v>HIT CHALK MRP18 PS 360</v>
          </cell>
          <cell r="D3477">
            <v>0</v>
          </cell>
          <cell r="E3477">
            <v>0</v>
          </cell>
          <cell r="F3477">
            <v>0</v>
          </cell>
        </row>
        <row r="3478">
          <cell r="B3478">
            <v>40044125</v>
          </cell>
          <cell r="C3478" t="str">
            <v>HIT CHALK MRP18 PS 360 New mar</v>
          </cell>
          <cell r="D3478">
            <v>0</v>
          </cell>
          <cell r="E3478">
            <v>0</v>
          </cell>
          <cell r="F3478">
            <v>0</v>
          </cell>
        </row>
        <row r="3479">
          <cell r="B3479">
            <v>40026980</v>
          </cell>
          <cell r="C3479" t="str">
            <v>HIT Rat Glue Pad 25g MRP50 P100</v>
          </cell>
          <cell r="D3479">
            <v>0</v>
          </cell>
          <cell r="E3479">
            <v>0</v>
          </cell>
          <cell r="F3479">
            <v>0</v>
          </cell>
        </row>
        <row r="3480">
          <cell r="B3480">
            <v>40028371</v>
          </cell>
          <cell r="C3480" t="str">
            <v>HIT Rat Glue 50g MRP 360 P17 PO3 Ecom</v>
          </cell>
          <cell r="D3480">
            <v>0</v>
          </cell>
          <cell r="E3480">
            <v>0</v>
          </cell>
          <cell r="F3480">
            <v>0</v>
          </cell>
        </row>
        <row r="3481">
          <cell r="B3481">
            <v>40063961</v>
          </cell>
          <cell r="C3481" t="str">
            <v>HIT RATREP M450 P12 GT</v>
          </cell>
          <cell r="D3481">
            <v>0</v>
          </cell>
          <cell r="E3481">
            <v>0</v>
          </cell>
          <cell r="F3481">
            <v>0</v>
          </cell>
        </row>
        <row r="3482">
          <cell r="B3482">
            <v>40031695</v>
          </cell>
          <cell r="C3482" t="str">
            <v>GK Flash refill 60ml M89 P120</v>
          </cell>
          <cell r="D3482">
            <v>0</v>
          </cell>
          <cell r="E3482">
            <v>0</v>
          </cell>
          <cell r="F3482">
            <v>0</v>
          </cell>
        </row>
        <row r="3483">
          <cell r="B3483">
            <v>40039565</v>
          </cell>
          <cell r="C3483" t="str">
            <v>GK Flash refill 60ml M92 P120</v>
          </cell>
          <cell r="D3483">
            <v>0</v>
          </cell>
          <cell r="E3483">
            <v>0</v>
          </cell>
          <cell r="F3483">
            <v>0</v>
          </cell>
        </row>
        <row r="3484">
          <cell r="B3484">
            <v>40059795</v>
          </cell>
          <cell r="C3484" t="str">
            <v>GK FLASH REFILL 60ML M110 P120 RNF</v>
          </cell>
          <cell r="D3484">
            <v>0</v>
          </cell>
          <cell r="E3484">
            <v>0</v>
          </cell>
          <cell r="F3484">
            <v>0</v>
          </cell>
        </row>
        <row r="3485">
          <cell r="B3485">
            <v>40063492</v>
          </cell>
          <cell r="C3485" t="str">
            <v>GK FLASH REFILL 60ML M115 P120 RNF</v>
          </cell>
          <cell r="D3485">
            <v>0</v>
          </cell>
          <cell r="E3485">
            <v>0</v>
          </cell>
          <cell r="F3485">
            <v>0</v>
          </cell>
        </row>
        <row r="3486">
          <cell r="B3486">
            <v>40062451</v>
          </cell>
          <cell r="C3486" t="str">
            <v>GK FLASH REFILL LAV 60ML M85 P120 RNFP+H</v>
          </cell>
          <cell r="D3486">
            <v>0</v>
          </cell>
          <cell r="E3486">
            <v>0</v>
          </cell>
          <cell r="F3486">
            <v>0</v>
          </cell>
        </row>
        <row r="3487">
          <cell r="B3487">
            <v>40064506</v>
          </cell>
          <cell r="C3487" t="str">
            <v>GK FLASH REFILL LAV 60ML M90 P120 RNFP+H</v>
          </cell>
          <cell r="D3487">
            <v>0</v>
          </cell>
          <cell r="E3487">
            <v>0</v>
          </cell>
          <cell r="F3487">
            <v>0</v>
          </cell>
        </row>
        <row r="3488">
          <cell r="B3488">
            <v>40027593</v>
          </cell>
          <cell r="C3488" t="str">
            <v>GK Flash refill 45ml M75 P120</v>
          </cell>
          <cell r="D3488">
            <v>0</v>
          </cell>
          <cell r="E3488">
            <v>0</v>
          </cell>
          <cell r="F3488">
            <v>0</v>
          </cell>
        </row>
        <row r="3489">
          <cell r="B3489">
            <v>40035020</v>
          </cell>
          <cell r="C3489" t="str">
            <v>GK Flash refill 45ml M77 P120</v>
          </cell>
          <cell r="D3489">
            <v>0</v>
          </cell>
          <cell r="E3489">
            <v>0</v>
          </cell>
          <cell r="F3489">
            <v>0</v>
          </cell>
        </row>
        <row r="3490">
          <cell r="B3490">
            <v>40035538</v>
          </cell>
          <cell r="C3490" t="str">
            <v>GK Flash refill 45ml M77 P240</v>
          </cell>
          <cell r="D3490">
            <v>0</v>
          </cell>
          <cell r="E3490">
            <v>0</v>
          </cell>
          <cell r="F3490">
            <v>0</v>
          </cell>
        </row>
        <row r="3491">
          <cell r="B3491">
            <v>40036478</v>
          </cell>
          <cell r="C3491" t="str">
            <v>GK Flash refill 45ml M77 P240-NL</v>
          </cell>
          <cell r="D3491">
            <v>0</v>
          </cell>
          <cell r="E3491">
            <v>0</v>
          </cell>
          <cell r="F3491">
            <v>0</v>
          </cell>
        </row>
        <row r="3492">
          <cell r="B3492">
            <v>40041223</v>
          </cell>
          <cell r="C3492" t="str">
            <v>GK Flash refill 45ml M80 P240</v>
          </cell>
          <cell r="D3492">
            <v>0</v>
          </cell>
          <cell r="E3492">
            <v>0</v>
          </cell>
          <cell r="F3492">
            <v>0</v>
          </cell>
        </row>
        <row r="3493">
          <cell r="B3493">
            <v>40050366</v>
          </cell>
          <cell r="C3493" t="str">
            <v>GK FLASH REFILL 45ML M85.00 P240 RNF</v>
          </cell>
          <cell r="D3493">
            <v>0</v>
          </cell>
          <cell r="E3493">
            <v>0</v>
          </cell>
          <cell r="F3493">
            <v>0</v>
          </cell>
        </row>
        <row r="3494">
          <cell r="B3494">
            <v>40064107</v>
          </cell>
          <cell r="C3494" t="str">
            <v>GK FLASHREFILL45MLM90P240RNF 50% PCR DQR</v>
          </cell>
          <cell r="D3494">
            <v>0</v>
          </cell>
          <cell r="E3494">
            <v>0</v>
          </cell>
          <cell r="F3494">
            <v>0</v>
          </cell>
        </row>
        <row r="3495">
          <cell r="B3495">
            <v>40038749</v>
          </cell>
          <cell r="C3495" t="str">
            <v>GK Mini refill 25ml M35 P120</v>
          </cell>
          <cell r="D3495">
            <v>0</v>
          </cell>
          <cell r="E3495">
            <v>0</v>
          </cell>
          <cell r="F3495">
            <v>0</v>
          </cell>
        </row>
        <row r="3496">
          <cell r="B3496">
            <v>40043738</v>
          </cell>
          <cell r="C3496" t="str">
            <v>GK Mini refill 25ml M35 P120Liq</v>
          </cell>
          <cell r="D3496">
            <v>0</v>
          </cell>
          <cell r="E3496">
            <v>0</v>
          </cell>
          <cell r="F3496">
            <v>0</v>
          </cell>
        </row>
        <row r="3497">
          <cell r="B3497">
            <v>40050889</v>
          </cell>
          <cell r="C3497" t="str">
            <v>GK MINI REFILL 25ML M35 P120 RNF</v>
          </cell>
          <cell r="D3497">
            <v>0</v>
          </cell>
          <cell r="E3497">
            <v>0</v>
          </cell>
          <cell r="F3497">
            <v>0</v>
          </cell>
        </row>
        <row r="3498">
          <cell r="B3498">
            <v>40063487</v>
          </cell>
          <cell r="C3498" t="str">
            <v>GK FLASH REFILL PO2M175 P120 RNF PCR ROI</v>
          </cell>
          <cell r="D3498">
            <v>0</v>
          </cell>
          <cell r="E3498">
            <v>0</v>
          </cell>
          <cell r="F3498">
            <v>0</v>
          </cell>
        </row>
        <row r="3499">
          <cell r="B3499">
            <v>40059130</v>
          </cell>
          <cell r="C3499" t="str">
            <v>GK FLASH REFILL PO2 M155P120 RNF 50% PCR</v>
          </cell>
          <cell r="D3499">
            <v>0</v>
          </cell>
          <cell r="E3499">
            <v>0</v>
          </cell>
          <cell r="F3499">
            <v>0</v>
          </cell>
        </row>
        <row r="3500">
          <cell r="B3500">
            <v>40063480</v>
          </cell>
          <cell r="C3500" t="str">
            <v>GK FLASH REFILL PO2 M165P120 RNF PCR ROI</v>
          </cell>
          <cell r="D3500">
            <v>0</v>
          </cell>
          <cell r="E3500">
            <v>0</v>
          </cell>
          <cell r="F3500">
            <v>0</v>
          </cell>
        </row>
        <row r="3501">
          <cell r="B3501">
            <v>40065341</v>
          </cell>
          <cell r="C3501" t="str">
            <v>GK FLASH REFILL PO2 M175P120 RNF PCR ROI</v>
          </cell>
          <cell r="D3501">
            <v>0</v>
          </cell>
          <cell r="E3501">
            <v>0</v>
          </cell>
          <cell r="F3501">
            <v>0</v>
          </cell>
        </row>
        <row r="3502">
          <cell r="B3502">
            <v>40041196</v>
          </cell>
          <cell r="C3502" t="str">
            <v>GK Flash refill Po2 M155 P120 Ecom</v>
          </cell>
          <cell r="D3502">
            <v>0</v>
          </cell>
          <cell r="E3502">
            <v>0</v>
          </cell>
          <cell r="F3502">
            <v>0</v>
          </cell>
        </row>
        <row r="3503">
          <cell r="B3503">
            <v>40064104</v>
          </cell>
          <cell r="C3503" t="str">
            <v>GK FLASH REFIL PO2M180 P120 MTRNF PCR OT</v>
          </cell>
          <cell r="D3503">
            <v>0</v>
          </cell>
          <cell r="E3503">
            <v>0</v>
          </cell>
          <cell r="F3503">
            <v>0</v>
          </cell>
        </row>
        <row r="3504">
          <cell r="B3504">
            <v>40028138</v>
          </cell>
          <cell r="C3504" t="str">
            <v>GK Flash Refill PO4 M316 P60 4x1</v>
          </cell>
          <cell r="D3504">
            <v>0</v>
          </cell>
          <cell r="E3504">
            <v>0</v>
          </cell>
          <cell r="F3504">
            <v>0</v>
          </cell>
        </row>
        <row r="3505">
          <cell r="B3505">
            <v>40041191</v>
          </cell>
          <cell r="C3505" t="str">
            <v>GK Flash Refill PO4 M310 P60 Ecom</v>
          </cell>
          <cell r="D3505">
            <v>0</v>
          </cell>
          <cell r="E3505">
            <v>0</v>
          </cell>
          <cell r="F3505">
            <v>0</v>
          </cell>
        </row>
        <row r="3506">
          <cell r="B3506">
            <v>40060369</v>
          </cell>
          <cell r="C3506" t="str">
            <v>GK FLASH REFILL PO4M325P60ECOMRNFCAF PCR</v>
          </cell>
          <cell r="D3506">
            <v>0</v>
          </cell>
          <cell r="E3506">
            <v>0</v>
          </cell>
          <cell r="F3506">
            <v>0</v>
          </cell>
        </row>
        <row r="3507">
          <cell r="B3507">
            <v>40060998</v>
          </cell>
          <cell r="C3507" t="str">
            <v>GK FLASH REFILL PO4 M335P60EC RNF CAF RS</v>
          </cell>
          <cell r="D3507">
            <v>0</v>
          </cell>
          <cell r="E3507">
            <v>0</v>
          </cell>
          <cell r="F3507">
            <v>0</v>
          </cell>
        </row>
        <row r="3508">
          <cell r="B3508">
            <v>40063478</v>
          </cell>
          <cell r="C3508" t="str">
            <v>GK FLASHREFILL PO4 M355P60 EC RNF CAF RS</v>
          </cell>
          <cell r="D3508">
            <v>0</v>
          </cell>
          <cell r="E3508">
            <v>0</v>
          </cell>
          <cell r="F3508">
            <v>0</v>
          </cell>
        </row>
        <row r="3509">
          <cell r="B3509">
            <v>40041716</v>
          </cell>
          <cell r="C3509" t="str">
            <v>GK Flash Refill PO4 M305 P60 Ecom</v>
          </cell>
          <cell r="D3509">
            <v>0</v>
          </cell>
          <cell r="E3509">
            <v>0</v>
          </cell>
          <cell r="F3509">
            <v>0</v>
          </cell>
        </row>
        <row r="3510">
          <cell r="B3510">
            <v>40056540</v>
          </cell>
          <cell r="C3510" t="str">
            <v>GK FLASH REFILL PO4 M325 P60 ECOM TFT HP</v>
          </cell>
          <cell r="D3510">
            <v>0</v>
          </cell>
          <cell r="E3510">
            <v>0</v>
          </cell>
          <cell r="F3510">
            <v>0</v>
          </cell>
        </row>
        <row r="3511">
          <cell r="B3511">
            <v>40032704</v>
          </cell>
          <cell r="C3511" t="str">
            <v>Gk Flash Lav refill M75 P120 GT</v>
          </cell>
          <cell r="D3511">
            <v>0</v>
          </cell>
          <cell r="E3511">
            <v>0</v>
          </cell>
          <cell r="F3511">
            <v>0</v>
          </cell>
        </row>
        <row r="3512">
          <cell r="B3512">
            <v>40035981</v>
          </cell>
          <cell r="C3512" t="str">
            <v>GK Flash Lav refill 45mlM77 P240 newlock</v>
          </cell>
          <cell r="D3512">
            <v>0</v>
          </cell>
          <cell r="E3512">
            <v>0</v>
          </cell>
          <cell r="F3512">
            <v>0</v>
          </cell>
        </row>
        <row r="3513">
          <cell r="B3513">
            <v>40060352</v>
          </cell>
          <cell r="C3513" t="str">
            <v>GK FLASHLAV REFILL 45ML M85P240 RNF PCR</v>
          </cell>
          <cell r="D3513">
            <v>0</v>
          </cell>
          <cell r="E3513">
            <v>0</v>
          </cell>
          <cell r="F3513">
            <v>0</v>
          </cell>
        </row>
        <row r="3514">
          <cell r="B3514">
            <v>40063575</v>
          </cell>
          <cell r="C3514" t="str">
            <v>GK FLASH LAV REFILL 45ML M90P240 RNF ROI</v>
          </cell>
          <cell r="D3514">
            <v>0</v>
          </cell>
          <cell r="E3514">
            <v>0</v>
          </cell>
          <cell r="F3514">
            <v>0</v>
          </cell>
        </row>
        <row r="3515">
          <cell r="B3515">
            <v>40041211</v>
          </cell>
          <cell r="C3515" t="str">
            <v>GK FlashRefill 45ml M80P240 new lock LAV</v>
          </cell>
          <cell r="D3515">
            <v>0</v>
          </cell>
          <cell r="E3515">
            <v>0</v>
          </cell>
          <cell r="F3515">
            <v>0</v>
          </cell>
        </row>
        <row r="3516">
          <cell r="B3516">
            <v>40065529</v>
          </cell>
          <cell r="C3516" t="str">
            <v>GK FLASH LAVREFILL 45ML M90P240RNFNORTH</v>
          </cell>
          <cell r="D3516">
            <v>0</v>
          </cell>
          <cell r="E3516">
            <v>0</v>
          </cell>
          <cell r="F3516">
            <v>0</v>
          </cell>
        </row>
        <row r="3517">
          <cell r="B3517">
            <v>40036528</v>
          </cell>
          <cell r="C3517" t="str">
            <v>GK Flash lav refill Po2 M150 P120 MT -NL</v>
          </cell>
          <cell r="D3517">
            <v>0</v>
          </cell>
          <cell r="E3517">
            <v>0</v>
          </cell>
          <cell r="F3517">
            <v>0</v>
          </cell>
        </row>
        <row r="3518">
          <cell r="B3518">
            <v>40042657</v>
          </cell>
          <cell r="C3518" t="str">
            <v>GK Flash lav refill Po2 M155 P120 MT</v>
          </cell>
          <cell r="D3518">
            <v>0</v>
          </cell>
          <cell r="E3518">
            <v>0</v>
          </cell>
          <cell r="F3518">
            <v>0</v>
          </cell>
        </row>
        <row r="3519">
          <cell r="B3519">
            <v>40055883</v>
          </cell>
          <cell r="C3519" t="str">
            <v>GK FLASHLAV REFILL PO2 M165 P120 MT RNF</v>
          </cell>
          <cell r="D3519">
            <v>0</v>
          </cell>
          <cell r="E3519">
            <v>0</v>
          </cell>
          <cell r="F3519">
            <v>0</v>
          </cell>
        </row>
        <row r="3520">
          <cell r="B3520">
            <v>40060358</v>
          </cell>
          <cell r="C3520" t="str">
            <v>GK FLSHLAVREF PO2M165P120MTRNF NWART PCR</v>
          </cell>
          <cell r="D3520">
            <v>0</v>
          </cell>
          <cell r="E3520">
            <v>0</v>
          </cell>
          <cell r="F3520">
            <v>0</v>
          </cell>
        </row>
        <row r="3521">
          <cell r="B3521">
            <v>40056544</v>
          </cell>
          <cell r="C3521" t="str">
            <v>GK FLASH LAVREFILLPO2 M165 P120 MT TFTHP</v>
          </cell>
          <cell r="D3521">
            <v>0</v>
          </cell>
          <cell r="E3521">
            <v>0</v>
          </cell>
          <cell r="F3521">
            <v>0</v>
          </cell>
        </row>
        <row r="3522">
          <cell r="B3522">
            <v>40041274</v>
          </cell>
          <cell r="C3522" t="str">
            <v>GK Flash Lav refill Po4 M310 P60 Ecom</v>
          </cell>
          <cell r="D3522">
            <v>0</v>
          </cell>
          <cell r="E3522">
            <v>0</v>
          </cell>
          <cell r="F3522">
            <v>0</v>
          </cell>
        </row>
        <row r="3523">
          <cell r="B3523">
            <v>40050428</v>
          </cell>
          <cell r="C3523" t="str">
            <v>GK FLASHLAVREFILL PO4 M325.00 P60ECOMRNF</v>
          </cell>
          <cell r="D3523">
            <v>0</v>
          </cell>
          <cell r="E3523">
            <v>0</v>
          </cell>
          <cell r="F3523">
            <v>0</v>
          </cell>
        </row>
        <row r="3524">
          <cell r="B3524">
            <v>40056539</v>
          </cell>
          <cell r="C3524" t="str">
            <v>GKFLASHLAV REFILLPO4 M325P60 ECOM TFT HP</v>
          </cell>
          <cell r="D3524">
            <v>0</v>
          </cell>
          <cell r="E3524">
            <v>0</v>
          </cell>
          <cell r="F3524">
            <v>0</v>
          </cell>
        </row>
        <row r="3525">
          <cell r="B3525">
            <v>40059889</v>
          </cell>
          <cell r="C3525" t="str">
            <v>GK FLASHLAVREFILL PO4 M340 P60 ECOMRNF</v>
          </cell>
          <cell r="D3525">
            <v>0</v>
          </cell>
          <cell r="E3525">
            <v>0</v>
          </cell>
          <cell r="F3525">
            <v>0</v>
          </cell>
        </row>
        <row r="3526">
          <cell r="B3526">
            <v>40060368</v>
          </cell>
          <cell r="C3526" t="str">
            <v>GK FLASHLAVREF PO4M340P60 ECOMRNF PCR</v>
          </cell>
          <cell r="D3526">
            <v>0</v>
          </cell>
          <cell r="E3526">
            <v>0</v>
          </cell>
          <cell r="F3526">
            <v>0</v>
          </cell>
        </row>
        <row r="3527">
          <cell r="B3527">
            <v>40065343</v>
          </cell>
          <cell r="C3527" t="str">
            <v>GK FLASHLAVREFILL PO4 M365 P60ECOMRNFPCR</v>
          </cell>
          <cell r="D3527">
            <v>0</v>
          </cell>
          <cell r="E3527">
            <v>0</v>
          </cell>
          <cell r="F3527">
            <v>0</v>
          </cell>
        </row>
        <row r="3528">
          <cell r="B3528">
            <v>40065415</v>
          </cell>
          <cell r="C3528" t="str">
            <v>GKFLASHLAVREFILLPO4M325.00P60ECOMRNF LIQ</v>
          </cell>
          <cell r="D3528">
            <v>0</v>
          </cell>
          <cell r="E3528">
            <v>0</v>
          </cell>
          <cell r="F3528">
            <v>0</v>
          </cell>
        </row>
        <row r="3529">
          <cell r="B3529">
            <v>40061720</v>
          </cell>
          <cell r="C3529" t="str">
            <v>GK FLASHLAVREFILL PO6 M510 P40 ECOM CAF</v>
          </cell>
          <cell r="D3529">
            <v>0</v>
          </cell>
          <cell r="E3529">
            <v>0</v>
          </cell>
          <cell r="F3529">
            <v>0</v>
          </cell>
        </row>
        <row r="3530">
          <cell r="B3530">
            <v>40063602</v>
          </cell>
          <cell r="C3530" t="str">
            <v>GK FLASH LAVREFILL PO6 M540 P40 ECOM CAF</v>
          </cell>
          <cell r="D3530">
            <v>0</v>
          </cell>
          <cell r="E3530">
            <v>0</v>
          </cell>
          <cell r="F3530">
            <v>0</v>
          </cell>
        </row>
        <row r="3531">
          <cell r="B3531">
            <v>40065332</v>
          </cell>
          <cell r="C3531" t="str">
            <v>GK FLASH LAVREFILL PO6 M549 P40 ECOM CAF</v>
          </cell>
          <cell r="D3531">
            <v>0</v>
          </cell>
          <cell r="E3531">
            <v>0</v>
          </cell>
          <cell r="F3531">
            <v>0</v>
          </cell>
        </row>
        <row r="3532">
          <cell r="B3532">
            <v>40026127</v>
          </cell>
          <cell r="C3532" t="str">
            <v>GK ACTIV+ 1.6TFTLAV MRP72PS120 NPRMO NEW</v>
          </cell>
          <cell r="D3532">
            <v>0</v>
          </cell>
          <cell r="E3532">
            <v>0</v>
          </cell>
          <cell r="F3532">
            <v>0</v>
          </cell>
        </row>
        <row r="3533">
          <cell r="B3533">
            <v>40050423</v>
          </cell>
          <cell r="C3533" t="str">
            <v>GK REFACTIV+ PO6 M495.00 P40 ECOM RNF</v>
          </cell>
          <cell r="D3533">
            <v>0</v>
          </cell>
          <cell r="E3533">
            <v>0</v>
          </cell>
          <cell r="F3533">
            <v>0</v>
          </cell>
        </row>
        <row r="3534">
          <cell r="B3534">
            <v>40061217</v>
          </cell>
          <cell r="C3534" t="str">
            <v>GK REFACTIV+ PO6 M495P40 ECOM RNF PCR</v>
          </cell>
          <cell r="D3534">
            <v>0</v>
          </cell>
          <cell r="E3534">
            <v>0</v>
          </cell>
          <cell r="F3534">
            <v>0</v>
          </cell>
        </row>
        <row r="3535">
          <cell r="B3535">
            <v>40063658</v>
          </cell>
          <cell r="C3535" t="str">
            <v>GK ACTIV+ PO6 M525P40 ECOM RNF PCR</v>
          </cell>
          <cell r="D3535">
            <v>0</v>
          </cell>
          <cell r="E3535">
            <v>0</v>
          </cell>
          <cell r="F3535">
            <v>0</v>
          </cell>
        </row>
        <row r="3536">
          <cell r="B3536">
            <v>40065430</v>
          </cell>
          <cell r="C3536" t="str">
            <v>GK REFACTIV+ PO6 M495.00 P40 ECOMRNF LIQ</v>
          </cell>
          <cell r="D3536">
            <v>0</v>
          </cell>
          <cell r="E3536">
            <v>0</v>
          </cell>
          <cell r="F3536">
            <v>0</v>
          </cell>
        </row>
        <row r="3537">
          <cell r="B3537">
            <v>40041228</v>
          </cell>
          <cell r="C3537" t="str">
            <v>GK PA+ PO6 M465 P40 Ecom(F)</v>
          </cell>
          <cell r="D3537">
            <v>0</v>
          </cell>
          <cell r="E3537">
            <v>0</v>
          </cell>
          <cell r="F3537">
            <v>0</v>
          </cell>
        </row>
        <row r="3538">
          <cell r="B3538">
            <v>40041715</v>
          </cell>
          <cell r="C3538" t="str">
            <v>GK REFILL PA+PO4 M299 P60 (F)</v>
          </cell>
          <cell r="D3538">
            <v>0</v>
          </cell>
          <cell r="E3538">
            <v>0</v>
          </cell>
          <cell r="F3538">
            <v>0</v>
          </cell>
        </row>
        <row r="3539">
          <cell r="B3539">
            <v>40050425</v>
          </cell>
          <cell r="C3539" t="str">
            <v>GK REFILL ACTIV+PO4 M325.00 P60 RNF</v>
          </cell>
          <cell r="D3539">
            <v>0</v>
          </cell>
          <cell r="E3539">
            <v>0</v>
          </cell>
          <cell r="F3539">
            <v>0</v>
          </cell>
        </row>
        <row r="3540">
          <cell r="B3540">
            <v>40059782</v>
          </cell>
          <cell r="C3540" t="str">
            <v>GK REFILL ACTIV+PO4 M340 P60 RNF NEW ART</v>
          </cell>
          <cell r="D3540">
            <v>0</v>
          </cell>
          <cell r="E3540">
            <v>0</v>
          </cell>
          <cell r="F3540">
            <v>0</v>
          </cell>
        </row>
        <row r="3541">
          <cell r="B3541">
            <v>40060364</v>
          </cell>
          <cell r="C3541" t="str">
            <v>GK REFACTIV+PO4 M340P60 RNF NEW ART PCR</v>
          </cell>
          <cell r="D3541">
            <v>0</v>
          </cell>
          <cell r="E3541">
            <v>0</v>
          </cell>
          <cell r="F3541">
            <v>0</v>
          </cell>
        </row>
        <row r="3542">
          <cell r="B3542">
            <v>40056538</v>
          </cell>
          <cell r="C3542" t="str">
            <v>GK REFILL PA+PO4 M325 P60 TFT HP</v>
          </cell>
          <cell r="D3542">
            <v>0</v>
          </cell>
          <cell r="E3542">
            <v>0</v>
          </cell>
          <cell r="F3542">
            <v>0</v>
          </cell>
        </row>
        <row r="3543">
          <cell r="B3543">
            <v>40036329</v>
          </cell>
          <cell r="C3543" t="str">
            <v>GK PA+ refill M75 P240 new</v>
          </cell>
          <cell r="D3543">
            <v>0</v>
          </cell>
          <cell r="E3543">
            <v>0</v>
          </cell>
          <cell r="F3543">
            <v>0</v>
          </cell>
        </row>
        <row r="3544">
          <cell r="B3544">
            <v>40038956</v>
          </cell>
          <cell r="C3544" t="str">
            <v>GK PA+ refill M77 P240(F)</v>
          </cell>
          <cell r="D3544">
            <v>0</v>
          </cell>
          <cell r="E3544">
            <v>0</v>
          </cell>
          <cell r="F3544">
            <v>0</v>
          </cell>
        </row>
        <row r="3545">
          <cell r="B3545">
            <v>40060359</v>
          </cell>
          <cell r="C3545" t="str">
            <v>GK REFACTIV+ REFILL M85P240 RNF PCR</v>
          </cell>
          <cell r="D3545">
            <v>0</v>
          </cell>
          <cell r="E3545">
            <v>0</v>
          </cell>
          <cell r="F3545">
            <v>0</v>
          </cell>
        </row>
        <row r="3546">
          <cell r="B3546">
            <v>40063482</v>
          </cell>
          <cell r="C3546" t="str">
            <v>GK ACTIV+ REFILL M90P240 RNF PCR ROI</v>
          </cell>
          <cell r="D3546">
            <v>0</v>
          </cell>
          <cell r="E3546">
            <v>0</v>
          </cell>
          <cell r="F3546">
            <v>0</v>
          </cell>
        </row>
        <row r="3547">
          <cell r="B3547">
            <v>40041206</v>
          </cell>
          <cell r="C3547" t="str">
            <v>GK PA+ refill M80 P240(F)</v>
          </cell>
          <cell r="D3547">
            <v>0</v>
          </cell>
          <cell r="E3547">
            <v>0</v>
          </cell>
          <cell r="F3547">
            <v>0</v>
          </cell>
        </row>
        <row r="3548">
          <cell r="B3548">
            <v>40056519</v>
          </cell>
          <cell r="C3548" t="str">
            <v>GK PA+ REFILL M85 P240 TFT HP</v>
          </cell>
          <cell r="D3548">
            <v>0</v>
          </cell>
          <cell r="E3548">
            <v>0</v>
          </cell>
          <cell r="F3548">
            <v>0</v>
          </cell>
        </row>
        <row r="3549">
          <cell r="B3549">
            <v>40065399</v>
          </cell>
          <cell r="C3549" t="str">
            <v>GK PA+ REFILL M85 P240 TFT HP LIQ</v>
          </cell>
          <cell r="D3549">
            <v>0</v>
          </cell>
          <cell r="E3549">
            <v>0</v>
          </cell>
          <cell r="F3549">
            <v>0</v>
          </cell>
        </row>
        <row r="3550">
          <cell r="B3550">
            <v>40033414</v>
          </cell>
          <cell r="C3550" t="str">
            <v>GK PA + refill Po2 M140 P120 GT</v>
          </cell>
          <cell r="D3550">
            <v>0</v>
          </cell>
          <cell r="E3550">
            <v>0</v>
          </cell>
          <cell r="F3550">
            <v>0</v>
          </cell>
        </row>
        <row r="3551">
          <cell r="B3551">
            <v>40035176</v>
          </cell>
          <cell r="C3551" t="str">
            <v>GK PA+ Po2 refill M144 P120 GT</v>
          </cell>
          <cell r="D3551">
            <v>0</v>
          </cell>
          <cell r="E3551">
            <v>0</v>
          </cell>
          <cell r="F3551">
            <v>0</v>
          </cell>
        </row>
        <row r="3552">
          <cell r="B3552">
            <v>40036014</v>
          </cell>
          <cell r="C3552" t="str">
            <v>GK PA+ Po2 refill M145 P120 GT New</v>
          </cell>
          <cell r="D3552">
            <v>0</v>
          </cell>
          <cell r="E3552">
            <v>0</v>
          </cell>
          <cell r="F3552">
            <v>0</v>
          </cell>
        </row>
        <row r="3553">
          <cell r="B3553">
            <v>40059777</v>
          </cell>
          <cell r="C3553" t="str">
            <v>GKACTIV+ PO2 REFILL M165 P120 RNFNEWART</v>
          </cell>
          <cell r="D3553">
            <v>0</v>
          </cell>
          <cell r="E3553">
            <v>0</v>
          </cell>
          <cell r="F3553">
            <v>0</v>
          </cell>
        </row>
        <row r="3554">
          <cell r="B3554">
            <v>40060360</v>
          </cell>
          <cell r="C3554" t="str">
            <v>GK REFACTIV+PO2 REFILL M165P120 RNF PCR</v>
          </cell>
          <cell r="D3554">
            <v>0</v>
          </cell>
          <cell r="E3554">
            <v>0</v>
          </cell>
          <cell r="F3554">
            <v>0</v>
          </cell>
        </row>
        <row r="3555">
          <cell r="B3555">
            <v>40063572</v>
          </cell>
          <cell r="C3555" t="str">
            <v>GK ACTIV+PO2 REFILL M175P120 RNF PCR ROI</v>
          </cell>
          <cell r="D3555">
            <v>0</v>
          </cell>
          <cell r="E3555">
            <v>0</v>
          </cell>
          <cell r="F3555">
            <v>0</v>
          </cell>
        </row>
        <row r="3556">
          <cell r="B3556">
            <v>40041205</v>
          </cell>
          <cell r="C3556" t="str">
            <v>GK PA+ Po2 refill M150 P120 (F)</v>
          </cell>
          <cell r="D3556">
            <v>0</v>
          </cell>
          <cell r="E3556">
            <v>0</v>
          </cell>
          <cell r="F3556">
            <v>0</v>
          </cell>
        </row>
        <row r="3557">
          <cell r="B3557">
            <v>40056543</v>
          </cell>
          <cell r="C3557" t="str">
            <v>GK PA+ PO2 REFILL M165 P120 TFT HP</v>
          </cell>
          <cell r="D3557">
            <v>0</v>
          </cell>
          <cell r="E3557">
            <v>0</v>
          </cell>
          <cell r="F3557">
            <v>0</v>
          </cell>
        </row>
        <row r="3558">
          <cell r="B3558">
            <v>40064103</v>
          </cell>
          <cell r="C3558" t="str">
            <v>GK ACTIV+PO2 REFILL M180P120 RNFPCR OT</v>
          </cell>
          <cell r="D3558">
            <v>0</v>
          </cell>
          <cell r="E3558">
            <v>0</v>
          </cell>
          <cell r="F3558">
            <v>0</v>
          </cell>
        </row>
        <row r="3559">
          <cell r="B3559">
            <v>40034380</v>
          </cell>
          <cell r="C3559" t="str">
            <v>HIT CIK 200ML M110 P60</v>
          </cell>
          <cell r="D3559">
            <v>0</v>
          </cell>
          <cell r="E3559">
            <v>0</v>
          </cell>
          <cell r="F3559">
            <v>0</v>
          </cell>
        </row>
        <row r="3560">
          <cell r="B3560">
            <v>40035070</v>
          </cell>
          <cell r="C3560" t="str">
            <v>HIT CIK 200ML M115 P60</v>
          </cell>
          <cell r="D3560">
            <v>0</v>
          </cell>
          <cell r="E3560">
            <v>0</v>
          </cell>
          <cell r="F3560">
            <v>0</v>
          </cell>
        </row>
        <row r="3561">
          <cell r="B3561">
            <v>40038828</v>
          </cell>
          <cell r="C3561" t="str">
            <v>HIT CIK 200 ML M115P60Can new</v>
          </cell>
          <cell r="D3561">
            <v>0</v>
          </cell>
          <cell r="E3561">
            <v>0</v>
          </cell>
          <cell r="F3561">
            <v>0</v>
          </cell>
        </row>
        <row r="3562">
          <cell r="B3562">
            <v>40039305</v>
          </cell>
          <cell r="C3562" t="str">
            <v>HIT CIK 200ML M99P60Can-NEW</v>
          </cell>
          <cell r="D3562">
            <v>0</v>
          </cell>
          <cell r="E3562">
            <v>0</v>
          </cell>
          <cell r="F3562">
            <v>0</v>
          </cell>
        </row>
        <row r="3563">
          <cell r="B3563">
            <v>40043791</v>
          </cell>
          <cell r="C3563" t="str">
            <v>HIT CIK 200ML M105 P60 L</v>
          </cell>
          <cell r="D3563">
            <v>0</v>
          </cell>
          <cell r="E3563">
            <v>0</v>
          </cell>
          <cell r="F3563">
            <v>0</v>
          </cell>
        </row>
        <row r="3564">
          <cell r="B3564">
            <v>40038918</v>
          </cell>
          <cell r="C3564" t="str">
            <v>HIT CIK 200ML M99 P60 L</v>
          </cell>
          <cell r="D3564">
            <v>0</v>
          </cell>
          <cell r="E3564">
            <v>0</v>
          </cell>
          <cell r="F3564">
            <v>0</v>
          </cell>
        </row>
        <row r="3565">
          <cell r="B3565">
            <v>40059140</v>
          </cell>
          <cell r="C3565" t="str">
            <v>HIT CIK 200ML M99 P60 0.18MM NEW L RH33%</v>
          </cell>
          <cell r="D3565">
            <v>0</v>
          </cell>
          <cell r="E3565">
            <v>0</v>
          </cell>
          <cell r="F3565">
            <v>0</v>
          </cell>
        </row>
        <row r="3566">
          <cell r="B3566">
            <v>40036358</v>
          </cell>
          <cell r="C3566" t="str">
            <v>HIT CIK 320ML M210 P50</v>
          </cell>
          <cell r="D3566">
            <v>0</v>
          </cell>
          <cell r="E3566">
            <v>0</v>
          </cell>
          <cell r="F3566">
            <v>0</v>
          </cell>
        </row>
        <row r="3567">
          <cell r="B3567">
            <v>40057371</v>
          </cell>
          <cell r="C3567" t="str">
            <v>HIT CIK 320ML M210 P50 0.18 HT 20%</v>
          </cell>
          <cell r="D3567">
            <v>0</v>
          </cell>
          <cell r="E3567">
            <v>0</v>
          </cell>
          <cell r="F3567">
            <v>0</v>
          </cell>
        </row>
        <row r="3568">
          <cell r="B3568">
            <v>40036354</v>
          </cell>
          <cell r="C3568" t="str">
            <v>HIT CIK 400ML M225 P36</v>
          </cell>
          <cell r="D3568">
            <v>0</v>
          </cell>
          <cell r="E3568">
            <v>0</v>
          </cell>
          <cell r="F3568">
            <v>0</v>
          </cell>
        </row>
        <row r="3569">
          <cell r="B3569">
            <v>40043793</v>
          </cell>
          <cell r="C3569" t="str">
            <v>HIT CIK 400ML M230 P36.</v>
          </cell>
          <cell r="D3569">
            <v>0</v>
          </cell>
          <cell r="E3569">
            <v>0</v>
          </cell>
          <cell r="F3569">
            <v>0</v>
          </cell>
        </row>
        <row r="3570">
          <cell r="B3570">
            <v>40050398</v>
          </cell>
          <cell r="C3570" t="str">
            <v>HIT CIK 400ML M230.00 P36 0.18</v>
          </cell>
          <cell r="D3570">
            <v>0</v>
          </cell>
          <cell r="E3570">
            <v>0</v>
          </cell>
          <cell r="F3570">
            <v>0</v>
          </cell>
        </row>
        <row r="3571">
          <cell r="B3571">
            <v>40058047</v>
          </cell>
          <cell r="C3571" t="str">
            <v>HIT CIK 400ML M189 P36 0.18</v>
          </cell>
          <cell r="D3571">
            <v>0</v>
          </cell>
          <cell r="E3571">
            <v>0</v>
          </cell>
          <cell r="F3571">
            <v>0</v>
          </cell>
        </row>
        <row r="3572">
          <cell r="B3572">
            <v>40043794</v>
          </cell>
          <cell r="C3572" t="str">
            <v>HIT CIK 625ML MRP350 P25</v>
          </cell>
          <cell r="D3572">
            <v>0</v>
          </cell>
          <cell r="E3572">
            <v>0</v>
          </cell>
          <cell r="F3572">
            <v>0</v>
          </cell>
        </row>
        <row r="3573">
          <cell r="B3573">
            <v>40050367</v>
          </cell>
          <cell r="C3573" t="str">
            <v>HIT CIK 625ML MRP350.00 P25 0.18</v>
          </cell>
          <cell r="D3573">
            <v>0</v>
          </cell>
          <cell r="E3573">
            <v>0</v>
          </cell>
          <cell r="F3573">
            <v>0</v>
          </cell>
        </row>
        <row r="3574">
          <cell r="B3574">
            <v>40058044</v>
          </cell>
          <cell r="C3574" t="str">
            <v>HIT CIK 625ML M260 P25 0.18</v>
          </cell>
          <cell r="D3574">
            <v>0</v>
          </cell>
          <cell r="E3574">
            <v>0</v>
          </cell>
          <cell r="F3574">
            <v>0</v>
          </cell>
        </row>
        <row r="3575">
          <cell r="B3575">
            <v>40059264</v>
          </cell>
          <cell r="C3575" t="str">
            <v>HIT CIK 625ML M260 P25 0.18 RH 25%</v>
          </cell>
          <cell r="D3575">
            <v>0</v>
          </cell>
          <cell r="E3575">
            <v>0</v>
          </cell>
          <cell r="F3575">
            <v>0</v>
          </cell>
        </row>
        <row r="3576">
          <cell r="B3576">
            <v>40063474</v>
          </cell>
          <cell r="C3576" t="str">
            <v>HIT CIK 625ML M280 P25 0.18 RH 25%</v>
          </cell>
          <cell r="D3576">
            <v>0</v>
          </cell>
          <cell r="E3576">
            <v>0</v>
          </cell>
          <cell r="F3576">
            <v>0</v>
          </cell>
        </row>
        <row r="3577">
          <cell r="B3577">
            <v>40064687</v>
          </cell>
          <cell r="C3577" t="str">
            <v>HIT CIK 625ML M310 P25 0.18 RH 25%</v>
          </cell>
          <cell r="D3577">
            <v>0</v>
          </cell>
          <cell r="E3577">
            <v>0</v>
          </cell>
          <cell r="F3577">
            <v>0</v>
          </cell>
        </row>
        <row r="3578">
          <cell r="B3578">
            <v>40050887</v>
          </cell>
          <cell r="C3578" t="str">
            <v>HIT CIK 700ML M440 P25 RH ECOM</v>
          </cell>
          <cell r="D3578">
            <v>0</v>
          </cell>
          <cell r="E3578">
            <v>0</v>
          </cell>
          <cell r="F3578">
            <v>0</v>
          </cell>
        </row>
        <row r="3579">
          <cell r="B3579">
            <v>40059139</v>
          </cell>
          <cell r="C3579" t="str">
            <v>HIT CIK 700ML M315 P25 RH 20% ECOM</v>
          </cell>
          <cell r="D3579">
            <v>0</v>
          </cell>
          <cell r="E3579">
            <v>0</v>
          </cell>
          <cell r="F3579">
            <v>0</v>
          </cell>
        </row>
        <row r="3580">
          <cell r="B3580">
            <v>40062833</v>
          </cell>
          <cell r="C3580" t="str">
            <v>HIT CIK 700ML M325 P25 RH 20% ECOM</v>
          </cell>
          <cell r="D3580">
            <v>0</v>
          </cell>
          <cell r="E3580">
            <v>0</v>
          </cell>
          <cell r="F3580">
            <v>0</v>
          </cell>
        </row>
        <row r="3581">
          <cell r="B3581">
            <v>40064684</v>
          </cell>
          <cell r="C3581" t="str">
            <v>HIT CIK 700ML M385 P25</v>
          </cell>
          <cell r="D3581">
            <v>0</v>
          </cell>
          <cell r="E3581">
            <v>0</v>
          </cell>
          <cell r="F3581">
            <v>0</v>
          </cell>
        </row>
        <row r="3582">
          <cell r="B3582">
            <v>40065365</v>
          </cell>
          <cell r="C3582" t="str">
            <v>HIT CIK 700ML M315 P25 RH 20% ECOM LIQ</v>
          </cell>
          <cell r="D3582">
            <v>0</v>
          </cell>
          <cell r="E3582">
            <v>0</v>
          </cell>
          <cell r="F3582">
            <v>0</v>
          </cell>
        </row>
        <row r="3583">
          <cell r="B3583">
            <v>40065368</v>
          </cell>
          <cell r="C3583" t="str">
            <v>HIT CIK 700ML M440 P25 RH ECOM &lt;6M LIQ</v>
          </cell>
          <cell r="D3583">
            <v>0</v>
          </cell>
          <cell r="E3583">
            <v>0</v>
          </cell>
          <cell r="F3583">
            <v>0</v>
          </cell>
        </row>
        <row r="3584">
          <cell r="B3584">
            <v>40039265</v>
          </cell>
          <cell r="C3584" t="str">
            <v>HIT CIK 125ML MRP60 P90 D2D</v>
          </cell>
          <cell r="D3584">
            <v>0</v>
          </cell>
          <cell r="E3584">
            <v>0</v>
          </cell>
          <cell r="F3584">
            <v>0</v>
          </cell>
        </row>
        <row r="3585">
          <cell r="B3585">
            <v>40050404</v>
          </cell>
          <cell r="C3585" t="str">
            <v>HIT CIK 320ML M210.00 P50 0.18</v>
          </cell>
          <cell r="D3585">
            <v>0</v>
          </cell>
          <cell r="E3585">
            <v>0</v>
          </cell>
          <cell r="F3585">
            <v>0</v>
          </cell>
        </row>
        <row r="3586">
          <cell r="B3586">
            <v>40058156</v>
          </cell>
          <cell r="C3586" t="str">
            <v>HIT CIK 320ML M230 P50 0.18 CSD</v>
          </cell>
          <cell r="D3586">
            <v>0</v>
          </cell>
          <cell r="E3586">
            <v>0</v>
          </cell>
          <cell r="F3586">
            <v>0</v>
          </cell>
        </row>
        <row r="3587">
          <cell r="B3587">
            <v>40043572</v>
          </cell>
          <cell r="C3587" t="str">
            <v>HIT FIK 125ML MRP75 P90 NEW L</v>
          </cell>
          <cell r="D3587">
            <v>0</v>
          </cell>
          <cell r="E3587">
            <v>0</v>
          </cell>
          <cell r="F3587">
            <v>0</v>
          </cell>
        </row>
        <row r="3588">
          <cell r="B3588">
            <v>40057845</v>
          </cell>
          <cell r="C3588" t="str">
            <v>HIT FIK 125ML M85 P90 NEW L MFT</v>
          </cell>
          <cell r="D3588">
            <v>0</v>
          </cell>
          <cell r="E3588">
            <v>0</v>
          </cell>
          <cell r="F3588">
            <v>0</v>
          </cell>
        </row>
        <row r="3589">
          <cell r="B3589">
            <v>40034983</v>
          </cell>
          <cell r="C3589" t="str">
            <v>HIT FIK 125ML MRP75 P90</v>
          </cell>
          <cell r="D3589">
            <v>0</v>
          </cell>
          <cell r="E3589">
            <v>0</v>
          </cell>
          <cell r="F3589">
            <v>0</v>
          </cell>
        </row>
        <row r="3590">
          <cell r="B3590">
            <v>40050210</v>
          </cell>
          <cell r="C3590" t="str">
            <v>HIT FIK 125ML MRP85 P90 NEW L</v>
          </cell>
          <cell r="D3590">
            <v>0</v>
          </cell>
          <cell r="E3590">
            <v>0</v>
          </cell>
          <cell r="F3590">
            <v>0</v>
          </cell>
        </row>
        <row r="3591">
          <cell r="B3591">
            <v>40032491</v>
          </cell>
          <cell r="C3591" t="str">
            <v>HIT FIK 200ML M101 P60 WB</v>
          </cell>
          <cell r="D3591">
            <v>0</v>
          </cell>
          <cell r="E3591">
            <v>0</v>
          </cell>
          <cell r="F3591">
            <v>0</v>
          </cell>
        </row>
        <row r="3592">
          <cell r="B3592">
            <v>40056453</v>
          </cell>
          <cell r="C3592" t="str">
            <v>HIT FIK 200ML M120 P60 CAN_ 0.18MM MFT</v>
          </cell>
          <cell r="D3592">
            <v>0</v>
          </cell>
          <cell r="E3592">
            <v>0</v>
          </cell>
          <cell r="F3592">
            <v>0</v>
          </cell>
        </row>
        <row r="3593">
          <cell r="B3593">
            <v>40059300</v>
          </cell>
          <cell r="C3593" t="str">
            <v>HIT FIK 200ML M120P60 CAN .18MM MFT NEW</v>
          </cell>
          <cell r="D3593">
            <v>0</v>
          </cell>
          <cell r="E3593">
            <v>0</v>
          </cell>
          <cell r="F3593">
            <v>0</v>
          </cell>
        </row>
        <row r="3594">
          <cell r="B3594">
            <v>40035010</v>
          </cell>
          <cell r="C3594" t="str">
            <v>HIT FIK 200ML M115 P60</v>
          </cell>
          <cell r="D3594">
            <v>0</v>
          </cell>
          <cell r="E3594">
            <v>0</v>
          </cell>
          <cell r="F3594">
            <v>0</v>
          </cell>
        </row>
        <row r="3595">
          <cell r="B3595">
            <v>40043810</v>
          </cell>
          <cell r="C3595" t="str">
            <v>HIT FIK 200ML M120 P60Can0.18mm NEW L</v>
          </cell>
          <cell r="D3595">
            <v>0</v>
          </cell>
          <cell r="E3595">
            <v>0</v>
          </cell>
          <cell r="F3595">
            <v>0</v>
          </cell>
        </row>
        <row r="3596">
          <cell r="B3596">
            <v>40049625</v>
          </cell>
          <cell r="C3596" t="str">
            <v>HIT FIK 200ML M120 P60 T0.18NEW L HT 33%</v>
          </cell>
          <cell r="D3596">
            <v>0</v>
          </cell>
          <cell r="E3596">
            <v>0</v>
          </cell>
          <cell r="F3596">
            <v>0</v>
          </cell>
        </row>
        <row r="3597">
          <cell r="B3597">
            <v>40056440</v>
          </cell>
          <cell r="C3597" t="str">
            <v>HIT FIK 200ML M115 P60 CAN0.18MM MFT</v>
          </cell>
          <cell r="D3597">
            <v>0</v>
          </cell>
          <cell r="E3597">
            <v>0</v>
          </cell>
          <cell r="F3597">
            <v>0</v>
          </cell>
        </row>
        <row r="3598">
          <cell r="B3598">
            <v>40056442</v>
          </cell>
          <cell r="C3598" t="str">
            <v>HIT FIK 200ML M115 P60 0.18MM NEW L 33%</v>
          </cell>
          <cell r="D3598">
            <v>0</v>
          </cell>
          <cell r="E3598">
            <v>0</v>
          </cell>
          <cell r="F3598">
            <v>0</v>
          </cell>
        </row>
        <row r="3599">
          <cell r="B3599">
            <v>40059302</v>
          </cell>
          <cell r="C3599" t="str">
            <v>HIT FIK 200ML M115P60 CAN .18MM MFT NEW</v>
          </cell>
          <cell r="D3599">
            <v>0</v>
          </cell>
          <cell r="E3599">
            <v>0</v>
          </cell>
          <cell r="F3599">
            <v>0</v>
          </cell>
        </row>
        <row r="3600">
          <cell r="B3600">
            <v>40063046</v>
          </cell>
          <cell r="C3600" t="str">
            <v>HIT FIK 200ML M120 P60 CAN .18MM MFT NEW</v>
          </cell>
          <cell r="D3600">
            <v>0</v>
          </cell>
          <cell r="E3600">
            <v>0</v>
          </cell>
          <cell r="F3600">
            <v>0</v>
          </cell>
        </row>
        <row r="3601">
          <cell r="B3601">
            <v>40042849</v>
          </cell>
          <cell r="C3601" t="str">
            <v>HIT FIK 200ML M99 P60 new AW thk new</v>
          </cell>
          <cell r="D3601">
            <v>0</v>
          </cell>
          <cell r="E3601">
            <v>0</v>
          </cell>
          <cell r="F3601">
            <v>0</v>
          </cell>
        </row>
        <row r="3602">
          <cell r="B3602">
            <v>40056452</v>
          </cell>
          <cell r="C3602" t="str">
            <v>HIT FIK 200ML M115 P60 CAN0.18MM TFT</v>
          </cell>
          <cell r="D3602">
            <v>0</v>
          </cell>
          <cell r="E3602">
            <v>0</v>
          </cell>
          <cell r="F3602">
            <v>0</v>
          </cell>
        </row>
        <row r="3603">
          <cell r="B3603">
            <v>40031370</v>
          </cell>
          <cell r="C3603" t="str">
            <v>HIT FIK 400ML 65 dia M189 P36</v>
          </cell>
          <cell r="D3603">
            <v>0</v>
          </cell>
          <cell r="E3603">
            <v>0</v>
          </cell>
          <cell r="F3603">
            <v>0</v>
          </cell>
        </row>
        <row r="3604">
          <cell r="B3604">
            <v>40036606</v>
          </cell>
          <cell r="C3604" t="str">
            <v>HIT FIK 400ML M225 P36</v>
          </cell>
          <cell r="D3604">
            <v>0</v>
          </cell>
          <cell r="E3604">
            <v>0</v>
          </cell>
          <cell r="F3604">
            <v>0</v>
          </cell>
        </row>
        <row r="3605">
          <cell r="B3605">
            <v>40043764</v>
          </cell>
          <cell r="C3605" t="str">
            <v>HIT FIK 400ML M230 P36 NEW L</v>
          </cell>
          <cell r="D3605">
            <v>0</v>
          </cell>
          <cell r="E3605">
            <v>0</v>
          </cell>
          <cell r="F3605">
            <v>0</v>
          </cell>
        </row>
        <row r="3606">
          <cell r="B3606">
            <v>40050192</v>
          </cell>
          <cell r="C3606" t="str">
            <v>HIT FIK 400ML M215 P36 NEW L</v>
          </cell>
          <cell r="D3606">
            <v>0</v>
          </cell>
          <cell r="E3606">
            <v>0</v>
          </cell>
          <cell r="F3606">
            <v>0</v>
          </cell>
        </row>
        <row r="3607">
          <cell r="B3607">
            <v>40050416</v>
          </cell>
          <cell r="C3607" t="str">
            <v>HIT FIK 400ML M215.00 P36 0.18</v>
          </cell>
          <cell r="D3607">
            <v>0</v>
          </cell>
          <cell r="E3607">
            <v>0</v>
          </cell>
          <cell r="F3607">
            <v>0</v>
          </cell>
        </row>
        <row r="3608">
          <cell r="B3608">
            <v>40057707</v>
          </cell>
          <cell r="C3608" t="str">
            <v>HIT FIK 400ML M180 P36 0.18 20%MFTVALPRO</v>
          </cell>
          <cell r="D3608">
            <v>0</v>
          </cell>
          <cell r="E3608">
            <v>0</v>
          </cell>
          <cell r="F3608">
            <v>0</v>
          </cell>
        </row>
        <row r="3609">
          <cell r="B3609">
            <v>40058138</v>
          </cell>
          <cell r="C3609" t="str">
            <v>HIT FIK 400ML M180 P36 0.18 20%MFT MRPOF</v>
          </cell>
          <cell r="D3609">
            <v>0</v>
          </cell>
          <cell r="E3609">
            <v>0</v>
          </cell>
          <cell r="F3609">
            <v>0</v>
          </cell>
        </row>
        <row r="3610">
          <cell r="B3610">
            <v>40063041</v>
          </cell>
          <cell r="C3610" t="str">
            <v>HIT FIK 400ML M185 P36 0.18 20%MFT PROMO</v>
          </cell>
          <cell r="D3610">
            <v>0</v>
          </cell>
          <cell r="E3610">
            <v>0</v>
          </cell>
          <cell r="F3610">
            <v>0</v>
          </cell>
        </row>
        <row r="3611">
          <cell r="B3611">
            <v>40035080</v>
          </cell>
          <cell r="C3611" t="str">
            <v>HIT FIK 400ML M215 P36</v>
          </cell>
          <cell r="D3611">
            <v>0</v>
          </cell>
          <cell r="E3611">
            <v>0</v>
          </cell>
          <cell r="F3611">
            <v>0</v>
          </cell>
        </row>
        <row r="3612">
          <cell r="B3612">
            <v>40058049</v>
          </cell>
          <cell r="C3612" t="str">
            <v>HIT FIK 400ML M180 P36 0.18 20%TFT PROMO</v>
          </cell>
          <cell r="D3612">
            <v>0</v>
          </cell>
          <cell r="E3612">
            <v>0</v>
          </cell>
          <cell r="F3612">
            <v>0</v>
          </cell>
        </row>
        <row r="3613">
          <cell r="B3613">
            <v>40043802</v>
          </cell>
          <cell r="C3613" t="str">
            <v>HIT FIK 625 ml MRP350 P25 NEW L</v>
          </cell>
          <cell r="D3613">
            <v>0</v>
          </cell>
          <cell r="E3613">
            <v>0</v>
          </cell>
          <cell r="F3613">
            <v>0</v>
          </cell>
        </row>
        <row r="3614">
          <cell r="B3614">
            <v>40050193</v>
          </cell>
          <cell r="C3614" t="str">
            <v>HIT FIK 625 ml MRP300 P25 NEW L</v>
          </cell>
          <cell r="D3614">
            <v>0</v>
          </cell>
          <cell r="E3614">
            <v>0</v>
          </cell>
          <cell r="F3614">
            <v>0</v>
          </cell>
        </row>
        <row r="3615">
          <cell r="B3615">
            <v>40050406</v>
          </cell>
          <cell r="C3615" t="str">
            <v>HIT FIK 625 ML MRP300.00 P25 0.18</v>
          </cell>
          <cell r="D3615">
            <v>0</v>
          </cell>
          <cell r="E3615">
            <v>0</v>
          </cell>
          <cell r="F3615">
            <v>0</v>
          </cell>
        </row>
        <row r="3616">
          <cell r="B3616">
            <v>40057706</v>
          </cell>
          <cell r="C3616" t="str">
            <v>HIT FIK 625ML M250P25 0.18 28%MFT VALPRO</v>
          </cell>
          <cell r="D3616">
            <v>0</v>
          </cell>
          <cell r="E3616">
            <v>0</v>
          </cell>
          <cell r="F3616">
            <v>0</v>
          </cell>
        </row>
        <row r="3617">
          <cell r="B3617">
            <v>40058139</v>
          </cell>
          <cell r="C3617" t="str">
            <v>HIT FIK 625ML M250P25 0.18 28% MFT MRPOF</v>
          </cell>
          <cell r="D3617">
            <v>0</v>
          </cell>
          <cell r="E3617">
            <v>0</v>
          </cell>
          <cell r="F3617">
            <v>0</v>
          </cell>
        </row>
        <row r="3618">
          <cell r="B3618">
            <v>40059301</v>
          </cell>
          <cell r="C3618" t="str">
            <v>HIT FIK 625ML M250P25 .18MM 28% MFT NEW</v>
          </cell>
          <cell r="D3618">
            <v>0</v>
          </cell>
          <cell r="E3618">
            <v>0</v>
          </cell>
          <cell r="F3618">
            <v>0</v>
          </cell>
        </row>
        <row r="3619">
          <cell r="B3619">
            <v>40061854</v>
          </cell>
          <cell r="C3619" t="str">
            <v>HIT FIK 700ML M300 P25 0.2MM NHMFT GTLOQ</v>
          </cell>
          <cell r="D3619">
            <v>0</v>
          </cell>
          <cell r="E3619">
            <v>0</v>
          </cell>
          <cell r="F3619">
            <v>0</v>
          </cell>
        </row>
        <row r="3620">
          <cell r="B3620">
            <v>40056403</v>
          </cell>
          <cell r="C3620" t="str">
            <v>HIT FIK 625 ML M325 P25 0.18</v>
          </cell>
          <cell r="D3620">
            <v>0</v>
          </cell>
          <cell r="E3620">
            <v>0</v>
          </cell>
          <cell r="F3620">
            <v>0</v>
          </cell>
        </row>
        <row r="3621">
          <cell r="B3621">
            <v>40058042</v>
          </cell>
          <cell r="C3621" t="str">
            <v>HIT FIK 625ML M250P25 0.18 28% TFT PROMO</v>
          </cell>
          <cell r="D3621">
            <v>0</v>
          </cell>
          <cell r="E3621">
            <v>0</v>
          </cell>
          <cell r="F3621">
            <v>0</v>
          </cell>
        </row>
        <row r="3622">
          <cell r="B3622">
            <v>40060903</v>
          </cell>
          <cell r="C3622" t="str">
            <v>HIT FIK 625ML M325P25 .18MM 28% MFT NEW</v>
          </cell>
          <cell r="D3622">
            <v>0</v>
          </cell>
          <cell r="E3622">
            <v>0</v>
          </cell>
          <cell r="F3622">
            <v>0</v>
          </cell>
        </row>
        <row r="3623">
          <cell r="B3623">
            <v>40058040</v>
          </cell>
          <cell r="C3623" t="str">
            <v>HIT FIK 700ML M300 P25 ECOM 0.2MM NH MFT</v>
          </cell>
          <cell r="D3623">
            <v>0</v>
          </cell>
          <cell r="E3623">
            <v>0</v>
          </cell>
          <cell r="F3623">
            <v>0</v>
          </cell>
        </row>
        <row r="3624">
          <cell r="B3624">
            <v>40063488</v>
          </cell>
          <cell r="C3624" t="str">
            <v>HIT FIK 700ML M400 P25 ECOM 0.2MM NH MFT</v>
          </cell>
          <cell r="D3624">
            <v>0</v>
          </cell>
          <cell r="E3624">
            <v>0</v>
          </cell>
          <cell r="F3624">
            <v>0</v>
          </cell>
        </row>
        <row r="3625">
          <cell r="B3625">
            <v>40043588</v>
          </cell>
          <cell r="C3625" t="str">
            <v>HIT FIK 700ml M410P25 Ecom NEW L</v>
          </cell>
          <cell r="D3625">
            <v>0</v>
          </cell>
          <cell r="E3625">
            <v>0</v>
          </cell>
          <cell r="F3625">
            <v>0</v>
          </cell>
        </row>
        <row r="3626">
          <cell r="B3626">
            <v>40050226</v>
          </cell>
          <cell r="C3626" t="str">
            <v>HIT FIK 700ml M350 P25 Ecom NEW L</v>
          </cell>
          <cell r="D3626">
            <v>0</v>
          </cell>
          <cell r="E3626">
            <v>0</v>
          </cell>
          <cell r="F3626">
            <v>0</v>
          </cell>
        </row>
        <row r="3627">
          <cell r="B3627">
            <v>40056402</v>
          </cell>
          <cell r="C3627" t="str">
            <v>HIT FIK 700ML M375 P25 ECOM 0.2MM NEW H</v>
          </cell>
          <cell r="D3627">
            <v>0</v>
          </cell>
          <cell r="E3627">
            <v>0</v>
          </cell>
          <cell r="F3627">
            <v>0</v>
          </cell>
        </row>
        <row r="3628">
          <cell r="B3628">
            <v>40058392</v>
          </cell>
          <cell r="C3628" t="str">
            <v>HIT FIK 700ML M300 P25 ECOM 0.2MM NH TFT</v>
          </cell>
          <cell r="D3628">
            <v>0</v>
          </cell>
          <cell r="E3628">
            <v>0</v>
          </cell>
          <cell r="F3628">
            <v>0</v>
          </cell>
        </row>
        <row r="3629">
          <cell r="B3629">
            <v>40060997</v>
          </cell>
          <cell r="C3629" t="str">
            <v>HIT FIK 700ML M375 P25 ECOM 0.2MM NH MFT</v>
          </cell>
          <cell r="D3629">
            <v>0</v>
          </cell>
          <cell r="E3629">
            <v>0</v>
          </cell>
          <cell r="F3629">
            <v>0</v>
          </cell>
        </row>
        <row r="3630">
          <cell r="B3630">
            <v>40056537</v>
          </cell>
          <cell r="C3630" t="str">
            <v>HIT FIK MATIC M650 P6 WITH QR</v>
          </cell>
          <cell r="D3630">
            <v>0</v>
          </cell>
          <cell r="E3630">
            <v>0</v>
          </cell>
          <cell r="F3630">
            <v>0</v>
          </cell>
        </row>
        <row r="3631">
          <cell r="B3631">
            <v>40056207</v>
          </cell>
          <cell r="C3631" t="str">
            <v>HIT FIK MATIC 30ML REFILL M250 P24</v>
          </cell>
          <cell r="D3631">
            <v>0</v>
          </cell>
          <cell r="E3631">
            <v>0</v>
          </cell>
          <cell r="F3631">
            <v>0</v>
          </cell>
        </row>
        <row r="3632">
          <cell r="B3632">
            <v>40038758</v>
          </cell>
          <cell r="C3632" t="str">
            <v>HIT MOSQ SPRAY 40ml M50 P96</v>
          </cell>
          <cell r="D3632">
            <v>0</v>
          </cell>
          <cell r="E3632">
            <v>0</v>
          </cell>
          <cell r="F3632">
            <v>0</v>
          </cell>
        </row>
        <row r="3633">
          <cell r="B3633">
            <v>40039254</v>
          </cell>
          <cell r="C3633" t="str">
            <v>HIT FIK 200ML M100 P60 D2D</v>
          </cell>
          <cell r="D3633">
            <v>0</v>
          </cell>
          <cell r="E3633">
            <v>0</v>
          </cell>
          <cell r="F3633">
            <v>0</v>
          </cell>
        </row>
        <row r="3634">
          <cell r="B3634">
            <v>40039257</v>
          </cell>
          <cell r="C3634" t="str">
            <v>HIT FIK 125ML MRP60 P90 D2D</v>
          </cell>
          <cell r="D3634">
            <v>0</v>
          </cell>
          <cell r="E3634">
            <v>0</v>
          </cell>
          <cell r="F3634">
            <v>0</v>
          </cell>
        </row>
        <row r="3635">
          <cell r="B3635">
            <v>40036487</v>
          </cell>
          <cell r="C3635" t="str">
            <v>HIT FIK 320ML CSD MRP210 PS 50</v>
          </cell>
          <cell r="D3635">
            <v>0</v>
          </cell>
          <cell r="E3635">
            <v>0</v>
          </cell>
          <cell r="F3635">
            <v>0</v>
          </cell>
        </row>
        <row r="3636">
          <cell r="B3636">
            <v>40058157</v>
          </cell>
          <cell r="C3636" t="str">
            <v>HIT FIK 320ML M230 P50 0.18 CSD</v>
          </cell>
          <cell r="D3636">
            <v>0</v>
          </cell>
          <cell r="E3636">
            <v>0</v>
          </cell>
          <cell r="F3636">
            <v>0</v>
          </cell>
        </row>
        <row r="3637">
          <cell r="B3637">
            <v>40032492</v>
          </cell>
          <cell r="C3637" t="str">
            <v>HIT FIK Lime Fresh 200ML M101 P60</v>
          </cell>
          <cell r="D3637">
            <v>0</v>
          </cell>
          <cell r="E3637">
            <v>0</v>
          </cell>
          <cell r="F3637">
            <v>0</v>
          </cell>
        </row>
        <row r="3638">
          <cell r="B3638">
            <v>40034112</v>
          </cell>
          <cell r="C3638" t="str">
            <v>HIT FIK Lime Fresh 200ML M105 P60</v>
          </cell>
          <cell r="D3638">
            <v>0</v>
          </cell>
          <cell r="E3638">
            <v>0</v>
          </cell>
          <cell r="F3638">
            <v>0</v>
          </cell>
        </row>
        <row r="3639">
          <cell r="B3639">
            <v>40036884</v>
          </cell>
          <cell r="C3639" t="str">
            <v>HIT FIK Lime 200ML M125 P60</v>
          </cell>
          <cell r="D3639">
            <v>0</v>
          </cell>
          <cell r="E3639">
            <v>0</v>
          </cell>
          <cell r="F3639">
            <v>0</v>
          </cell>
        </row>
        <row r="3640">
          <cell r="B3640">
            <v>40056408</v>
          </cell>
          <cell r="C3640" t="str">
            <v>HIT FIK LIME 200ML M140 P60 0.18 43%</v>
          </cell>
          <cell r="D3640">
            <v>0</v>
          </cell>
          <cell r="E3640">
            <v>0</v>
          </cell>
          <cell r="F3640">
            <v>0</v>
          </cell>
        </row>
        <row r="3641">
          <cell r="B3641">
            <v>40056445</v>
          </cell>
          <cell r="C3641" t="str">
            <v>HIT FIK LIME 200ML M140 P60 0.18 43% MFT</v>
          </cell>
          <cell r="D3641">
            <v>0</v>
          </cell>
          <cell r="E3641">
            <v>0</v>
          </cell>
          <cell r="F3641">
            <v>0</v>
          </cell>
        </row>
        <row r="3642">
          <cell r="B3642">
            <v>40059359</v>
          </cell>
          <cell r="C3642" t="str">
            <v>HIT FIK LIME 200ML M140P60 0.18 MFT RH</v>
          </cell>
          <cell r="D3642">
            <v>0</v>
          </cell>
          <cell r="E3642">
            <v>0</v>
          </cell>
          <cell r="F3642">
            <v>0</v>
          </cell>
        </row>
        <row r="3643">
          <cell r="B3643">
            <v>40060872</v>
          </cell>
          <cell r="C3643" t="str">
            <v>HIT FIK LIME 200ML M150P60 0.18 MFT RH</v>
          </cell>
          <cell r="D3643">
            <v>0</v>
          </cell>
          <cell r="E3643">
            <v>0</v>
          </cell>
          <cell r="F3643">
            <v>0</v>
          </cell>
        </row>
        <row r="3644">
          <cell r="B3644">
            <v>40043792</v>
          </cell>
          <cell r="C3644" t="str">
            <v>HIT FIK Lime 200ML M130 P60</v>
          </cell>
          <cell r="D3644">
            <v>0</v>
          </cell>
          <cell r="E3644">
            <v>0</v>
          </cell>
          <cell r="F3644">
            <v>0</v>
          </cell>
        </row>
        <row r="3645">
          <cell r="B3645">
            <v>40034416</v>
          </cell>
          <cell r="C3645" t="str">
            <v>HIT FIK Lime 400ML M199 P36</v>
          </cell>
          <cell r="D3645">
            <v>0</v>
          </cell>
          <cell r="E3645">
            <v>0</v>
          </cell>
          <cell r="F3645">
            <v>0</v>
          </cell>
        </row>
        <row r="3646">
          <cell r="B3646">
            <v>40035090</v>
          </cell>
          <cell r="C3646" t="str">
            <v>HIT FIK Lime 400ML Slim M215 P36</v>
          </cell>
          <cell r="D3646">
            <v>0</v>
          </cell>
          <cell r="E3646">
            <v>0</v>
          </cell>
          <cell r="F3646">
            <v>0</v>
          </cell>
        </row>
        <row r="3647">
          <cell r="B3647">
            <v>40036907</v>
          </cell>
          <cell r="C3647" t="str">
            <v>HIT FIK Lime 400ML MRP245 P36</v>
          </cell>
          <cell r="D3647">
            <v>0</v>
          </cell>
          <cell r="E3647">
            <v>0</v>
          </cell>
          <cell r="F3647">
            <v>0</v>
          </cell>
        </row>
        <row r="3648">
          <cell r="B3648">
            <v>40043803</v>
          </cell>
          <cell r="C3648" t="str">
            <v>HIT FIK Lime 400ML MRP250 P36</v>
          </cell>
          <cell r="D3648">
            <v>0</v>
          </cell>
          <cell r="E3648">
            <v>0</v>
          </cell>
          <cell r="F3648">
            <v>0</v>
          </cell>
        </row>
        <row r="3649">
          <cell r="B3649">
            <v>40058041</v>
          </cell>
          <cell r="C3649" t="str">
            <v>HIT FIK LIME 400ML M220 P36 0.18 20%MFT</v>
          </cell>
          <cell r="D3649">
            <v>0</v>
          </cell>
          <cell r="E3649">
            <v>0</v>
          </cell>
          <cell r="F3649">
            <v>0</v>
          </cell>
        </row>
        <row r="3650">
          <cell r="B3650">
            <v>40063486</v>
          </cell>
          <cell r="C3650" t="str">
            <v>HIT FIK LIME 400ML M270 P36 0.18 20%MFT</v>
          </cell>
          <cell r="D3650">
            <v>0</v>
          </cell>
          <cell r="E3650">
            <v>0</v>
          </cell>
          <cell r="F3650">
            <v>0</v>
          </cell>
        </row>
        <row r="3651">
          <cell r="B3651">
            <v>40050194</v>
          </cell>
          <cell r="C3651" t="str">
            <v>HIT FIK Lime 400ML MRP240 P36</v>
          </cell>
          <cell r="D3651">
            <v>0</v>
          </cell>
          <cell r="E3651">
            <v>0</v>
          </cell>
          <cell r="F3651">
            <v>0</v>
          </cell>
        </row>
        <row r="3652">
          <cell r="B3652">
            <v>40056409</v>
          </cell>
          <cell r="C3652" t="str">
            <v>HIT FIK LIME 400ML M255 P36 0.18 20%TFT</v>
          </cell>
          <cell r="D3652">
            <v>0</v>
          </cell>
          <cell r="E3652">
            <v>0</v>
          </cell>
          <cell r="F3652">
            <v>0</v>
          </cell>
        </row>
        <row r="3653">
          <cell r="B3653">
            <v>40043775</v>
          </cell>
          <cell r="C3653" t="str">
            <v>HIT FIK Lime 625ml MRP385 P25</v>
          </cell>
          <cell r="D3653">
            <v>0</v>
          </cell>
          <cell r="E3653">
            <v>0</v>
          </cell>
          <cell r="F3653">
            <v>0</v>
          </cell>
        </row>
        <row r="3654">
          <cell r="B3654">
            <v>40058045</v>
          </cell>
          <cell r="C3654" t="str">
            <v>HIT FIK LIME 625ML M300 P25 0.18MM MFT</v>
          </cell>
          <cell r="D3654">
            <v>0</v>
          </cell>
          <cell r="E3654">
            <v>0</v>
          </cell>
          <cell r="F3654">
            <v>0</v>
          </cell>
        </row>
        <row r="3655">
          <cell r="B3655">
            <v>40059360</v>
          </cell>
          <cell r="C3655" t="str">
            <v>HIT FIK LIME 625ML M300P25 0.18MM MFT RH</v>
          </cell>
          <cell r="D3655">
            <v>0</v>
          </cell>
          <cell r="E3655">
            <v>0</v>
          </cell>
          <cell r="F3655">
            <v>0</v>
          </cell>
        </row>
        <row r="3656">
          <cell r="B3656">
            <v>40060869</v>
          </cell>
          <cell r="C3656" t="str">
            <v>HIT FIK LIME 625ML M350P25 0.18MM MFT RH</v>
          </cell>
          <cell r="D3656">
            <v>0</v>
          </cell>
          <cell r="E3656">
            <v>0</v>
          </cell>
          <cell r="F3656">
            <v>0</v>
          </cell>
        </row>
        <row r="3657">
          <cell r="B3657">
            <v>40063050</v>
          </cell>
          <cell r="C3657" t="str">
            <v>HIT FIK LIME 625ML M360P25 0.18MM MFT RH</v>
          </cell>
          <cell r="D3657">
            <v>0</v>
          </cell>
          <cell r="E3657">
            <v>0</v>
          </cell>
          <cell r="F3657">
            <v>0</v>
          </cell>
        </row>
        <row r="3658">
          <cell r="B3658">
            <v>40063485</v>
          </cell>
          <cell r="C3658" t="str">
            <v>HIT FIK LIME 625ML M375P25 0.18MM MFT RH</v>
          </cell>
          <cell r="D3658">
            <v>0</v>
          </cell>
          <cell r="E3658">
            <v>0</v>
          </cell>
          <cell r="F3658">
            <v>0</v>
          </cell>
        </row>
        <row r="3659">
          <cell r="B3659">
            <v>40050216</v>
          </cell>
          <cell r="C3659" t="str">
            <v>HIT FIK Lime 625ml MRP335 P25</v>
          </cell>
          <cell r="D3659">
            <v>0</v>
          </cell>
          <cell r="E3659">
            <v>0</v>
          </cell>
          <cell r="F3659">
            <v>0</v>
          </cell>
        </row>
        <row r="3660">
          <cell r="B3660">
            <v>40050403</v>
          </cell>
          <cell r="C3660" t="str">
            <v>HIT FIK LIME 625ML MRP335.00 P25 0.18</v>
          </cell>
          <cell r="D3660">
            <v>0</v>
          </cell>
          <cell r="E3660">
            <v>0</v>
          </cell>
          <cell r="F3660">
            <v>0</v>
          </cell>
        </row>
        <row r="3661">
          <cell r="B3661">
            <v>40056421</v>
          </cell>
          <cell r="C3661" t="str">
            <v>HIT FIK LIME 625ML M370 P25 0.18MM</v>
          </cell>
          <cell r="D3661">
            <v>0</v>
          </cell>
          <cell r="E3661">
            <v>0</v>
          </cell>
          <cell r="F3661">
            <v>0</v>
          </cell>
        </row>
        <row r="3662">
          <cell r="B3662">
            <v>40058043</v>
          </cell>
          <cell r="C3662" t="str">
            <v>HIT FIK LIME 700ML M360 P25 ECOM 0.2 MFT</v>
          </cell>
          <cell r="D3662">
            <v>0</v>
          </cell>
          <cell r="E3662">
            <v>0</v>
          </cell>
          <cell r="F3662">
            <v>0</v>
          </cell>
        </row>
        <row r="3663">
          <cell r="B3663">
            <v>40063533</v>
          </cell>
          <cell r="C3663" t="str">
            <v>HIT FIK LIME 700ML M440 P25 ECOM 0.2 MFT</v>
          </cell>
          <cell r="D3663">
            <v>0</v>
          </cell>
          <cell r="E3663">
            <v>0</v>
          </cell>
          <cell r="F3663">
            <v>0</v>
          </cell>
        </row>
        <row r="3664">
          <cell r="B3664">
            <v>40065358</v>
          </cell>
          <cell r="C3664" t="str">
            <v>HIT FIK LIME 700MLM360P25ECOM 0.2MFT LIQ</v>
          </cell>
          <cell r="D3664">
            <v>0</v>
          </cell>
          <cell r="E3664">
            <v>0</v>
          </cell>
          <cell r="F3664">
            <v>0</v>
          </cell>
        </row>
        <row r="3665">
          <cell r="B3665">
            <v>40034817</v>
          </cell>
          <cell r="C3665" t="str">
            <v>HIT FIK Lime Fresh 700ml M390P25 Ecom</v>
          </cell>
          <cell r="D3665">
            <v>0</v>
          </cell>
          <cell r="E3665">
            <v>0</v>
          </cell>
          <cell r="F3665">
            <v>0</v>
          </cell>
        </row>
        <row r="3666">
          <cell r="B3666">
            <v>40056400</v>
          </cell>
          <cell r="C3666" t="str">
            <v>HIT FIK LIME 700ML M430 P25 ECOM 0.2 25%</v>
          </cell>
          <cell r="D3666">
            <v>0</v>
          </cell>
          <cell r="E3666">
            <v>0</v>
          </cell>
          <cell r="F3666">
            <v>0</v>
          </cell>
        </row>
        <row r="3667">
          <cell r="B3667">
            <v>40058393</v>
          </cell>
          <cell r="C3667" t="str">
            <v>HIT FIK LIME 700ML M360 P25 ECOM 0.2 25%</v>
          </cell>
          <cell r="D3667">
            <v>0</v>
          </cell>
          <cell r="E3667">
            <v>0</v>
          </cell>
          <cell r="F3667">
            <v>0</v>
          </cell>
        </row>
        <row r="3668">
          <cell r="B3668">
            <v>40065364</v>
          </cell>
          <cell r="C3668" t="str">
            <v>HIT FIK LIME 700MLM430P25ECOM0.2 25% LIQ</v>
          </cell>
          <cell r="D3668">
            <v>0</v>
          </cell>
          <cell r="E3668">
            <v>0</v>
          </cell>
          <cell r="F3668">
            <v>0</v>
          </cell>
        </row>
        <row r="3669">
          <cell r="B3669">
            <v>40038050</v>
          </cell>
          <cell r="C3669" t="str">
            <v>GK SUPER MAT 100 POUCH M180 P40</v>
          </cell>
          <cell r="D3669">
            <v>0</v>
          </cell>
          <cell r="E3669">
            <v>0</v>
          </cell>
          <cell r="F3669">
            <v>0</v>
          </cell>
        </row>
        <row r="3670">
          <cell r="B3670">
            <v>40056959</v>
          </cell>
          <cell r="C3670" t="str">
            <v>GK SUPER MAT 100 POUCH M200 P40</v>
          </cell>
          <cell r="D3670">
            <v>0</v>
          </cell>
          <cell r="E3670">
            <v>0</v>
          </cell>
          <cell r="F3670">
            <v>0</v>
          </cell>
        </row>
        <row r="3671">
          <cell r="B3671">
            <v>40035042</v>
          </cell>
          <cell r="C3671" t="str">
            <v>GK Flash combi M95 P48 45ml</v>
          </cell>
          <cell r="D3671">
            <v>0</v>
          </cell>
          <cell r="E3671">
            <v>0</v>
          </cell>
          <cell r="F3671">
            <v>0</v>
          </cell>
        </row>
        <row r="3672">
          <cell r="B3672">
            <v>40037623</v>
          </cell>
          <cell r="C3672" t="str">
            <v>GK Flash combi M95 P48 45ml -NL</v>
          </cell>
          <cell r="D3672">
            <v>0</v>
          </cell>
          <cell r="E3672">
            <v>0</v>
          </cell>
          <cell r="F3672">
            <v>0</v>
          </cell>
        </row>
        <row r="3673">
          <cell r="B3673">
            <v>40037926</v>
          </cell>
          <cell r="C3673" t="str">
            <v>GK Flash combi M95 P60-NL</v>
          </cell>
          <cell r="D3673">
            <v>0</v>
          </cell>
          <cell r="E3673">
            <v>0</v>
          </cell>
          <cell r="F3673">
            <v>0</v>
          </cell>
        </row>
        <row r="3674">
          <cell r="B3674">
            <v>40039223</v>
          </cell>
          <cell r="C3674" t="str">
            <v>GK Flash combi M95 P60-NL NS</v>
          </cell>
          <cell r="D3674">
            <v>0</v>
          </cell>
          <cell r="E3674">
            <v>0</v>
          </cell>
          <cell r="F3674">
            <v>0</v>
          </cell>
        </row>
        <row r="3675">
          <cell r="B3675">
            <v>40041286</v>
          </cell>
          <cell r="C3675" t="str">
            <v>GK Flash combi M100 P60 NS</v>
          </cell>
          <cell r="D3675">
            <v>0</v>
          </cell>
          <cell r="E3675">
            <v>0</v>
          </cell>
          <cell r="F3675">
            <v>0</v>
          </cell>
        </row>
        <row r="3676">
          <cell r="B3676">
            <v>40050185</v>
          </cell>
          <cell r="C3676" t="str">
            <v>GK Flash combi M100 P60 NS RNF</v>
          </cell>
          <cell r="D3676">
            <v>0</v>
          </cell>
          <cell r="E3676">
            <v>0</v>
          </cell>
          <cell r="F3676">
            <v>0</v>
          </cell>
        </row>
        <row r="3677">
          <cell r="B3677">
            <v>40050344</v>
          </cell>
          <cell r="C3677" t="str">
            <v>GK FLASH COMBI M105.00 P60 RNF</v>
          </cell>
          <cell r="D3677">
            <v>0</v>
          </cell>
          <cell r="E3677">
            <v>0</v>
          </cell>
          <cell r="F3677">
            <v>0</v>
          </cell>
        </row>
        <row r="3678">
          <cell r="B3678">
            <v>40060272</v>
          </cell>
          <cell r="C3678" t="str">
            <v>GK FLASH COMBI M105 P60 RNF PCB</v>
          </cell>
          <cell r="D3678">
            <v>0</v>
          </cell>
          <cell r="E3678">
            <v>0</v>
          </cell>
          <cell r="F3678">
            <v>0</v>
          </cell>
        </row>
        <row r="3679">
          <cell r="B3679">
            <v>40060377</v>
          </cell>
          <cell r="C3679" t="str">
            <v>GK FLASH COMBI M105P60 RNF PCR</v>
          </cell>
          <cell r="D3679">
            <v>0</v>
          </cell>
          <cell r="E3679">
            <v>0</v>
          </cell>
          <cell r="F3679">
            <v>0</v>
          </cell>
        </row>
        <row r="3680">
          <cell r="B3680">
            <v>40065331</v>
          </cell>
          <cell r="C3680" t="str">
            <v>GK FLASH COMBI M115 P60 RNF PCB ROI</v>
          </cell>
          <cell r="D3680">
            <v>0</v>
          </cell>
          <cell r="E3680">
            <v>0</v>
          </cell>
          <cell r="F3680">
            <v>0</v>
          </cell>
        </row>
        <row r="3681">
          <cell r="B3681">
            <v>40065424</v>
          </cell>
          <cell r="C3681" t="str">
            <v>GK FLASH COMBI M105.00 P60 RNF LIQ</v>
          </cell>
          <cell r="D3681">
            <v>0</v>
          </cell>
          <cell r="E3681">
            <v>0</v>
          </cell>
          <cell r="F3681">
            <v>0</v>
          </cell>
        </row>
        <row r="3682">
          <cell r="B3682">
            <v>40038743</v>
          </cell>
          <cell r="C3682" t="str">
            <v>GK Mini LMD25ml M50 P48</v>
          </cell>
          <cell r="D3682">
            <v>0</v>
          </cell>
          <cell r="E3682">
            <v>0</v>
          </cell>
          <cell r="F3682">
            <v>0</v>
          </cell>
        </row>
        <row r="3683">
          <cell r="B3683">
            <v>40049719</v>
          </cell>
          <cell r="C3683" t="str">
            <v>GK Mini LMD25ml M50 P48Liq</v>
          </cell>
          <cell r="D3683">
            <v>0</v>
          </cell>
          <cell r="E3683">
            <v>0</v>
          </cell>
          <cell r="F3683">
            <v>0</v>
          </cell>
        </row>
        <row r="3684">
          <cell r="B3684">
            <v>40050888</v>
          </cell>
          <cell r="C3684" t="str">
            <v>GK MINI LMD25ML M50 P48 RNF</v>
          </cell>
          <cell r="D3684">
            <v>0</v>
          </cell>
          <cell r="E3684">
            <v>0</v>
          </cell>
          <cell r="F3684">
            <v>0</v>
          </cell>
        </row>
        <row r="3685">
          <cell r="B3685">
            <v>40041317</v>
          </cell>
          <cell r="C3685" t="str">
            <v>GK Mini LMD 25ml M40 P48 D2D</v>
          </cell>
          <cell r="D3685">
            <v>0</v>
          </cell>
          <cell r="E3685">
            <v>0</v>
          </cell>
          <cell r="F3685">
            <v>0</v>
          </cell>
        </row>
        <row r="3686">
          <cell r="B3686">
            <v>40056536</v>
          </cell>
          <cell r="C3686" t="str">
            <v>GK FLASH COMBI M105 P60 TFT HP</v>
          </cell>
          <cell r="D3686">
            <v>0</v>
          </cell>
          <cell r="E3686">
            <v>0</v>
          </cell>
          <cell r="F3686">
            <v>0</v>
          </cell>
        </row>
        <row r="3687">
          <cell r="B3687">
            <v>40039207</v>
          </cell>
          <cell r="C3687" t="str">
            <v>GK Flash combi D2D M50P6045ml-NL NS</v>
          </cell>
          <cell r="D3687">
            <v>0</v>
          </cell>
          <cell r="E3687">
            <v>0</v>
          </cell>
          <cell r="F3687">
            <v>0</v>
          </cell>
        </row>
        <row r="3688">
          <cell r="B3688">
            <v>40050548</v>
          </cell>
          <cell r="C3688" t="str">
            <v>GK FLASH COMBI D2D M50.00 P60 RNF</v>
          </cell>
          <cell r="D3688">
            <v>0</v>
          </cell>
          <cell r="E3688">
            <v>0</v>
          </cell>
          <cell r="F3688">
            <v>0</v>
          </cell>
        </row>
        <row r="3689">
          <cell r="B3689">
            <v>40058284</v>
          </cell>
          <cell r="C3689" t="str">
            <v>GK FLASH COMBI M70 P60 RNF D2D PUNJAB</v>
          </cell>
          <cell r="D3689">
            <v>0</v>
          </cell>
          <cell r="E3689">
            <v>0</v>
          </cell>
          <cell r="F3689">
            <v>0</v>
          </cell>
        </row>
        <row r="3690">
          <cell r="B3690">
            <v>40058286</v>
          </cell>
          <cell r="C3690" t="str">
            <v>GK FLASH COMBI M70 P60 RNF D2D UP</v>
          </cell>
          <cell r="D3690">
            <v>0</v>
          </cell>
          <cell r="E3690">
            <v>0</v>
          </cell>
          <cell r="F3690">
            <v>0</v>
          </cell>
        </row>
        <row r="3691">
          <cell r="B3691">
            <v>40041298</v>
          </cell>
          <cell r="C3691" t="str">
            <v>GK Flash 3LV+LMD M280 P36 Ecom NS</v>
          </cell>
          <cell r="D3691">
            <v>0</v>
          </cell>
          <cell r="E3691">
            <v>0</v>
          </cell>
          <cell r="F3691">
            <v>0</v>
          </cell>
        </row>
        <row r="3692">
          <cell r="B3692">
            <v>40044102</v>
          </cell>
          <cell r="C3692" t="str">
            <v>GK Flash 3LV+LMD M255 P36 Ecom LC</v>
          </cell>
          <cell r="D3692">
            <v>0</v>
          </cell>
          <cell r="E3692">
            <v>0</v>
          </cell>
          <cell r="F3692">
            <v>0</v>
          </cell>
        </row>
        <row r="3693">
          <cell r="B3693">
            <v>40060077</v>
          </cell>
          <cell r="C3693" t="str">
            <v>GK FLASH 3LV+LMD M275 P36 ECOM RNF PCB</v>
          </cell>
          <cell r="D3693">
            <v>0</v>
          </cell>
          <cell r="E3693">
            <v>0</v>
          </cell>
          <cell r="F3693">
            <v>0</v>
          </cell>
        </row>
        <row r="3694">
          <cell r="B3694">
            <v>40063484</v>
          </cell>
          <cell r="C3694" t="str">
            <v>GK FLASH 3LV+LMD M290 P36 ECOM RNF PCB</v>
          </cell>
          <cell r="D3694">
            <v>0</v>
          </cell>
          <cell r="E3694">
            <v>0</v>
          </cell>
          <cell r="F3694">
            <v>0</v>
          </cell>
        </row>
        <row r="3695">
          <cell r="B3695">
            <v>40065914</v>
          </cell>
          <cell r="C3695" t="str">
            <v>GK FLASH 3LV+LMD M309P36 ECOM RNF PCB</v>
          </cell>
          <cell r="D3695">
            <v>0</v>
          </cell>
          <cell r="E3695">
            <v>0</v>
          </cell>
          <cell r="F3695">
            <v>0</v>
          </cell>
        </row>
        <row r="3696">
          <cell r="B3696">
            <v>40062847</v>
          </cell>
          <cell r="C3696" t="str">
            <v>GK FLASH LAV COMBI M115 P48  CSD</v>
          </cell>
          <cell r="D3696">
            <v>0</v>
          </cell>
          <cell r="E3696">
            <v>0</v>
          </cell>
          <cell r="F3696">
            <v>0</v>
          </cell>
        </row>
        <row r="3697">
          <cell r="B3697">
            <v>40039533</v>
          </cell>
          <cell r="C3697" t="str">
            <v>GK LV naturals combi M110 P60</v>
          </cell>
          <cell r="D3697">
            <v>0</v>
          </cell>
          <cell r="E3697">
            <v>0</v>
          </cell>
          <cell r="F3697">
            <v>0</v>
          </cell>
        </row>
        <row r="3698">
          <cell r="B3698">
            <v>40038038</v>
          </cell>
          <cell r="C3698" t="str">
            <v>GK Naturals 2refill + LMD M200P60</v>
          </cell>
          <cell r="D3698">
            <v>0</v>
          </cell>
          <cell r="E3698">
            <v>0</v>
          </cell>
          <cell r="F3698">
            <v>0</v>
          </cell>
        </row>
        <row r="3699">
          <cell r="B3699">
            <v>40028575</v>
          </cell>
          <cell r="C3699" t="str">
            <v>GK  SHAKTI MAC + 10 MAT MRP 45 PS 72</v>
          </cell>
          <cell r="D3699">
            <v>0</v>
          </cell>
          <cell r="E3699">
            <v>0</v>
          </cell>
          <cell r="F3699">
            <v>0</v>
          </cell>
        </row>
        <row r="3700">
          <cell r="B3700">
            <v>40032869</v>
          </cell>
          <cell r="C3700" t="str">
            <v>GK SHAKTI MAC + 10 MAT MRP 50 PS 72</v>
          </cell>
          <cell r="D3700">
            <v>0</v>
          </cell>
          <cell r="E3700">
            <v>0</v>
          </cell>
          <cell r="F3700">
            <v>0</v>
          </cell>
        </row>
        <row r="3701">
          <cell r="B3701">
            <v>40057192</v>
          </cell>
          <cell r="C3701" t="str">
            <v>GK AGARBATTI M12 P288 BTN</v>
          </cell>
          <cell r="D3701">
            <v>0</v>
          </cell>
          <cell r="E3701">
            <v>0</v>
          </cell>
          <cell r="F3701">
            <v>0</v>
          </cell>
        </row>
        <row r="3702">
          <cell r="B3702">
            <v>40043822</v>
          </cell>
          <cell r="C3702" t="str">
            <v>GK Agarbatti M10(cross 12)P288EXP CC</v>
          </cell>
          <cell r="D3702">
            <v>0</v>
          </cell>
          <cell r="E3702">
            <v>0</v>
          </cell>
          <cell r="F3702">
            <v>0</v>
          </cell>
        </row>
        <row r="3703">
          <cell r="B3703">
            <v>40064082</v>
          </cell>
          <cell r="C3703" t="str">
            <v>GK AGARBATTI M10(CROSS 15)P288  NPL</v>
          </cell>
          <cell r="D3703">
            <v>0</v>
          </cell>
          <cell r="E3703">
            <v>0</v>
          </cell>
          <cell r="F3703">
            <v>0</v>
          </cell>
        </row>
        <row r="3704">
          <cell r="B3704">
            <v>40026308</v>
          </cell>
          <cell r="C3704" t="str">
            <v>GK MAHAJMB COIL PS:60NEW- EXP</v>
          </cell>
          <cell r="D3704">
            <v>0</v>
          </cell>
          <cell r="E3704">
            <v>0</v>
          </cell>
          <cell r="F3704">
            <v>0</v>
          </cell>
        </row>
        <row r="3705">
          <cell r="B3705">
            <v>40064066</v>
          </cell>
          <cell r="C3705" t="str">
            <v>GK COIL MINIJMBOPLAIN M37 P60 RNF HP BTN</v>
          </cell>
          <cell r="D3705">
            <v>0</v>
          </cell>
          <cell r="E3705">
            <v>0</v>
          </cell>
          <cell r="F3705">
            <v>0</v>
          </cell>
        </row>
        <row r="3706">
          <cell r="B3706">
            <v>40064077</v>
          </cell>
          <cell r="C3706" t="str">
            <v>GK COIL MINIJUMBPLIN M37 P60 RNF HP NPL</v>
          </cell>
          <cell r="D3706">
            <v>0</v>
          </cell>
          <cell r="E3706">
            <v>0</v>
          </cell>
          <cell r="F3706">
            <v>0</v>
          </cell>
        </row>
        <row r="3707">
          <cell r="B3707">
            <v>40018766</v>
          </cell>
          <cell r="C3707" t="str">
            <v>GK Fabric Roll On Citrus8ml  P48 - EXP</v>
          </cell>
          <cell r="D3707">
            <v>0</v>
          </cell>
          <cell r="E3707">
            <v>0</v>
          </cell>
          <cell r="F3707">
            <v>0</v>
          </cell>
        </row>
        <row r="3708">
          <cell r="B3708">
            <v>40050136</v>
          </cell>
          <cell r="C3708" t="str">
            <v>GK Fabric RollOn 8ml M85P48 CITRUS NEPAL</v>
          </cell>
          <cell r="D3708">
            <v>0</v>
          </cell>
          <cell r="E3708">
            <v>0</v>
          </cell>
          <cell r="F3708">
            <v>0</v>
          </cell>
        </row>
        <row r="3709">
          <cell r="B3709">
            <v>40050140</v>
          </cell>
          <cell r="C3709" t="str">
            <v>GK Fabric RollOn 8ml M85P48 CITRUS BD</v>
          </cell>
          <cell r="D3709">
            <v>0</v>
          </cell>
          <cell r="E3709">
            <v>0</v>
          </cell>
          <cell r="F3709">
            <v>0</v>
          </cell>
        </row>
        <row r="3710">
          <cell r="B3710">
            <v>40056262</v>
          </cell>
          <cell r="C3710" t="str">
            <v>HIT ANTI ROACH M199.00 P30 BD</v>
          </cell>
          <cell r="D3710">
            <v>0</v>
          </cell>
          <cell r="E3710">
            <v>0</v>
          </cell>
          <cell r="F3710">
            <v>0</v>
          </cell>
        </row>
        <row r="3711">
          <cell r="B3711">
            <v>40056263</v>
          </cell>
          <cell r="C3711" t="str">
            <v>HIT ANTI ROACH M199.00 P30 NEPAL</v>
          </cell>
          <cell r="D3711">
            <v>0</v>
          </cell>
          <cell r="E3711">
            <v>0</v>
          </cell>
          <cell r="F3711">
            <v>0</v>
          </cell>
        </row>
        <row r="3712">
          <cell r="B3712">
            <v>40060442</v>
          </cell>
          <cell r="C3712" t="str">
            <v>HIT RAT KILL M30 P360 BTN</v>
          </cell>
          <cell r="D3712">
            <v>0</v>
          </cell>
          <cell r="E3712">
            <v>0</v>
          </cell>
          <cell r="F3712">
            <v>0</v>
          </cell>
        </row>
        <row r="3713">
          <cell r="B3713">
            <v>40060444</v>
          </cell>
          <cell r="C3713" t="str">
            <v>HIT RAT KILL M30 P360 NEPAL</v>
          </cell>
          <cell r="D3713">
            <v>0</v>
          </cell>
          <cell r="E3713">
            <v>0</v>
          </cell>
          <cell r="F3713">
            <v>0</v>
          </cell>
        </row>
        <row r="3714">
          <cell r="B3714">
            <v>40000555</v>
          </cell>
          <cell r="C3714" t="str">
            <v>DELTAMETHRIN 0.5per  W  W CHALKS</v>
          </cell>
          <cell r="D3714">
            <v>0</v>
          </cell>
          <cell r="E3714">
            <v>0</v>
          </cell>
          <cell r="F3714">
            <v>0</v>
          </cell>
        </row>
        <row r="3715">
          <cell r="B3715">
            <v>40057100</v>
          </cell>
          <cell r="C3715" t="str">
            <v>HIT CHALK M20 P360 BTN</v>
          </cell>
          <cell r="D3715">
            <v>0</v>
          </cell>
          <cell r="E3715">
            <v>0</v>
          </cell>
          <cell r="F3715">
            <v>0</v>
          </cell>
        </row>
        <row r="3716">
          <cell r="B3716">
            <v>40057102</v>
          </cell>
          <cell r="C3716" t="str">
            <v>HIT CHALK M20 P360 NEPAL</v>
          </cell>
          <cell r="D3716">
            <v>0</v>
          </cell>
          <cell r="E3716">
            <v>0</v>
          </cell>
          <cell r="F3716">
            <v>0</v>
          </cell>
        </row>
        <row r="3717">
          <cell r="B3717">
            <v>40057409</v>
          </cell>
          <cell r="C3717" t="str">
            <v>HIT RAT GLUE 25G MRP60 P100 NEPAL</v>
          </cell>
          <cell r="D3717">
            <v>0</v>
          </cell>
          <cell r="E3717">
            <v>0</v>
          </cell>
          <cell r="F3717">
            <v>0</v>
          </cell>
        </row>
        <row r="3718">
          <cell r="B3718">
            <v>40031698</v>
          </cell>
          <cell r="C3718" t="str">
            <v>HIT Rat Glue Pad 50g P50 - EXPORT</v>
          </cell>
          <cell r="D3718">
            <v>0</v>
          </cell>
          <cell r="E3718">
            <v>0</v>
          </cell>
          <cell r="F3718">
            <v>0</v>
          </cell>
        </row>
        <row r="3719">
          <cell r="B3719">
            <v>40057408</v>
          </cell>
          <cell r="C3719" t="str">
            <v>HIT RAT GLUE PAD 50G MRP120 P50 NEPAL</v>
          </cell>
          <cell r="D3719">
            <v>0</v>
          </cell>
          <cell r="E3719">
            <v>0</v>
          </cell>
          <cell r="F3719">
            <v>0</v>
          </cell>
        </row>
        <row r="3720">
          <cell r="B3720">
            <v>40063696</v>
          </cell>
          <cell r="C3720" t="str">
            <v>GK FLSH REF45ML M90 P240 RNF 50% PCR NPL</v>
          </cell>
          <cell r="D3720">
            <v>0</v>
          </cell>
          <cell r="E3720">
            <v>0</v>
          </cell>
          <cell r="F3720">
            <v>0</v>
          </cell>
        </row>
        <row r="3721">
          <cell r="B3721">
            <v>40065125</v>
          </cell>
          <cell r="C3721" t="str">
            <v>GK FLSH REF45ML M90 P240 RNF NPL-EXP</v>
          </cell>
          <cell r="D3721">
            <v>0</v>
          </cell>
          <cell r="E3721">
            <v>0</v>
          </cell>
          <cell r="F3721">
            <v>0</v>
          </cell>
        </row>
        <row r="3722">
          <cell r="B3722">
            <v>40036372</v>
          </cell>
          <cell r="C3722" t="str">
            <v>GK 30 N Refill P120 N A/W LKR 360 -SL</v>
          </cell>
          <cell r="D3722">
            <v>0</v>
          </cell>
          <cell r="E3722">
            <v>0</v>
          </cell>
          <cell r="F3722">
            <v>0</v>
          </cell>
        </row>
        <row r="3723">
          <cell r="B3723">
            <v>40032966</v>
          </cell>
          <cell r="C3723" t="str">
            <v>GK MIS 100ml+25% Extra Pk12-Exp (Kenya)</v>
          </cell>
          <cell r="D3723">
            <v>0</v>
          </cell>
          <cell r="E3723">
            <v>0</v>
          </cell>
          <cell r="F3723">
            <v>0</v>
          </cell>
        </row>
        <row r="3724">
          <cell r="B3724">
            <v>40032967</v>
          </cell>
          <cell r="C3724" t="str">
            <v>GK MIS 180ml+25% Extra Pk12-Exp (Kenya)</v>
          </cell>
          <cell r="D3724">
            <v>0</v>
          </cell>
          <cell r="E3724">
            <v>0</v>
          </cell>
          <cell r="F3724">
            <v>0</v>
          </cell>
        </row>
        <row r="3725">
          <cell r="B3725">
            <v>40032919</v>
          </cell>
          <cell r="C3725" t="str">
            <v>GK MIS 600ml Pk 12 – Exp (Kenya)</v>
          </cell>
          <cell r="D3725">
            <v>0</v>
          </cell>
          <cell r="E3725">
            <v>0</v>
          </cell>
          <cell r="F3725">
            <v>0</v>
          </cell>
        </row>
        <row r="3726">
          <cell r="B3726">
            <v>40039360</v>
          </cell>
          <cell r="C3726" t="str">
            <v>HIT CIK 200ML M99 P60 L - NEPAL</v>
          </cell>
          <cell r="D3726">
            <v>0</v>
          </cell>
          <cell r="E3726">
            <v>0</v>
          </cell>
          <cell r="F3726">
            <v>0</v>
          </cell>
        </row>
        <row r="3727">
          <cell r="B3727">
            <v>40039427</v>
          </cell>
          <cell r="C3727" t="str">
            <v>HIT CIK 200ML M99 P60 L - BD</v>
          </cell>
          <cell r="D3727">
            <v>0</v>
          </cell>
          <cell r="E3727">
            <v>0</v>
          </cell>
          <cell r="F3727">
            <v>0</v>
          </cell>
        </row>
        <row r="3728">
          <cell r="B3728">
            <v>40058859</v>
          </cell>
          <cell r="C3728" t="str">
            <v>HIT CIK 200ML M99 P60 L BTN</v>
          </cell>
          <cell r="D3728">
            <v>0</v>
          </cell>
          <cell r="E3728">
            <v>0</v>
          </cell>
          <cell r="F3728">
            <v>0</v>
          </cell>
        </row>
        <row r="3729">
          <cell r="B3729">
            <v>40063890</v>
          </cell>
          <cell r="C3729" t="str">
            <v>HIT CIK200ML M110 P60 0.18MM N L 33% BD</v>
          </cell>
          <cell r="D3729">
            <v>0</v>
          </cell>
          <cell r="E3729">
            <v>0</v>
          </cell>
          <cell r="F3729">
            <v>0</v>
          </cell>
        </row>
        <row r="3730">
          <cell r="B3730">
            <v>40063893</v>
          </cell>
          <cell r="C3730" t="str">
            <v>HITCIK200ML M110 P60 0.18MM NEW L33% NPL</v>
          </cell>
          <cell r="D3730">
            <v>0</v>
          </cell>
          <cell r="E3730">
            <v>0</v>
          </cell>
          <cell r="F3730">
            <v>0</v>
          </cell>
        </row>
        <row r="3731">
          <cell r="B3731">
            <v>40063896</v>
          </cell>
          <cell r="C3731" t="str">
            <v>HIT CIK200ML M110 P60 0.18MM N L 33% BTN</v>
          </cell>
          <cell r="D3731">
            <v>0</v>
          </cell>
          <cell r="E3731">
            <v>0</v>
          </cell>
          <cell r="F3731">
            <v>0</v>
          </cell>
        </row>
        <row r="3732">
          <cell r="B3732">
            <v>40065881</v>
          </cell>
          <cell r="C3732" t="str">
            <v>HIT CIK200ML P60 0.18MM N L 33% BD</v>
          </cell>
          <cell r="D3732">
            <v>0</v>
          </cell>
          <cell r="E3732">
            <v>0</v>
          </cell>
          <cell r="F3732">
            <v>0</v>
          </cell>
        </row>
        <row r="3733">
          <cell r="B3733">
            <v>40035903</v>
          </cell>
          <cell r="C3733" t="str">
            <v>HIT CIK 400ML P36 W/O MRP (3YR) - EXP</v>
          </cell>
          <cell r="D3733">
            <v>0</v>
          </cell>
          <cell r="E3733">
            <v>0</v>
          </cell>
          <cell r="F3733">
            <v>0</v>
          </cell>
        </row>
        <row r="3734">
          <cell r="B3734">
            <v>40063877</v>
          </cell>
          <cell r="C3734" t="str">
            <v>HIT CIK 400ML M195 P36 0.18 BD</v>
          </cell>
          <cell r="D3734">
            <v>0</v>
          </cell>
          <cell r="E3734">
            <v>0</v>
          </cell>
          <cell r="F3734">
            <v>0</v>
          </cell>
        </row>
        <row r="3735">
          <cell r="B3735">
            <v>40065247</v>
          </cell>
          <cell r="C3735" t="str">
            <v>HIT CIK 400ML M205 P36 BTN</v>
          </cell>
          <cell r="D3735">
            <v>0</v>
          </cell>
          <cell r="E3735">
            <v>0</v>
          </cell>
          <cell r="F3735">
            <v>0</v>
          </cell>
        </row>
        <row r="3736">
          <cell r="B3736">
            <v>40065884</v>
          </cell>
          <cell r="C3736" t="str">
            <v>HIT CIK 400ML P36 0.18 BD</v>
          </cell>
          <cell r="D3736">
            <v>0</v>
          </cell>
          <cell r="E3736">
            <v>0</v>
          </cell>
          <cell r="F3736">
            <v>0</v>
          </cell>
        </row>
        <row r="3737">
          <cell r="B3737">
            <v>40033895</v>
          </cell>
          <cell r="C3737" t="str">
            <v>HIT CIK 625ML PK25 - EXP CC</v>
          </cell>
          <cell r="D3737">
            <v>0</v>
          </cell>
          <cell r="E3737">
            <v>0</v>
          </cell>
          <cell r="F3737">
            <v>0</v>
          </cell>
        </row>
        <row r="3738">
          <cell r="B3738">
            <v>40041604</v>
          </cell>
          <cell r="C3738" t="str">
            <v>HIT CIK 625ML PK25 W/O MRP</v>
          </cell>
          <cell r="D3738">
            <v>0</v>
          </cell>
          <cell r="E3738">
            <v>0</v>
          </cell>
          <cell r="F3738">
            <v>0</v>
          </cell>
        </row>
        <row r="3739">
          <cell r="B3739">
            <v>40063664</v>
          </cell>
          <cell r="C3739" t="str">
            <v>HIT CIK 625ML MRP280 P25 -BD</v>
          </cell>
          <cell r="D3739">
            <v>0</v>
          </cell>
          <cell r="E3739">
            <v>0</v>
          </cell>
          <cell r="F3739">
            <v>0</v>
          </cell>
        </row>
        <row r="3740">
          <cell r="B3740">
            <v>40065883</v>
          </cell>
          <cell r="C3740" t="str">
            <v>HIT CIK 625ML P25 0.18 RH 25% BD</v>
          </cell>
          <cell r="D3740">
            <v>0</v>
          </cell>
          <cell r="E3740">
            <v>0</v>
          </cell>
          <cell r="F3740">
            <v>0</v>
          </cell>
        </row>
        <row r="3741">
          <cell r="B3741">
            <v>40065968</v>
          </cell>
          <cell r="C3741" t="str">
            <v>HIT CIK 625ML M310 P25 0.18 RH 25% BTN</v>
          </cell>
          <cell r="D3741">
            <v>0</v>
          </cell>
          <cell r="E3741">
            <v>0</v>
          </cell>
          <cell r="F3741">
            <v>0</v>
          </cell>
        </row>
        <row r="3742">
          <cell r="B3742">
            <v>40035206</v>
          </cell>
          <cell r="C3742" t="str">
            <v>HIT FIK 200ml M115 P60 - Nepal</v>
          </cell>
          <cell r="D3742">
            <v>0</v>
          </cell>
          <cell r="E3742">
            <v>0</v>
          </cell>
          <cell r="F3742">
            <v>0</v>
          </cell>
        </row>
        <row r="3743">
          <cell r="B3743">
            <v>40063887</v>
          </cell>
          <cell r="C3743" t="str">
            <v>HIT FIK200ML M125P60 CAN .18MM MFT N BTN</v>
          </cell>
          <cell r="D3743">
            <v>0</v>
          </cell>
          <cell r="E3743">
            <v>0</v>
          </cell>
          <cell r="F3743">
            <v>0</v>
          </cell>
        </row>
        <row r="3744">
          <cell r="B3744">
            <v>40063892</v>
          </cell>
          <cell r="C3744" t="str">
            <v>HITFIK200ML M125P60CAN .18MM MFT NEW NPL</v>
          </cell>
          <cell r="D3744">
            <v>0</v>
          </cell>
          <cell r="E3744">
            <v>0</v>
          </cell>
          <cell r="F3744">
            <v>0</v>
          </cell>
        </row>
        <row r="3745">
          <cell r="B3745">
            <v>40057418</v>
          </cell>
          <cell r="C3745" t="str">
            <v>HIT FIK MFT JASMINE 475ML P16 -BD</v>
          </cell>
          <cell r="D3745">
            <v>0</v>
          </cell>
          <cell r="E3745">
            <v>0</v>
          </cell>
          <cell r="F3745">
            <v>0</v>
          </cell>
        </row>
        <row r="3746">
          <cell r="B3746">
            <v>40063891</v>
          </cell>
          <cell r="C3746" t="str">
            <v>HIT FIK 400ML M240 P36 0.18 20%MFT NPL</v>
          </cell>
          <cell r="D3746">
            <v>0</v>
          </cell>
          <cell r="E3746">
            <v>0</v>
          </cell>
          <cell r="F3746">
            <v>0</v>
          </cell>
        </row>
        <row r="3747">
          <cell r="B3747">
            <v>40063898</v>
          </cell>
          <cell r="C3747" t="str">
            <v>HIT FIK 400ML M240 P36 0.18 20%MFT NBTN</v>
          </cell>
          <cell r="D3747">
            <v>0</v>
          </cell>
          <cell r="E3747">
            <v>0</v>
          </cell>
          <cell r="F3747">
            <v>0</v>
          </cell>
        </row>
        <row r="3748">
          <cell r="B3748">
            <v>40041625</v>
          </cell>
          <cell r="C3748" t="str">
            <v>HIT FIK 625ML PK25 W/O MRP</v>
          </cell>
          <cell r="D3748">
            <v>0</v>
          </cell>
          <cell r="E3748">
            <v>0</v>
          </cell>
          <cell r="F3748">
            <v>0</v>
          </cell>
        </row>
        <row r="3749">
          <cell r="B3749">
            <v>40063820</v>
          </cell>
          <cell r="C3749" t="str">
            <v>HIT FIK 625ML M350P25-18MM 28% MFT N NPL</v>
          </cell>
          <cell r="D3749">
            <v>0</v>
          </cell>
          <cell r="E3749">
            <v>0</v>
          </cell>
          <cell r="F3749">
            <v>0</v>
          </cell>
        </row>
        <row r="3750">
          <cell r="B3750">
            <v>40063852</v>
          </cell>
          <cell r="C3750" t="str">
            <v>HIT FIK 625ML M350P25-18MM 28% MFT N BTN</v>
          </cell>
          <cell r="D3750">
            <v>0</v>
          </cell>
          <cell r="E3750">
            <v>0</v>
          </cell>
          <cell r="F3750">
            <v>0</v>
          </cell>
        </row>
        <row r="3751">
          <cell r="B3751">
            <v>40057413</v>
          </cell>
          <cell r="C3751" t="str">
            <v>HIT FIK LIME MFT 200ML P60- BD</v>
          </cell>
          <cell r="D3751">
            <v>0</v>
          </cell>
          <cell r="E3751">
            <v>0</v>
          </cell>
          <cell r="F3751">
            <v>0</v>
          </cell>
        </row>
        <row r="3752">
          <cell r="B3752">
            <v>40057416</v>
          </cell>
          <cell r="C3752" t="str">
            <v>HIT FIK MFT  LIME 475ML P16 -BD</v>
          </cell>
          <cell r="D3752">
            <v>0</v>
          </cell>
          <cell r="E3752">
            <v>0</v>
          </cell>
          <cell r="F3752">
            <v>0</v>
          </cell>
        </row>
        <row r="3753">
          <cell r="B3753">
            <v>40017013</v>
          </cell>
          <cell r="C3753" t="str">
            <v>HIT FIK LIME Flr  625ml P25-EXP</v>
          </cell>
          <cell r="D3753">
            <v>0</v>
          </cell>
          <cell r="E3753">
            <v>0</v>
          </cell>
          <cell r="F3753">
            <v>0</v>
          </cell>
        </row>
        <row r="3754">
          <cell r="B3754">
            <v>40057628</v>
          </cell>
          <cell r="C3754" t="str">
            <v>GK FLASH COMBI P60 RNF-W/O MRP-EXP </v>
          </cell>
          <cell r="D3754">
            <v>0</v>
          </cell>
          <cell r="E3754">
            <v>0</v>
          </cell>
          <cell r="F3754">
            <v>0</v>
          </cell>
        </row>
        <row r="3755">
          <cell r="B3755">
            <v>40063668</v>
          </cell>
          <cell r="C3755" t="str">
            <v>GK FLASH COMBI M110 P60 RNF PCB BTN</v>
          </cell>
          <cell r="D3755">
            <v>0</v>
          </cell>
          <cell r="E3755">
            <v>0</v>
          </cell>
          <cell r="F3755">
            <v>0</v>
          </cell>
        </row>
        <row r="3756">
          <cell r="B3756">
            <v>40064992</v>
          </cell>
          <cell r="C3756" t="str">
            <v>ACTIVEMACHINE WITH ROTATABLE PLUG BD P72</v>
          </cell>
          <cell r="D3756">
            <v>0</v>
          </cell>
          <cell r="E3756">
            <v>0</v>
          </cell>
          <cell r="F3756">
            <v>0</v>
          </cell>
        </row>
        <row r="3757">
          <cell r="B3757">
            <v>40065837</v>
          </cell>
          <cell r="C3757" t="str">
            <v>GK FLASH COMBI M115 P60 RNF PCB NPL</v>
          </cell>
          <cell r="D3757">
            <v>0</v>
          </cell>
          <cell r="E3757">
            <v>0</v>
          </cell>
          <cell r="F3757">
            <v>0</v>
          </cell>
        </row>
        <row r="3758">
          <cell r="B3758">
            <v>40065839</v>
          </cell>
          <cell r="C3758" t="str">
            <v>GK FLASH COMBI M115 P60 RNF PCB BTN</v>
          </cell>
          <cell r="D3758">
            <v>0</v>
          </cell>
          <cell r="E3758">
            <v>0</v>
          </cell>
          <cell r="F3758">
            <v>0</v>
          </cell>
        </row>
        <row r="3759">
          <cell r="B3759">
            <v>40036231</v>
          </cell>
          <cell r="C3759" t="str">
            <v>GOOD KNIGHT ACTIV DEVICE ONLY P96 NIG</v>
          </cell>
          <cell r="D3759">
            <v>0</v>
          </cell>
          <cell r="E3759">
            <v>0</v>
          </cell>
          <cell r="F3759">
            <v>0</v>
          </cell>
        </row>
        <row r="3760">
          <cell r="B3760">
            <v>40039220</v>
          </cell>
          <cell r="C3760" t="str">
            <v>GOOD KNIGHT ACTIV DEVICE ONLY P96 - BD</v>
          </cell>
          <cell r="D3760">
            <v>0</v>
          </cell>
          <cell r="E3760">
            <v>0</v>
          </cell>
          <cell r="F3760">
            <v>0</v>
          </cell>
        </row>
        <row r="3761">
          <cell r="B3761">
            <v>40058846</v>
          </cell>
          <cell r="C3761" t="str">
            <v>ACTIVEMACHINE P96WITH ROTATABLE PLUG BD</v>
          </cell>
          <cell r="D3761">
            <v>0</v>
          </cell>
          <cell r="E3761">
            <v>0</v>
          </cell>
          <cell r="F3761">
            <v>0</v>
          </cell>
        </row>
        <row r="3762">
          <cell r="B3762">
            <v>40043065</v>
          </cell>
          <cell r="C3762" t="str">
            <v>GK Flash PreassemblyDevice MMN NS P96-BD</v>
          </cell>
          <cell r="D3762">
            <v>0</v>
          </cell>
          <cell r="E3762">
            <v>0</v>
          </cell>
          <cell r="F3762">
            <v>0</v>
          </cell>
        </row>
        <row r="3763">
          <cell r="B3763">
            <v>40058853</v>
          </cell>
          <cell r="C3763" t="str">
            <v>GK FLASH 2.0 DEVICE ASSEMBLY P96-BD</v>
          </cell>
          <cell r="D3763">
            <v>0</v>
          </cell>
          <cell r="E3763">
            <v>0</v>
          </cell>
          <cell r="F3763">
            <v>0</v>
          </cell>
        </row>
        <row r="3764">
          <cell r="B3764">
            <v>40057705</v>
          </cell>
          <cell r="C3764" t="str">
            <v>GK FLASH MINI DEVICE P96-BD</v>
          </cell>
          <cell r="D3764">
            <v>0</v>
          </cell>
          <cell r="E3764">
            <v>0</v>
          </cell>
          <cell r="F3764">
            <v>0</v>
          </cell>
        </row>
        <row r="3765">
          <cell r="B3765">
            <v>40004471</v>
          </cell>
          <cell r="C3765" t="str">
            <v>AER CLICK COOL SURF-BLUE M225CrsRs215P12</v>
          </cell>
          <cell r="D3765">
            <v>0</v>
          </cell>
          <cell r="E3765">
            <v>0</v>
          </cell>
          <cell r="F3765">
            <v>0</v>
          </cell>
        </row>
        <row r="3766">
          <cell r="B3766">
            <v>40027978</v>
          </cell>
          <cell r="C3766" t="str">
            <v>Aer clickgel CoolBlueBlister 10g M299P18</v>
          </cell>
          <cell r="D3766">
            <v>0</v>
          </cell>
          <cell r="E3766">
            <v>0</v>
          </cell>
          <cell r="F3766">
            <v>0</v>
          </cell>
        </row>
        <row r="3767">
          <cell r="B3767">
            <v>40041180</v>
          </cell>
          <cell r="C3767" t="str">
            <v>Aer clickgel CoolBlueBlister 10g M320P18</v>
          </cell>
          <cell r="D3767">
            <v>0</v>
          </cell>
          <cell r="E3767">
            <v>0</v>
          </cell>
          <cell r="F3767">
            <v>0</v>
          </cell>
        </row>
        <row r="3768">
          <cell r="B3768">
            <v>40042194</v>
          </cell>
          <cell r="C3768" t="str">
            <v>Aer clickgel CoolBlueBlister M320P18 CSD</v>
          </cell>
          <cell r="D3768">
            <v>0</v>
          </cell>
          <cell r="E3768">
            <v>0</v>
          </cell>
          <cell r="F3768">
            <v>0</v>
          </cell>
        </row>
        <row r="3769">
          <cell r="B3769">
            <v>40042587</v>
          </cell>
          <cell r="C3769" t="str">
            <v>Aer click CoolBlueBlister M320P12MRT(RA)</v>
          </cell>
          <cell r="D3769">
            <v>0</v>
          </cell>
          <cell r="E3769">
            <v>0</v>
          </cell>
          <cell r="F3769">
            <v>0</v>
          </cell>
        </row>
        <row r="3770">
          <cell r="B3770">
            <v>40027981</v>
          </cell>
          <cell r="C3770" t="str">
            <v>Aer clickgel BrightTangyBlister M299P18</v>
          </cell>
          <cell r="D3770">
            <v>0</v>
          </cell>
          <cell r="E3770">
            <v>0</v>
          </cell>
          <cell r="F3770">
            <v>0</v>
          </cell>
        </row>
        <row r="3771">
          <cell r="B3771">
            <v>40027996</v>
          </cell>
          <cell r="C3771" t="str">
            <v>Aer clickgel FrshLushGrnBlistr10gM299P18</v>
          </cell>
          <cell r="D3771">
            <v>0</v>
          </cell>
          <cell r="E3771">
            <v>0</v>
          </cell>
          <cell r="F3771">
            <v>0</v>
          </cell>
        </row>
        <row r="3772">
          <cell r="B3772">
            <v>40032356</v>
          </cell>
          <cell r="C3772" t="str">
            <v>Aer clikgel FrshLushGrn10g M299 P18 CSD</v>
          </cell>
          <cell r="D3772">
            <v>0</v>
          </cell>
          <cell r="E3772">
            <v>0</v>
          </cell>
          <cell r="F3772">
            <v>0</v>
          </cell>
        </row>
        <row r="3773">
          <cell r="B3773">
            <v>40039493</v>
          </cell>
          <cell r="C3773" t="str">
            <v>Aer clickgel FrshLushGrnBlistr10gM320P18</v>
          </cell>
          <cell r="D3773">
            <v>0</v>
          </cell>
          <cell r="E3773">
            <v>0</v>
          </cell>
          <cell r="F3773">
            <v>0</v>
          </cell>
        </row>
        <row r="3774">
          <cell r="B3774">
            <v>40042101</v>
          </cell>
          <cell r="C3774" t="str">
            <v>Aer clickgel FrshLushGrnBlistrM320P18CSD</v>
          </cell>
          <cell r="D3774">
            <v>0</v>
          </cell>
          <cell r="E3774">
            <v>0</v>
          </cell>
          <cell r="F3774">
            <v>0</v>
          </cell>
        </row>
        <row r="3775">
          <cell r="B3775">
            <v>40050783</v>
          </cell>
          <cell r="C3775" t="str">
            <v>AERCLICKGEL FRSHLUSHGRN 10GM M280P18 RWA</v>
          </cell>
          <cell r="D3775">
            <v>0</v>
          </cell>
          <cell r="E3775">
            <v>0</v>
          </cell>
          <cell r="F3775">
            <v>0</v>
          </cell>
        </row>
        <row r="3776">
          <cell r="B3776">
            <v>40042581</v>
          </cell>
          <cell r="C3776" t="str">
            <v>Aer click FrshLusGrnBlistrM320P12MRT(RA)</v>
          </cell>
          <cell r="D3776">
            <v>0</v>
          </cell>
          <cell r="E3776">
            <v>0</v>
          </cell>
          <cell r="F3776">
            <v>0</v>
          </cell>
        </row>
        <row r="3777">
          <cell r="B3777">
            <v>40027979</v>
          </cell>
          <cell r="C3777" t="str">
            <v>Aer clickgel PetCrshPinkBlistr10gM299P18</v>
          </cell>
          <cell r="D3777">
            <v>0</v>
          </cell>
          <cell r="E3777">
            <v>0</v>
          </cell>
          <cell r="F3777">
            <v>0</v>
          </cell>
        </row>
        <row r="3778">
          <cell r="B3778">
            <v>40039464</v>
          </cell>
          <cell r="C3778" t="str">
            <v>Aer clickgel PetCrshPinkBlistr10gM320P18</v>
          </cell>
          <cell r="D3778">
            <v>0</v>
          </cell>
          <cell r="E3778">
            <v>0</v>
          </cell>
          <cell r="F3778">
            <v>0</v>
          </cell>
        </row>
        <row r="3779">
          <cell r="B3779">
            <v>40042215</v>
          </cell>
          <cell r="C3779" t="str">
            <v>Aer clickgel PetCrshPinkBlistrM320P18CSD</v>
          </cell>
          <cell r="D3779">
            <v>0</v>
          </cell>
          <cell r="E3779">
            <v>0</v>
          </cell>
          <cell r="F3779">
            <v>0</v>
          </cell>
        </row>
        <row r="3780">
          <cell r="B3780">
            <v>40042582</v>
          </cell>
          <cell r="C3780" t="str">
            <v>Aer click PetCrsPinkBlistrM320P12MRT(RA)</v>
          </cell>
          <cell r="D3780">
            <v>0</v>
          </cell>
          <cell r="E3780">
            <v>0</v>
          </cell>
          <cell r="F3780">
            <v>0</v>
          </cell>
        </row>
        <row r="3781">
          <cell r="B3781">
            <v>40039542</v>
          </cell>
          <cell r="C3781" t="str">
            <v>Aer clickgel IrishCocktlBlistr10gM320P18</v>
          </cell>
          <cell r="D3781">
            <v>0</v>
          </cell>
          <cell r="E3781">
            <v>0</v>
          </cell>
          <cell r="F3781">
            <v>0</v>
          </cell>
        </row>
        <row r="3782">
          <cell r="B3782">
            <v>40027997</v>
          </cell>
          <cell r="C3782" t="str">
            <v>Aer clickgel MskAftSmkBlistr 10g M299P18</v>
          </cell>
          <cell r="D3782">
            <v>0</v>
          </cell>
          <cell r="E3782">
            <v>0</v>
          </cell>
          <cell r="F3782">
            <v>0</v>
          </cell>
        </row>
        <row r="3783">
          <cell r="B3783">
            <v>40041185</v>
          </cell>
          <cell r="C3783" t="str">
            <v>Aer clickgel MskAftSmkBlistr 10g M320P18</v>
          </cell>
          <cell r="D3783">
            <v>0</v>
          </cell>
          <cell r="E3783">
            <v>0</v>
          </cell>
          <cell r="F3783">
            <v>0</v>
          </cell>
        </row>
        <row r="3784">
          <cell r="B3784">
            <v>40042594</v>
          </cell>
          <cell r="C3784" t="str">
            <v>Aer clickMuskAfSmokBlistrM320P12MRT(RA)</v>
          </cell>
          <cell r="D3784">
            <v>0</v>
          </cell>
          <cell r="E3784">
            <v>0</v>
          </cell>
          <cell r="F3784">
            <v>0</v>
          </cell>
        </row>
        <row r="3785">
          <cell r="B3785">
            <v>40032947</v>
          </cell>
          <cell r="C3785" t="str">
            <v>AerAir&amp;SurfcDisinftSpryBlue240mlM179P24</v>
          </cell>
          <cell r="D3785">
            <v>0</v>
          </cell>
          <cell r="E3785">
            <v>0</v>
          </cell>
          <cell r="F3785">
            <v>0</v>
          </cell>
        </row>
        <row r="3786">
          <cell r="B3786">
            <v>40058340</v>
          </cell>
          <cell r="C3786" t="str">
            <v>AER PLUG VIOLET BLOOM COMBI1M+1R M149P24</v>
          </cell>
          <cell r="D3786">
            <v>0</v>
          </cell>
          <cell r="E3786">
            <v>0</v>
          </cell>
          <cell r="F3786">
            <v>0</v>
          </cell>
        </row>
        <row r="3787">
          <cell r="B3787">
            <v>40058341</v>
          </cell>
          <cell r="C3787" t="str">
            <v>AER PLUG ROSE BLOSSOM COMBI1M+1R M149P24</v>
          </cell>
          <cell r="D3787">
            <v>0</v>
          </cell>
          <cell r="E3787">
            <v>0</v>
          </cell>
          <cell r="F3787">
            <v>0</v>
          </cell>
        </row>
        <row r="3788">
          <cell r="B3788">
            <v>40063903</v>
          </cell>
          <cell r="C3788" t="str">
            <v>AER PLUG FRESH WIND COMBI1M+2R M275P24NP</v>
          </cell>
          <cell r="D3788">
            <v>0</v>
          </cell>
          <cell r="E3788">
            <v>0</v>
          </cell>
          <cell r="F3788">
            <v>0</v>
          </cell>
        </row>
        <row r="3789">
          <cell r="B3789">
            <v>40063905</v>
          </cell>
          <cell r="C3789" t="str">
            <v>AER PLUG V GWOODS25ML COMBI1M+2R M275P24</v>
          </cell>
          <cell r="D3789">
            <v>0</v>
          </cell>
          <cell r="E3789">
            <v>0</v>
          </cell>
          <cell r="F3789">
            <v>0</v>
          </cell>
        </row>
        <row r="3790">
          <cell r="B3790">
            <v>40058398</v>
          </cell>
          <cell r="C3790" t="str">
            <v>AER PLUG VIOLET BLOOM COMBI1M+2R M249P24</v>
          </cell>
          <cell r="D3790">
            <v>0</v>
          </cell>
          <cell r="E3790">
            <v>0</v>
          </cell>
          <cell r="F3790">
            <v>0</v>
          </cell>
        </row>
        <row r="3791">
          <cell r="B3791">
            <v>40062012</v>
          </cell>
          <cell r="C3791" t="str">
            <v>AER PLUG V BLOOM 25ML COMBI1M+2R M249P24</v>
          </cell>
          <cell r="D3791">
            <v>0</v>
          </cell>
          <cell r="E3791">
            <v>0</v>
          </cell>
          <cell r="F3791">
            <v>0</v>
          </cell>
        </row>
        <row r="3792">
          <cell r="B3792">
            <v>40064163</v>
          </cell>
          <cell r="C3792" t="str">
            <v>AER PLUG VIOLET BLOOM COMBI1M+2R M275P24</v>
          </cell>
          <cell r="D3792">
            <v>0</v>
          </cell>
          <cell r="E3792">
            <v>0</v>
          </cell>
          <cell r="F3792">
            <v>0</v>
          </cell>
        </row>
        <row r="3793">
          <cell r="B3793">
            <v>40058388</v>
          </cell>
          <cell r="C3793" t="str">
            <v>AER PLUG ROSE BLOSSOM COMBI1M+2R M249P24</v>
          </cell>
          <cell r="D3793">
            <v>0</v>
          </cell>
          <cell r="E3793">
            <v>0</v>
          </cell>
          <cell r="F3793">
            <v>0</v>
          </cell>
        </row>
        <row r="3794">
          <cell r="B3794">
            <v>40059394</v>
          </cell>
          <cell r="C3794" t="str">
            <v>AERPLUG ROSE BLOSSOM COM1M+2R M249P24 MT</v>
          </cell>
          <cell r="D3794">
            <v>0</v>
          </cell>
          <cell r="E3794">
            <v>0</v>
          </cell>
          <cell r="F3794">
            <v>0</v>
          </cell>
        </row>
        <row r="3795">
          <cell r="B3795">
            <v>40062009</v>
          </cell>
          <cell r="C3795" t="str">
            <v>AER PLUG R BLSM 25ML COMBI1M+2R M249P24</v>
          </cell>
          <cell r="D3795">
            <v>0</v>
          </cell>
          <cell r="E3795">
            <v>0</v>
          </cell>
          <cell r="F3795">
            <v>0</v>
          </cell>
        </row>
        <row r="3796">
          <cell r="B3796">
            <v>40065948</v>
          </cell>
          <cell r="C3796" t="str">
            <v>AER PLUG ROSE BLOSSOM COMBI1M+2R M299P24</v>
          </cell>
          <cell r="D3796">
            <v>0</v>
          </cell>
          <cell r="E3796">
            <v>0</v>
          </cell>
          <cell r="F3796">
            <v>0</v>
          </cell>
        </row>
        <row r="3797">
          <cell r="B3797">
            <v>40063900</v>
          </cell>
          <cell r="C3797" t="str">
            <v>AER PLUG FRESH WIND BLM 2R M199P36 NP</v>
          </cell>
          <cell r="D3797">
            <v>0</v>
          </cell>
          <cell r="E3797">
            <v>0</v>
          </cell>
          <cell r="F3797">
            <v>0</v>
          </cell>
        </row>
        <row r="3798">
          <cell r="B3798">
            <v>40063901</v>
          </cell>
          <cell r="C3798" t="str">
            <v>AER PLUG GREENWOODS BLM 2R M199P36 NP</v>
          </cell>
          <cell r="D3798">
            <v>0</v>
          </cell>
          <cell r="E3798">
            <v>0</v>
          </cell>
          <cell r="F3798">
            <v>0</v>
          </cell>
        </row>
        <row r="3799">
          <cell r="B3799">
            <v>40059718</v>
          </cell>
          <cell r="C3799" t="str">
            <v>AER PLUG REFILL VIOLET BLOOM 2R M199P36</v>
          </cell>
          <cell r="D3799">
            <v>0</v>
          </cell>
          <cell r="E3799">
            <v>0</v>
          </cell>
          <cell r="F3799">
            <v>0</v>
          </cell>
        </row>
        <row r="3800">
          <cell r="B3800">
            <v>40059719</v>
          </cell>
          <cell r="C3800" t="str">
            <v>AER PLUG REFILL ROSE BLOSSOM 2R M199P36</v>
          </cell>
          <cell r="D3800">
            <v>0</v>
          </cell>
          <cell r="E3800">
            <v>0</v>
          </cell>
          <cell r="F3800">
            <v>0</v>
          </cell>
        </row>
        <row r="3801">
          <cell r="B3801">
            <v>40062010</v>
          </cell>
          <cell r="C3801" t="str">
            <v>AER PLUG REFILL R BLSM 25ML 2R M199P36</v>
          </cell>
          <cell r="D3801">
            <v>0</v>
          </cell>
          <cell r="E3801">
            <v>0</v>
          </cell>
          <cell r="F3801">
            <v>0</v>
          </cell>
        </row>
        <row r="3802">
          <cell r="B3802">
            <v>40050609</v>
          </cell>
          <cell r="C3802" t="str">
            <v>AER O ASSORTEDPO3 22.5G M270.00 P20</v>
          </cell>
          <cell r="D3802">
            <v>0</v>
          </cell>
          <cell r="E3802">
            <v>0</v>
          </cell>
          <cell r="F3802">
            <v>0</v>
          </cell>
        </row>
        <row r="3803">
          <cell r="B3803">
            <v>40057880</v>
          </cell>
          <cell r="C3803" t="str">
            <v>AER O ASSORTEDPO3 22.5G M270 P20 PP</v>
          </cell>
          <cell r="D3803">
            <v>0</v>
          </cell>
          <cell r="E3803">
            <v>0</v>
          </cell>
          <cell r="F3803">
            <v>0</v>
          </cell>
        </row>
        <row r="3804">
          <cell r="B3804">
            <v>40058874</v>
          </cell>
          <cell r="C3804" t="str">
            <v>AER O ASSORTEDPO3 POUCH 22.5G M270 P20</v>
          </cell>
          <cell r="D3804">
            <v>0</v>
          </cell>
          <cell r="E3804">
            <v>0</v>
          </cell>
          <cell r="F3804">
            <v>0</v>
          </cell>
        </row>
        <row r="3805">
          <cell r="B3805">
            <v>40059404</v>
          </cell>
          <cell r="C3805" t="str">
            <v>AER O ASSORTEDPO3 22.5G M270 P20 GT</v>
          </cell>
          <cell r="D3805">
            <v>0</v>
          </cell>
          <cell r="E3805">
            <v>0</v>
          </cell>
          <cell r="F3805">
            <v>0</v>
          </cell>
        </row>
        <row r="3806">
          <cell r="B3806">
            <v>40059957</v>
          </cell>
          <cell r="C3806" t="str">
            <v>AER O ASSORTEDPO3 22.5G M270 P20 MT</v>
          </cell>
          <cell r="D3806">
            <v>0</v>
          </cell>
          <cell r="E3806">
            <v>0</v>
          </cell>
          <cell r="F3806">
            <v>0</v>
          </cell>
        </row>
        <row r="3807">
          <cell r="B3807">
            <v>40063167</v>
          </cell>
          <cell r="C3807" t="str">
            <v>AERO ASSORTEDPO3 POUCH 22.5G M285 P20</v>
          </cell>
          <cell r="D3807">
            <v>0</v>
          </cell>
          <cell r="E3807">
            <v>0</v>
          </cell>
          <cell r="F3807">
            <v>0</v>
          </cell>
        </row>
        <row r="3808">
          <cell r="B3808">
            <v>40042290</v>
          </cell>
          <cell r="C3808" t="str">
            <v>AER O coolaqua 7.5g M99 PO60 - MT</v>
          </cell>
          <cell r="D3808">
            <v>0</v>
          </cell>
          <cell r="E3808">
            <v>0</v>
          </cell>
          <cell r="F3808">
            <v>0</v>
          </cell>
        </row>
        <row r="3809">
          <cell r="B3809">
            <v>40050778</v>
          </cell>
          <cell r="C3809" t="str">
            <v>GODREJ AER O COOLAQUA 7.5G M99 PO60 PP</v>
          </cell>
          <cell r="D3809">
            <v>0</v>
          </cell>
          <cell r="E3809">
            <v>0</v>
          </cell>
          <cell r="F3809">
            <v>0</v>
          </cell>
        </row>
        <row r="3810">
          <cell r="B3810">
            <v>40050781</v>
          </cell>
          <cell r="C3810" t="str">
            <v>GODREJ AER O COOLAQUA 7.5G M99 PO60 RWA</v>
          </cell>
          <cell r="D3810">
            <v>0</v>
          </cell>
          <cell r="E3810">
            <v>0</v>
          </cell>
          <cell r="F3810">
            <v>0</v>
          </cell>
        </row>
        <row r="3811">
          <cell r="B3811">
            <v>40062271</v>
          </cell>
          <cell r="C3811" t="str">
            <v>AER O COOLAQUAPO3 22.5G M270 P20</v>
          </cell>
          <cell r="D3811">
            <v>0</v>
          </cell>
          <cell r="E3811">
            <v>0</v>
          </cell>
          <cell r="F3811">
            <v>0</v>
          </cell>
        </row>
        <row r="3812">
          <cell r="B3812">
            <v>40062344</v>
          </cell>
          <cell r="C3812" t="str">
            <v>AER O COOL SURF BLUE 7.5G M99 P60 BPCL</v>
          </cell>
          <cell r="D3812">
            <v>0</v>
          </cell>
          <cell r="E3812">
            <v>0</v>
          </cell>
          <cell r="F3812">
            <v>0</v>
          </cell>
        </row>
        <row r="3813">
          <cell r="B3813">
            <v>40058975</v>
          </cell>
          <cell r="C3813" t="str">
            <v>AER O MARINEESCAPE 7.5G M447 P20</v>
          </cell>
          <cell r="D3813">
            <v>0</v>
          </cell>
          <cell r="E3813">
            <v>0</v>
          </cell>
          <cell r="F3813">
            <v>0</v>
          </cell>
        </row>
        <row r="3814">
          <cell r="B3814">
            <v>40064087</v>
          </cell>
          <cell r="C3814" t="str">
            <v>AERO MARINEESCAPE 22.5G M447 P20 RM</v>
          </cell>
          <cell r="D3814">
            <v>0</v>
          </cell>
          <cell r="E3814">
            <v>0</v>
          </cell>
          <cell r="F3814">
            <v>0</v>
          </cell>
        </row>
        <row r="3815">
          <cell r="B3815">
            <v>40064880</v>
          </cell>
          <cell r="C3815" t="str">
            <v>AER O MARINEESCAPE 22.5G M447 P20 LIQ</v>
          </cell>
          <cell r="D3815">
            <v>0</v>
          </cell>
          <cell r="E3815">
            <v>0</v>
          </cell>
          <cell r="F3815">
            <v>0</v>
          </cell>
        </row>
        <row r="3816">
          <cell r="B3816">
            <v>40065741</v>
          </cell>
          <cell r="C3816" t="str">
            <v>AER O MARINEESCAPE 22.5G M447 P20 LIQ2</v>
          </cell>
          <cell r="D3816">
            <v>0</v>
          </cell>
          <cell r="E3816">
            <v>0</v>
          </cell>
          <cell r="F3816">
            <v>0</v>
          </cell>
        </row>
        <row r="3817">
          <cell r="B3817">
            <v>40042295</v>
          </cell>
          <cell r="C3817" t="str">
            <v>AER O Roseblossom 7.5g M99 PO60-MT</v>
          </cell>
          <cell r="D3817">
            <v>0</v>
          </cell>
          <cell r="E3817">
            <v>0</v>
          </cell>
          <cell r="F3817">
            <v>0</v>
          </cell>
        </row>
        <row r="3818">
          <cell r="B3818">
            <v>40042296</v>
          </cell>
          <cell r="C3818" t="str">
            <v>AER O muskaftsmoke 7.5g M99 PO60 - MT</v>
          </cell>
          <cell r="D3818">
            <v>0</v>
          </cell>
          <cell r="E3818">
            <v>0</v>
          </cell>
          <cell r="F3818">
            <v>0</v>
          </cell>
        </row>
        <row r="3819">
          <cell r="B3819">
            <v>40062401</v>
          </cell>
          <cell r="C3819" t="str">
            <v>AER O MYSTIC MUSK 7.5G M149 P60 BPCL</v>
          </cell>
          <cell r="D3819">
            <v>0</v>
          </cell>
          <cell r="E3819">
            <v>0</v>
          </cell>
          <cell r="F3819">
            <v>0</v>
          </cell>
        </row>
        <row r="3820">
          <cell r="B3820">
            <v>40035297</v>
          </cell>
          <cell r="C3820" t="str">
            <v>AER SmartMatic Combi Alive225ml M859P6</v>
          </cell>
          <cell r="D3820">
            <v>0</v>
          </cell>
          <cell r="E3820">
            <v>0</v>
          </cell>
          <cell r="F3820">
            <v>0</v>
          </cell>
        </row>
        <row r="3821">
          <cell r="B3821">
            <v>40043845</v>
          </cell>
          <cell r="C3821" t="str">
            <v>AER Matic Combi Smart-Alive225ml M895P6</v>
          </cell>
          <cell r="D3821">
            <v>0</v>
          </cell>
          <cell r="E3821">
            <v>0</v>
          </cell>
          <cell r="F3821">
            <v>0</v>
          </cell>
        </row>
        <row r="3822">
          <cell r="B3822">
            <v>40064711</v>
          </cell>
          <cell r="C3822" t="str">
            <v>AER MATIC COMBI ALIVE225ML M895P6 LIQ</v>
          </cell>
          <cell r="D3822">
            <v>0</v>
          </cell>
          <cell r="E3822">
            <v>0</v>
          </cell>
          <cell r="F3822">
            <v>0</v>
          </cell>
        </row>
        <row r="3823">
          <cell r="B3823">
            <v>40025872</v>
          </cell>
          <cell r="C3823" t="str">
            <v>AER Matic Combi Blue P6 M499 225ml</v>
          </cell>
          <cell r="D3823">
            <v>0</v>
          </cell>
          <cell r="E3823">
            <v>0</v>
          </cell>
          <cell r="F3823">
            <v>0</v>
          </cell>
        </row>
        <row r="3824">
          <cell r="B3824">
            <v>40032578</v>
          </cell>
          <cell r="C3824" t="str">
            <v>AER Matic combi blue 225ml P6M549</v>
          </cell>
          <cell r="D3824">
            <v>0</v>
          </cell>
          <cell r="E3824">
            <v>0</v>
          </cell>
          <cell r="F3824">
            <v>0</v>
          </cell>
        </row>
        <row r="3825">
          <cell r="B3825">
            <v>40034247</v>
          </cell>
          <cell r="C3825" t="str">
            <v>AER Matic comb blue Ft225ml P6M549</v>
          </cell>
          <cell r="D3825">
            <v>0</v>
          </cell>
          <cell r="E3825">
            <v>0</v>
          </cell>
          <cell r="F3825">
            <v>0</v>
          </cell>
        </row>
        <row r="3826">
          <cell r="B3826">
            <v>40035299</v>
          </cell>
          <cell r="C3826" t="str">
            <v>AER Matic combi blue 225ml P6M569</v>
          </cell>
          <cell r="D3826">
            <v>0</v>
          </cell>
          <cell r="E3826">
            <v>0</v>
          </cell>
          <cell r="F3826">
            <v>0</v>
          </cell>
        </row>
        <row r="3827">
          <cell r="B3827">
            <v>40036382</v>
          </cell>
          <cell r="C3827" t="str">
            <v>Aer Matic combi CSB 225ml P6M569 IND</v>
          </cell>
          <cell r="D3827">
            <v>0</v>
          </cell>
          <cell r="E3827">
            <v>0</v>
          </cell>
          <cell r="F3827">
            <v>0</v>
          </cell>
        </row>
        <row r="3828">
          <cell r="B3828">
            <v>40039492</v>
          </cell>
          <cell r="C3828" t="str">
            <v>AER Matic combi CSB 225ml P6M600 IND</v>
          </cell>
          <cell r="D3828">
            <v>0</v>
          </cell>
          <cell r="E3828">
            <v>0</v>
          </cell>
          <cell r="F3828">
            <v>0</v>
          </cell>
        </row>
        <row r="3829">
          <cell r="B3829">
            <v>40041432</v>
          </cell>
          <cell r="C3829" t="str">
            <v>Aer Matic combi CSB 225ml P6M600 MT</v>
          </cell>
          <cell r="D3829">
            <v>0</v>
          </cell>
          <cell r="E3829">
            <v>0</v>
          </cell>
          <cell r="F3829">
            <v>0</v>
          </cell>
        </row>
        <row r="3830">
          <cell r="B3830">
            <v>40043840</v>
          </cell>
          <cell r="C3830" t="str">
            <v>AER Matic combi CSB 225ml P6 M625</v>
          </cell>
          <cell r="D3830">
            <v>0</v>
          </cell>
          <cell r="E3830">
            <v>0</v>
          </cell>
          <cell r="F3830">
            <v>0</v>
          </cell>
        </row>
        <row r="3831">
          <cell r="B3831">
            <v>40056140</v>
          </cell>
          <cell r="C3831" t="str">
            <v>AER MATIC COMBI CSB 225ML P6 M625FEST</v>
          </cell>
          <cell r="D3831">
            <v>0</v>
          </cell>
          <cell r="E3831">
            <v>0</v>
          </cell>
          <cell r="F3831">
            <v>0</v>
          </cell>
        </row>
        <row r="3832">
          <cell r="B3832">
            <v>40059117</v>
          </cell>
          <cell r="C3832" t="str">
            <v>AER MATIC COMBI CSB 210ML P6 M549</v>
          </cell>
          <cell r="D3832">
            <v>0</v>
          </cell>
          <cell r="E3832">
            <v>0</v>
          </cell>
          <cell r="F3832">
            <v>0</v>
          </cell>
        </row>
        <row r="3833">
          <cell r="B3833">
            <v>40059470</v>
          </cell>
          <cell r="C3833" t="str">
            <v>AER MATIC COMBI CSB 210ML P6 M549 MT</v>
          </cell>
          <cell r="D3833">
            <v>0</v>
          </cell>
          <cell r="E3833">
            <v>0</v>
          </cell>
          <cell r="F3833">
            <v>0</v>
          </cell>
        </row>
        <row r="3834">
          <cell r="B3834">
            <v>40063715</v>
          </cell>
          <cell r="C3834" t="str">
            <v>AER MATIC COMBI CSB 210ML P6 M599</v>
          </cell>
          <cell r="D3834">
            <v>0</v>
          </cell>
          <cell r="E3834">
            <v>0</v>
          </cell>
          <cell r="F3834">
            <v>0</v>
          </cell>
        </row>
        <row r="3835">
          <cell r="B3835">
            <v>40066237</v>
          </cell>
          <cell r="C3835" t="str">
            <v>AER MATIC COMBI CSB 210ML P6 M599 GT</v>
          </cell>
          <cell r="D3835">
            <v>0</v>
          </cell>
          <cell r="E3835">
            <v>0</v>
          </cell>
          <cell r="F3835">
            <v>0</v>
          </cell>
        </row>
        <row r="3836">
          <cell r="B3836">
            <v>40062308</v>
          </cell>
          <cell r="C3836" t="str">
            <v>AER MATIC CMBI LAV BLM  210ML P6 M549 NF</v>
          </cell>
          <cell r="D3836">
            <v>0</v>
          </cell>
          <cell r="E3836">
            <v>0</v>
          </cell>
          <cell r="F3836">
            <v>0</v>
          </cell>
        </row>
        <row r="3837">
          <cell r="B3837">
            <v>40025873</v>
          </cell>
          <cell r="C3837" t="str">
            <v>AER Matic Combi Pink P6 M499 225ml</v>
          </cell>
          <cell r="D3837">
            <v>0</v>
          </cell>
          <cell r="E3837">
            <v>0</v>
          </cell>
          <cell r="F3837">
            <v>0</v>
          </cell>
        </row>
        <row r="3838">
          <cell r="B3838">
            <v>40035192</v>
          </cell>
          <cell r="C3838" t="str">
            <v>AER Matic combi pink 225ml P6M569</v>
          </cell>
          <cell r="D3838">
            <v>0</v>
          </cell>
          <cell r="E3838">
            <v>0</v>
          </cell>
          <cell r="F3838">
            <v>0</v>
          </cell>
        </row>
        <row r="3839">
          <cell r="B3839">
            <v>40036403</v>
          </cell>
          <cell r="C3839" t="str">
            <v>Aer Matic combi PCP 225ml P6M569 IND</v>
          </cell>
          <cell r="D3839">
            <v>0</v>
          </cell>
          <cell r="E3839">
            <v>0</v>
          </cell>
          <cell r="F3839">
            <v>0</v>
          </cell>
        </row>
        <row r="3840">
          <cell r="B3840">
            <v>40039515</v>
          </cell>
          <cell r="C3840" t="str">
            <v>AER Matic combi PCP 225ml P6M600 IND</v>
          </cell>
          <cell r="D3840">
            <v>0</v>
          </cell>
          <cell r="E3840">
            <v>0</v>
          </cell>
          <cell r="F3840">
            <v>0</v>
          </cell>
        </row>
        <row r="3841">
          <cell r="B3841">
            <v>40043832</v>
          </cell>
          <cell r="C3841" t="str">
            <v>AER Matic combi PCP 225ml P6 M625</v>
          </cell>
          <cell r="D3841">
            <v>0</v>
          </cell>
          <cell r="E3841">
            <v>0</v>
          </cell>
          <cell r="F3841">
            <v>0</v>
          </cell>
        </row>
        <row r="3842">
          <cell r="B3842">
            <v>40056141</v>
          </cell>
          <cell r="C3842" t="str">
            <v>AER MATIC COMBI PCP 225ML P6 M625FEST</v>
          </cell>
          <cell r="D3842">
            <v>0</v>
          </cell>
          <cell r="E3842">
            <v>0</v>
          </cell>
          <cell r="F3842">
            <v>0</v>
          </cell>
        </row>
        <row r="3843">
          <cell r="B3843">
            <v>40059566</v>
          </cell>
          <cell r="C3843" t="str">
            <v>AER MATIC COMBI PCP 210ML P6 M549 NF</v>
          </cell>
          <cell r="D3843">
            <v>0</v>
          </cell>
          <cell r="E3843">
            <v>0</v>
          </cell>
          <cell r="F3843">
            <v>0</v>
          </cell>
        </row>
        <row r="3844">
          <cell r="B3844">
            <v>40060589</v>
          </cell>
          <cell r="C3844" t="str">
            <v>AER MATC CMBI PCP 210ML P6 M549 NF EXPRT</v>
          </cell>
          <cell r="D3844">
            <v>0</v>
          </cell>
          <cell r="E3844">
            <v>0</v>
          </cell>
          <cell r="F3844">
            <v>0</v>
          </cell>
        </row>
        <row r="3845">
          <cell r="B3845">
            <v>40063617</v>
          </cell>
          <cell r="C3845" t="str">
            <v>AER MATIC COMBI PCP 210ML P6 M599 NF</v>
          </cell>
          <cell r="D3845">
            <v>0</v>
          </cell>
          <cell r="E3845">
            <v>0</v>
          </cell>
          <cell r="F3845">
            <v>0</v>
          </cell>
        </row>
        <row r="3846">
          <cell r="B3846">
            <v>40066235</v>
          </cell>
          <cell r="C3846" t="str">
            <v>AER MATIC COMBI PCP 210ML P6 M599 NF GT</v>
          </cell>
          <cell r="D3846">
            <v>0</v>
          </cell>
          <cell r="E3846">
            <v>0</v>
          </cell>
          <cell r="F3846">
            <v>0</v>
          </cell>
        </row>
        <row r="3847">
          <cell r="B3847">
            <v>40059734</v>
          </cell>
          <cell r="C3847" t="str">
            <v>AER MATIC COMBI RYL FEST 210ML P6 M549</v>
          </cell>
          <cell r="D3847">
            <v>0</v>
          </cell>
          <cell r="E3847">
            <v>0</v>
          </cell>
          <cell r="F3847">
            <v>0</v>
          </cell>
        </row>
        <row r="3848">
          <cell r="B3848">
            <v>40066236</v>
          </cell>
          <cell r="C3848" t="str">
            <v>MATC CMBI RYL VANILLA 210ML P6 M599 GT</v>
          </cell>
          <cell r="D3848">
            <v>0</v>
          </cell>
          <cell r="E3848">
            <v>0</v>
          </cell>
          <cell r="F3848">
            <v>0</v>
          </cell>
        </row>
        <row r="3849">
          <cell r="B3849">
            <v>40035292</v>
          </cell>
          <cell r="C3849" t="str">
            <v>AER Matic combi VVBlm225ml P6M569</v>
          </cell>
          <cell r="D3849">
            <v>0</v>
          </cell>
          <cell r="E3849">
            <v>0</v>
          </cell>
          <cell r="F3849">
            <v>0</v>
          </cell>
        </row>
        <row r="3850">
          <cell r="B3850">
            <v>40036411</v>
          </cell>
          <cell r="C3850" t="str">
            <v>AER Matic combi VVB 225ml P6M569 IND</v>
          </cell>
          <cell r="D3850">
            <v>0</v>
          </cell>
          <cell r="E3850">
            <v>0</v>
          </cell>
          <cell r="F3850">
            <v>0</v>
          </cell>
        </row>
        <row r="3851">
          <cell r="B3851">
            <v>40037861</v>
          </cell>
          <cell r="C3851" t="str">
            <v>Aer Matic combi VVB Festive 225ml P6M569</v>
          </cell>
          <cell r="D3851">
            <v>0</v>
          </cell>
          <cell r="E3851">
            <v>0</v>
          </cell>
          <cell r="F3851">
            <v>0</v>
          </cell>
        </row>
        <row r="3852">
          <cell r="B3852">
            <v>40039494</v>
          </cell>
          <cell r="C3852" t="str">
            <v>AER Matic combi VVB 225ml P6M600 IND</v>
          </cell>
          <cell r="D3852">
            <v>0</v>
          </cell>
          <cell r="E3852">
            <v>0</v>
          </cell>
          <cell r="F3852">
            <v>0</v>
          </cell>
        </row>
        <row r="3853">
          <cell r="B3853">
            <v>40043841</v>
          </cell>
          <cell r="C3853" t="str">
            <v>AER Matic combi VVB 225ml P6 M625</v>
          </cell>
          <cell r="D3853">
            <v>0</v>
          </cell>
          <cell r="E3853">
            <v>0</v>
          </cell>
          <cell r="F3853">
            <v>0</v>
          </cell>
        </row>
        <row r="3854">
          <cell r="B3854">
            <v>40056142</v>
          </cell>
          <cell r="C3854" t="str">
            <v>AER MATIC COMBI VVB 225ML P6 M625FEST</v>
          </cell>
          <cell r="D3854">
            <v>0</v>
          </cell>
          <cell r="E3854">
            <v>0</v>
          </cell>
          <cell r="F3854">
            <v>0</v>
          </cell>
        </row>
        <row r="3855">
          <cell r="B3855">
            <v>40056917</v>
          </cell>
          <cell r="C3855" t="str">
            <v>AER MATIC COMBI VVB 210ML P6 M625</v>
          </cell>
          <cell r="D3855">
            <v>0</v>
          </cell>
          <cell r="E3855">
            <v>0</v>
          </cell>
          <cell r="F3855">
            <v>0</v>
          </cell>
        </row>
        <row r="3856">
          <cell r="B3856">
            <v>40057672</v>
          </cell>
          <cell r="C3856" t="str">
            <v>AER MATIC COMBI VVB225ML P6M625 (IMPORT)</v>
          </cell>
          <cell r="D3856">
            <v>0</v>
          </cell>
          <cell r="E3856">
            <v>0</v>
          </cell>
          <cell r="F3856">
            <v>0</v>
          </cell>
        </row>
        <row r="3857">
          <cell r="B3857">
            <v>40059032</v>
          </cell>
          <cell r="C3857" t="str">
            <v>AER MATIC COMBI VVB 210ML P6 M549 NEW</v>
          </cell>
          <cell r="D3857">
            <v>0</v>
          </cell>
          <cell r="E3857">
            <v>0</v>
          </cell>
          <cell r="F3857">
            <v>0</v>
          </cell>
        </row>
        <row r="3858">
          <cell r="B3858">
            <v>40059569</v>
          </cell>
          <cell r="C3858" t="str">
            <v>AER MATIC COMBI VVB 210ML P6 M549 NF</v>
          </cell>
          <cell r="D3858">
            <v>0</v>
          </cell>
          <cell r="E3858">
            <v>0</v>
          </cell>
          <cell r="F3858">
            <v>0</v>
          </cell>
        </row>
        <row r="3859">
          <cell r="B3859">
            <v>40063809</v>
          </cell>
          <cell r="C3859" t="str">
            <v>AER MATIC COMBI VVB 210ML P6 M599 IMPORT</v>
          </cell>
          <cell r="D3859">
            <v>0</v>
          </cell>
          <cell r="E3859">
            <v>0</v>
          </cell>
          <cell r="F3859">
            <v>0</v>
          </cell>
        </row>
        <row r="3860">
          <cell r="B3860">
            <v>40066233</v>
          </cell>
          <cell r="C3860" t="str">
            <v>AER MATIC COMBI VVB 210ML P6 M599 NF GT</v>
          </cell>
          <cell r="D3860">
            <v>0</v>
          </cell>
          <cell r="E3860">
            <v>0</v>
          </cell>
          <cell r="F3860">
            <v>0</v>
          </cell>
        </row>
        <row r="3861">
          <cell r="B3861">
            <v>40033140</v>
          </cell>
          <cell r="C3861" t="str">
            <v>AER Matic Refill Alive 225ml M299P18</v>
          </cell>
          <cell r="D3861">
            <v>0</v>
          </cell>
          <cell r="E3861">
            <v>0</v>
          </cell>
          <cell r="F3861">
            <v>0</v>
          </cell>
        </row>
        <row r="3862">
          <cell r="B3862">
            <v>40043138</v>
          </cell>
          <cell r="C3862" t="str">
            <v>AER Matic Refill Alive 225ml M325P18</v>
          </cell>
          <cell r="D3862">
            <v>0</v>
          </cell>
          <cell r="E3862">
            <v>0</v>
          </cell>
          <cell r="F3862">
            <v>0</v>
          </cell>
        </row>
        <row r="3863">
          <cell r="B3863">
            <v>40035300</v>
          </cell>
          <cell r="C3863" t="str">
            <v>AER Matic Spray can CSBlu 225ml M285 P18</v>
          </cell>
          <cell r="D3863">
            <v>0</v>
          </cell>
          <cell r="E3863">
            <v>0</v>
          </cell>
          <cell r="F3863">
            <v>0</v>
          </cell>
        </row>
        <row r="3864">
          <cell r="B3864">
            <v>40043837</v>
          </cell>
          <cell r="C3864" t="str">
            <v>AER Matic Spray refill CSB 225ml M315P18</v>
          </cell>
          <cell r="D3864">
            <v>0</v>
          </cell>
          <cell r="E3864">
            <v>0</v>
          </cell>
          <cell r="F3864">
            <v>0</v>
          </cell>
        </row>
        <row r="3865">
          <cell r="B3865">
            <v>40050023</v>
          </cell>
          <cell r="C3865" t="str">
            <v>AER Matic Spry refilCSB225mlM315P18FWRGP</v>
          </cell>
          <cell r="D3865">
            <v>0</v>
          </cell>
          <cell r="E3865">
            <v>0</v>
          </cell>
          <cell r="F3865">
            <v>0</v>
          </cell>
        </row>
        <row r="3866">
          <cell r="B3866">
            <v>40060031</v>
          </cell>
          <cell r="C3866" t="str">
            <v>AER MATIC SPRAY REFILL CSB 210ML M249P18</v>
          </cell>
          <cell r="D3866">
            <v>0</v>
          </cell>
          <cell r="E3866">
            <v>0</v>
          </cell>
          <cell r="F3866">
            <v>0</v>
          </cell>
        </row>
        <row r="3867">
          <cell r="B3867">
            <v>40066234</v>
          </cell>
          <cell r="C3867" t="str">
            <v>MATIC SPRAY REF CSB 210ML M249P18 NP GT</v>
          </cell>
          <cell r="D3867">
            <v>0</v>
          </cell>
          <cell r="E3867">
            <v>0</v>
          </cell>
          <cell r="F3867">
            <v>0</v>
          </cell>
        </row>
        <row r="3868">
          <cell r="B3868">
            <v>40043846</v>
          </cell>
          <cell r="C3868" t="str">
            <v>AER Matic Spray refill FLG 225ml M315P18</v>
          </cell>
          <cell r="D3868">
            <v>0</v>
          </cell>
          <cell r="E3868">
            <v>0</v>
          </cell>
          <cell r="F3868">
            <v>0</v>
          </cell>
        </row>
        <row r="3869">
          <cell r="B3869">
            <v>40056874</v>
          </cell>
          <cell r="C3869" t="str">
            <v>AER MATIC SPRAY REFILL FLG 210ML M315P18</v>
          </cell>
          <cell r="D3869">
            <v>0</v>
          </cell>
          <cell r="E3869">
            <v>0</v>
          </cell>
          <cell r="F3869">
            <v>0</v>
          </cell>
        </row>
        <row r="3870">
          <cell r="B3870">
            <v>40066228</v>
          </cell>
          <cell r="C3870" t="str">
            <v>AERMATIC SPRY REFIL FLG 210ML M249P18 GT</v>
          </cell>
          <cell r="D3870">
            <v>0</v>
          </cell>
          <cell r="E3870">
            <v>0</v>
          </cell>
          <cell r="F3870">
            <v>0</v>
          </cell>
        </row>
        <row r="3871">
          <cell r="B3871">
            <v>40035306</v>
          </cell>
          <cell r="C3871" t="str">
            <v>AER Matic Spray can PCPnk 225ml M285 P18</v>
          </cell>
          <cell r="D3871">
            <v>0</v>
          </cell>
          <cell r="E3871">
            <v>0</v>
          </cell>
          <cell r="F3871">
            <v>0</v>
          </cell>
        </row>
        <row r="3872">
          <cell r="B3872">
            <v>40043836</v>
          </cell>
          <cell r="C3872" t="str">
            <v>AER Matic Spray refill PCP 225ml M315P18</v>
          </cell>
          <cell r="D3872">
            <v>0</v>
          </cell>
          <cell r="E3872">
            <v>0</v>
          </cell>
          <cell r="F3872">
            <v>0</v>
          </cell>
        </row>
        <row r="3873">
          <cell r="B3873">
            <v>40056916</v>
          </cell>
          <cell r="C3873" t="str">
            <v>AER MATIC SPRAY REFILL PCP 210ML M315P18</v>
          </cell>
          <cell r="D3873">
            <v>0</v>
          </cell>
          <cell r="E3873">
            <v>0</v>
          </cell>
          <cell r="F3873">
            <v>0</v>
          </cell>
        </row>
        <row r="3874">
          <cell r="B3874">
            <v>40059568</v>
          </cell>
          <cell r="C3874" t="str">
            <v>AER MATC SPRY RFILL PCP 210ML M315P18 NF</v>
          </cell>
          <cell r="D3874">
            <v>0</v>
          </cell>
          <cell r="E3874">
            <v>0</v>
          </cell>
          <cell r="F3874">
            <v>0</v>
          </cell>
        </row>
        <row r="3875">
          <cell r="B3875">
            <v>40066227</v>
          </cell>
          <cell r="C3875" t="str">
            <v>MATICSPRYRFILL PCP210ML M249P18 NF GT</v>
          </cell>
          <cell r="D3875">
            <v>0</v>
          </cell>
          <cell r="E3875">
            <v>0</v>
          </cell>
          <cell r="F3875">
            <v>0</v>
          </cell>
        </row>
        <row r="3876">
          <cell r="B3876">
            <v>40033160</v>
          </cell>
          <cell r="C3876" t="str">
            <v>AER Matic Refill Passion 225ml M299P18</v>
          </cell>
          <cell r="D3876">
            <v>0</v>
          </cell>
          <cell r="E3876">
            <v>0</v>
          </cell>
          <cell r="F3876">
            <v>0</v>
          </cell>
        </row>
        <row r="3877">
          <cell r="B3877">
            <v>40043139</v>
          </cell>
          <cell r="C3877" t="str">
            <v>AER Matic Refill Passion 225ml M325P18</v>
          </cell>
          <cell r="D3877">
            <v>0</v>
          </cell>
          <cell r="E3877">
            <v>0</v>
          </cell>
          <cell r="F3877">
            <v>0</v>
          </cell>
        </row>
        <row r="3878">
          <cell r="B3878">
            <v>40060427</v>
          </cell>
          <cell r="C3878" t="str">
            <v>AER MATIC SPRY RFILL RFT210ML M249P18 NF</v>
          </cell>
          <cell r="D3878">
            <v>0</v>
          </cell>
          <cell r="E3878">
            <v>0</v>
          </cell>
          <cell r="F3878">
            <v>0</v>
          </cell>
        </row>
        <row r="3879">
          <cell r="B3879">
            <v>40032569</v>
          </cell>
          <cell r="C3879" t="str">
            <v>AER Matic Spray can VVBlm 225ml M275 P18</v>
          </cell>
          <cell r="D3879">
            <v>0</v>
          </cell>
          <cell r="E3879">
            <v>0</v>
          </cell>
          <cell r="F3879">
            <v>0</v>
          </cell>
        </row>
        <row r="3880">
          <cell r="B3880">
            <v>40035298</v>
          </cell>
          <cell r="C3880" t="str">
            <v>AER Matic Spray can VVBlm 225ml M285 P18</v>
          </cell>
          <cell r="D3880">
            <v>0</v>
          </cell>
          <cell r="E3880">
            <v>0</v>
          </cell>
          <cell r="F3880">
            <v>0</v>
          </cell>
        </row>
        <row r="3881">
          <cell r="B3881">
            <v>40039525</v>
          </cell>
          <cell r="C3881" t="str">
            <v>AER Matic Refill VVBlm 225ml M300 P18</v>
          </cell>
          <cell r="D3881">
            <v>0</v>
          </cell>
          <cell r="E3881">
            <v>0</v>
          </cell>
          <cell r="F3881">
            <v>0</v>
          </cell>
        </row>
        <row r="3882">
          <cell r="B3882">
            <v>40041566</v>
          </cell>
          <cell r="C3882" t="str">
            <v>AER Mat refcan VVB 225ml M300P18 GP FRW</v>
          </cell>
          <cell r="D3882">
            <v>0</v>
          </cell>
          <cell r="E3882">
            <v>0</v>
          </cell>
          <cell r="F3882">
            <v>0</v>
          </cell>
        </row>
        <row r="3883">
          <cell r="B3883">
            <v>40043838</v>
          </cell>
          <cell r="C3883" t="str">
            <v>AER Matic Spray refill VVB 225ml M315P18</v>
          </cell>
          <cell r="D3883">
            <v>0</v>
          </cell>
          <cell r="E3883">
            <v>0</v>
          </cell>
          <cell r="F3883">
            <v>0</v>
          </cell>
        </row>
        <row r="3884">
          <cell r="B3884">
            <v>40050010</v>
          </cell>
          <cell r="C3884" t="str">
            <v>AER Matic SpryrefilVVB225mlM315P18FRWGP</v>
          </cell>
          <cell r="D3884">
            <v>0</v>
          </cell>
          <cell r="E3884">
            <v>0</v>
          </cell>
          <cell r="F3884">
            <v>0</v>
          </cell>
        </row>
        <row r="3885">
          <cell r="B3885">
            <v>40056915</v>
          </cell>
          <cell r="C3885" t="str">
            <v>AER MATIC SPRAY REFILL VVB 210ML M315P18</v>
          </cell>
          <cell r="D3885">
            <v>0</v>
          </cell>
          <cell r="E3885">
            <v>0</v>
          </cell>
          <cell r="F3885">
            <v>0</v>
          </cell>
        </row>
        <row r="3886">
          <cell r="B3886">
            <v>40059416</v>
          </cell>
          <cell r="C3886" t="str">
            <v>GPAERMATICSPRYREFILVVB 210ML M315 P18 FR</v>
          </cell>
          <cell r="D3886">
            <v>0</v>
          </cell>
          <cell r="E3886">
            <v>0</v>
          </cell>
          <cell r="F3886">
            <v>0</v>
          </cell>
        </row>
        <row r="3887">
          <cell r="B3887">
            <v>40059572</v>
          </cell>
          <cell r="C3887" t="str">
            <v>AER MATC SPRY RFILL VVB 210ML M315P18 NF</v>
          </cell>
          <cell r="D3887">
            <v>0</v>
          </cell>
          <cell r="E3887">
            <v>0</v>
          </cell>
          <cell r="F3887">
            <v>0</v>
          </cell>
        </row>
        <row r="3888">
          <cell r="B3888">
            <v>40066232</v>
          </cell>
          <cell r="C3888" t="str">
            <v>MATIC SPRY RFILLVVB 210ML M249P18NF GT</v>
          </cell>
          <cell r="D3888">
            <v>0</v>
          </cell>
          <cell r="E3888">
            <v>0</v>
          </cell>
          <cell r="F3888">
            <v>0</v>
          </cell>
        </row>
        <row r="3889">
          <cell r="B3889">
            <v>40038896</v>
          </cell>
          <cell r="C3889" t="str">
            <v>Aer PO3 PowerPocket Assorted M150P36 D2D</v>
          </cell>
          <cell r="D3889">
            <v>0</v>
          </cell>
          <cell r="E3889">
            <v>0</v>
          </cell>
          <cell r="F3889">
            <v>0</v>
          </cell>
        </row>
        <row r="3890">
          <cell r="B3890">
            <v>40049650</v>
          </cell>
          <cell r="C3890" t="str">
            <v>AerPowerPocket Assorted PO3 M150P3D2D KA</v>
          </cell>
          <cell r="D3890">
            <v>0</v>
          </cell>
          <cell r="E3890">
            <v>0</v>
          </cell>
          <cell r="F3890">
            <v>0</v>
          </cell>
        </row>
        <row r="3891">
          <cell r="B3891">
            <v>40049674</v>
          </cell>
          <cell r="C3891" t="str">
            <v>AerPowerPocket Asrted PO3 M150P36 D2D UP</v>
          </cell>
          <cell r="D3891">
            <v>0</v>
          </cell>
          <cell r="E3891">
            <v>0</v>
          </cell>
          <cell r="F3891">
            <v>0</v>
          </cell>
        </row>
        <row r="3892">
          <cell r="B3892">
            <v>40025512</v>
          </cell>
          <cell r="C3892" t="str">
            <v>AERPckt BathHygiene AsrtPO3 M160 P36CSD</v>
          </cell>
          <cell r="D3892">
            <v>0</v>
          </cell>
          <cell r="E3892">
            <v>0</v>
          </cell>
          <cell r="F3892">
            <v>0</v>
          </cell>
        </row>
        <row r="3893">
          <cell r="B3893">
            <v>40026886</v>
          </cell>
          <cell r="C3893" t="str">
            <v>AERPckt BathHygiene PO3 M160P36 GT</v>
          </cell>
          <cell r="D3893">
            <v>0</v>
          </cell>
          <cell r="E3893">
            <v>0</v>
          </cell>
          <cell r="F3893">
            <v>0</v>
          </cell>
        </row>
        <row r="3894">
          <cell r="B3894">
            <v>40028395</v>
          </cell>
          <cell r="C3894" t="str">
            <v>AERPckt BathHygiene AsrtPO3 CSD M160P36</v>
          </cell>
          <cell r="D3894">
            <v>0</v>
          </cell>
          <cell r="E3894">
            <v>0</v>
          </cell>
          <cell r="F3894">
            <v>0</v>
          </cell>
        </row>
        <row r="3895">
          <cell r="B3895">
            <v>40031510</v>
          </cell>
          <cell r="C3895" t="str">
            <v>AerPowerPocketAssorted 30g PO3 M160P36GT</v>
          </cell>
          <cell r="D3895">
            <v>0</v>
          </cell>
          <cell r="E3895">
            <v>0</v>
          </cell>
          <cell r="F3895">
            <v>0</v>
          </cell>
        </row>
        <row r="3896">
          <cell r="B3896">
            <v>40031580</v>
          </cell>
          <cell r="C3896" t="str">
            <v>AerPowerPocket Assorted PO3 M165P36 ECOM</v>
          </cell>
          <cell r="D3896">
            <v>0</v>
          </cell>
          <cell r="E3896">
            <v>0</v>
          </cell>
          <cell r="F3896">
            <v>0</v>
          </cell>
        </row>
        <row r="3897">
          <cell r="B3897">
            <v>40035499</v>
          </cell>
          <cell r="C3897" t="str">
            <v>AerPowerPocket Assorted PO3 M180P36 ECOM</v>
          </cell>
          <cell r="D3897">
            <v>0</v>
          </cell>
          <cell r="E3897">
            <v>0</v>
          </cell>
          <cell r="F3897">
            <v>0</v>
          </cell>
        </row>
        <row r="3898">
          <cell r="B3898">
            <v>40060879</v>
          </cell>
          <cell r="C3898" t="str">
            <v>AER PO3 PWERPOCKT ASSRTED M195P36ECOM NF</v>
          </cell>
          <cell r="D3898">
            <v>0</v>
          </cell>
          <cell r="E3898">
            <v>0</v>
          </cell>
          <cell r="F3898">
            <v>0</v>
          </cell>
        </row>
        <row r="3899">
          <cell r="B3899">
            <v>40063017</v>
          </cell>
          <cell r="C3899" t="str">
            <v>AER PO3 PWERPOCKT ASSRTED M210P36ECOM NF</v>
          </cell>
          <cell r="D3899">
            <v>0</v>
          </cell>
          <cell r="E3899">
            <v>0</v>
          </cell>
          <cell r="F3899">
            <v>0</v>
          </cell>
        </row>
        <row r="3900">
          <cell r="B3900">
            <v>40024317</v>
          </cell>
          <cell r="C3900" t="str">
            <v>AERPckt BathHygiene PO3 M160P36 Nply-MT</v>
          </cell>
          <cell r="D3900">
            <v>0</v>
          </cell>
          <cell r="E3900">
            <v>0</v>
          </cell>
          <cell r="F3900">
            <v>0</v>
          </cell>
        </row>
        <row r="3901">
          <cell r="B3901">
            <v>40035658</v>
          </cell>
          <cell r="C3901" t="str">
            <v>AerPowerPocket Asrted 40gPO4 M195P36 MT</v>
          </cell>
          <cell r="D3901">
            <v>0</v>
          </cell>
          <cell r="E3901">
            <v>0</v>
          </cell>
          <cell r="F3901">
            <v>0</v>
          </cell>
        </row>
        <row r="3902">
          <cell r="B3902">
            <v>40055907</v>
          </cell>
          <cell r="C3902" t="str">
            <v>AER POWERPOCKET ASRTED40GPO4 M210 P36 MT</v>
          </cell>
          <cell r="D3902">
            <v>0</v>
          </cell>
          <cell r="E3902">
            <v>0</v>
          </cell>
          <cell r="F3902">
            <v>0</v>
          </cell>
        </row>
        <row r="3903">
          <cell r="B3903">
            <v>40056410</v>
          </cell>
          <cell r="C3903" t="str">
            <v>AER PO4 POWERPOCKET ASRTED40G M210P36 GT</v>
          </cell>
          <cell r="D3903">
            <v>0</v>
          </cell>
          <cell r="E3903">
            <v>0</v>
          </cell>
          <cell r="F3903">
            <v>0</v>
          </cell>
        </row>
        <row r="3904">
          <cell r="B3904">
            <v>40059217</v>
          </cell>
          <cell r="C3904" t="str">
            <v>AER PO4 POWERPOCKET ASRTED40G M225P36 MT</v>
          </cell>
          <cell r="D3904">
            <v>0</v>
          </cell>
          <cell r="E3904">
            <v>0</v>
          </cell>
          <cell r="F3904">
            <v>0</v>
          </cell>
        </row>
        <row r="3905">
          <cell r="B3905">
            <v>40060883</v>
          </cell>
          <cell r="C3905" t="str">
            <v>AER PO4 POWRPCKET ASRTED40G M225P36MT NF</v>
          </cell>
          <cell r="D3905">
            <v>0</v>
          </cell>
          <cell r="E3905">
            <v>0</v>
          </cell>
          <cell r="F3905">
            <v>0</v>
          </cell>
        </row>
        <row r="3906">
          <cell r="B3906">
            <v>40061919</v>
          </cell>
          <cell r="C3906" t="str">
            <v>AER PO4 POWERPOCKET ASRTED40G M240P36 MT</v>
          </cell>
          <cell r="D3906">
            <v>0</v>
          </cell>
          <cell r="E3906">
            <v>0</v>
          </cell>
          <cell r="F3906">
            <v>0</v>
          </cell>
        </row>
        <row r="3907">
          <cell r="B3907">
            <v>40063170</v>
          </cell>
          <cell r="C3907" t="str">
            <v>AER PO4 POCKET ASRTED 40G M240 P36MT NWA</v>
          </cell>
          <cell r="D3907">
            <v>0</v>
          </cell>
          <cell r="E3907">
            <v>0</v>
          </cell>
          <cell r="F3907">
            <v>0</v>
          </cell>
        </row>
        <row r="3908">
          <cell r="B3908">
            <v>40031263</v>
          </cell>
          <cell r="C3908" t="str">
            <v>AerPowerPocket BerryRush 10g M55P108</v>
          </cell>
          <cell r="D3908">
            <v>0</v>
          </cell>
          <cell r="E3908">
            <v>0</v>
          </cell>
          <cell r="F3908">
            <v>0</v>
          </cell>
        </row>
        <row r="3909">
          <cell r="B3909">
            <v>40035509</v>
          </cell>
          <cell r="C3909" t="str">
            <v>AerPowerPocket BerryRush 10g M60P108</v>
          </cell>
          <cell r="D3909">
            <v>0</v>
          </cell>
          <cell r="E3909">
            <v>0</v>
          </cell>
          <cell r="F3909">
            <v>0</v>
          </cell>
        </row>
        <row r="3910">
          <cell r="B3910">
            <v>40043732</v>
          </cell>
          <cell r="C3910" t="str">
            <v>Aer Power Pocket Berry Rush 10g M60P120</v>
          </cell>
          <cell r="D3910">
            <v>0</v>
          </cell>
          <cell r="E3910">
            <v>0</v>
          </cell>
          <cell r="F3910">
            <v>0</v>
          </cell>
        </row>
        <row r="3911">
          <cell r="B3911">
            <v>40050776</v>
          </cell>
          <cell r="C3911" t="str">
            <v>AER POWER POCKET BERRY RUSH 10G M65P120</v>
          </cell>
          <cell r="D3911">
            <v>0</v>
          </cell>
          <cell r="E3911">
            <v>0</v>
          </cell>
          <cell r="F3911">
            <v>0</v>
          </cell>
        </row>
        <row r="3912">
          <cell r="B3912">
            <v>40060888</v>
          </cell>
          <cell r="C3912" t="str">
            <v>AER PWRPCKT BERRYRUSH 10G M65P120 NF</v>
          </cell>
          <cell r="D3912">
            <v>0</v>
          </cell>
          <cell r="E3912">
            <v>0</v>
          </cell>
          <cell r="F3912">
            <v>0</v>
          </cell>
        </row>
        <row r="3913">
          <cell r="B3913">
            <v>40063959</v>
          </cell>
          <cell r="C3913" t="str">
            <v>AERPOWERPOCKT BERYRUSH 10G M70P120 NF TT</v>
          </cell>
          <cell r="D3913">
            <v>0</v>
          </cell>
          <cell r="E3913">
            <v>0</v>
          </cell>
          <cell r="F3913">
            <v>0</v>
          </cell>
        </row>
        <row r="3914">
          <cell r="B3914">
            <v>40038676</v>
          </cell>
          <cell r="C3914" t="str">
            <v>AerPwrPockt BerryRush 10gM50P108 new D2D</v>
          </cell>
          <cell r="D3914">
            <v>0</v>
          </cell>
          <cell r="E3914">
            <v>0</v>
          </cell>
          <cell r="F3914">
            <v>0</v>
          </cell>
        </row>
        <row r="3915">
          <cell r="B3915">
            <v>40043988</v>
          </cell>
          <cell r="C3915" t="str">
            <v>AER PwrPockt Berry Rush 10g M50P120D2D</v>
          </cell>
          <cell r="D3915">
            <v>0</v>
          </cell>
          <cell r="E3915">
            <v>0</v>
          </cell>
          <cell r="F3915">
            <v>0</v>
          </cell>
        </row>
        <row r="3916">
          <cell r="B3916">
            <v>40031270</v>
          </cell>
          <cell r="C3916" t="str">
            <v>AerPowerPocket FreshBlossom 10g M55P108</v>
          </cell>
          <cell r="D3916">
            <v>0</v>
          </cell>
          <cell r="E3916">
            <v>0</v>
          </cell>
          <cell r="F3916">
            <v>0</v>
          </cell>
        </row>
        <row r="3917">
          <cell r="B3917">
            <v>40035507</v>
          </cell>
          <cell r="C3917" t="str">
            <v>AerPowerPocket FreshBlossom 10g M60P108</v>
          </cell>
          <cell r="D3917">
            <v>0</v>
          </cell>
          <cell r="E3917">
            <v>0</v>
          </cell>
          <cell r="F3917">
            <v>0</v>
          </cell>
        </row>
        <row r="3918">
          <cell r="B3918">
            <v>40038029</v>
          </cell>
          <cell r="C3918" t="str">
            <v>AerPwrPckt Rose Fresh Blossom 10gM60P108</v>
          </cell>
          <cell r="D3918">
            <v>0</v>
          </cell>
          <cell r="E3918">
            <v>0</v>
          </cell>
          <cell r="F3918">
            <v>0</v>
          </cell>
        </row>
        <row r="3919">
          <cell r="B3919">
            <v>40043476</v>
          </cell>
          <cell r="C3919" t="str">
            <v>Aer PowerPocket RoseFrBlossm 10g M60P120</v>
          </cell>
          <cell r="D3919">
            <v>0</v>
          </cell>
          <cell r="E3919">
            <v>0</v>
          </cell>
          <cell r="F3919">
            <v>0</v>
          </cell>
        </row>
        <row r="3920">
          <cell r="B3920">
            <v>40050749</v>
          </cell>
          <cell r="C3920" t="str">
            <v>AER POWERPOCKET ROSEFRBLOSSM 10G M65P120</v>
          </cell>
          <cell r="D3920">
            <v>0</v>
          </cell>
          <cell r="E3920">
            <v>0</v>
          </cell>
          <cell r="F3920">
            <v>0</v>
          </cell>
        </row>
        <row r="3921">
          <cell r="B3921">
            <v>40056376</v>
          </cell>
          <cell r="C3921" t="str">
            <v>AER PWRPOCKET ROSEFRBLOSSM 10G M65P120NP</v>
          </cell>
          <cell r="D3921">
            <v>0</v>
          </cell>
          <cell r="E3921">
            <v>0</v>
          </cell>
          <cell r="F3921">
            <v>0</v>
          </cell>
        </row>
        <row r="3922">
          <cell r="B3922">
            <v>40063420</v>
          </cell>
          <cell r="C3922" t="str">
            <v>AERPWRPCKT ROSEFRBLOSSM 10G M70P120NP</v>
          </cell>
          <cell r="D3922">
            <v>0</v>
          </cell>
          <cell r="E3922">
            <v>0</v>
          </cell>
          <cell r="F3922">
            <v>0</v>
          </cell>
        </row>
        <row r="3923">
          <cell r="B3923">
            <v>40063958</v>
          </cell>
          <cell r="C3923" t="str">
            <v>AERPWR ROSEFRBLOSSM 10G M70P120NP NF TT</v>
          </cell>
          <cell r="D3923">
            <v>0</v>
          </cell>
          <cell r="E3923">
            <v>0</v>
          </cell>
          <cell r="F3923">
            <v>0</v>
          </cell>
        </row>
        <row r="3924">
          <cell r="B3924">
            <v>40031719</v>
          </cell>
          <cell r="C3924" t="str">
            <v>AerPowerPocket FloralDelight 10g M55P108</v>
          </cell>
          <cell r="D3924">
            <v>0</v>
          </cell>
          <cell r="E3924">
            <v>0</v>
          </cell>
          <cell r="F3924">
            <v>0</v>
          </cell>
        </row>
        <row r="3925">
          <cell r="B3925">
            <v>40035453</v>
          </cell>
          <cell r="C3925" t="str">
            <v>AerPowerPocket FloralDelight 10g M60P108</v>
          </cell>
          <cell r="D3925">
            <v>0</v>
          </cell>
          <cell r="E3925">
            <v>0</v>
          </cell>
          <cell r="F3925">
            <v>0</v>
          </cell>
        </row>
        <row r="3926">
          <cell r="B3926">
            <v>40043485</v>
          </cell>
          <cell r="C3926" t="str">
            <v>Aer Power Pocket JasFlorDeli 10g M60P120</v>
          </cell>
          <cell r="D3926">
            <v>0</v>
          </cell>
          <cell r="E3926">
            <v>0</v>
          </cell>
          <cell r="F3926">
            <v>0</v>
          </cell>
        </row>
        <row r="3927">
          <cell r="B3927">
            <v>40060885</v>
          </cell>
          <cell r="C3927" t="str">
            <v>AER PWRPCKT JASFLORDELI 10G M65P120 NF</v>
          </cell>
          <cell r="D3927">
            <v>0</v>
          </cell>
          <cell r="E3927">
            <v>0</v>
          </cell>
          <cell r="F3927">
            <v>0</v>
          </cell>
        </row>
        <row r="3928">
          <cell r="B3928">
            <v>40031524</v>
          </cell>
          <cell r="C3928" t="str">
            <v>AerPowerPocket LavenderBloom 10g M55P108</v>
          </cell>
          <cell r="D3928">
            <v>0</v>
          </cell>
          <cell r="E3928">
            <v>0</v>
          </cell>
          <cell r="F3928">
            <v>0</v>
          </cell>
        </row>
        <row r="3929">
          <cell r="B3929">
            <v>40035502</v>
          </cell>
          <cell r="C3929" t="str">
            <v>AerPowerPocket LavenderBloom 10g M60P108</v>
          </cell>
          <cell r="D3929">
            <v>0</v>
          </cell>
          <cell r="E3929">
            <v>0</v>
          </cell>
          <cell r="F3929">
            <v>0</v>
          </cell>
        </row>
        <row r="3930">
          <cell r="B3930">
            <v>40038055</v>
          </cell>
          <cell r="C3930" t="str">
            <v>AerPwrPckt LavenderBloom 10g M60P108 new</v>
          </cell>
          <cell r="D3930">
            <v>0</v>
          </cell>
          <cell r="E3930">
            <v>0</v>
          </cell>
          <cell r="F3930">
            <v>0</v>
          </cell>
        </row>
        <row r="3931">
          <cell r="B3931">
            <v>40043717</v>
          </cell>
          <cell r="C3931" t="str">
            <v>Aer Power Pocket Lav Bloom 10g M60P120</v>
          </cell>
          <cell r="D3931">
            <v>0</v>
          </cell>
          <cell r="E3931">
            <v>0</v>
          </cell>
          <cell r="F3931">
            <v>0</v>
          </cell>
        </row>
        <row r="3932">
          <cell r="B3932">
            <v>40050782</v>
          </cell>
          <cell r="C3932" t="str">
            <v>AER POWER POCKET LAV BLOOM 10G M65P120</v>
          </cell>
          <cell r="D3932">
            <v>0</v>
          </cell>
          <cell r="E3932">
            <v>0</v>
          </cell>
          <cell r="F3932">
            <v>0</v>
          </cell>
        </row>
        <row r="3933">
          <cell r="B3933">
            <v>40056375</v>
          </cell>
          <cell r="C3933" t="str">
            <v>AER PWR POCKET LAV BLOOM 10G M65P120NP</v>
          </cell>
          <cell r="D3933">
            <v>0</v>
          </cell>
          <cell r="E3933">
            <v>0</v>
          </cell>
          <cell r="F3933">
            <v>0</v>
          </cell>
        </row>
        <row r="3934">
          <cell r="B3934">
            <v>40060882</v>
          </cell>
          <cell r="C3934" t="str">
            <v>AER PWRPCKT LAV BLOOM 10G M65P120NP NF</v>
          </cell>
          <cell r="D3934">
            <v>0</v>
          </cell>
          <cell r="E3934">
            <v>0</v>
          </cell>
          <cell r="F3934">
            <v>0</v>
          </cell>
        </row>
        <row r="3935">
          <cell r="B3935">
            <v>40063816</v>
          </cell>
          <cell r="C3935" t="str">
            <v>AERPWRPCKT B4G1 LAVENDER BLM M280P24  NF</v>
          </cell>
          <cell r="D3935">
            <v>0</v>
          </cell>
          <cell r="E3935">
            <v>0</v>
          </cell>
          <cell r="F3935">
            <v>0</v>
          </cell>
        </row>
        <row r="3936">
          <cell r="B3936">
            <v>40031272</v>
          </cell>
          <cell r="C3936" t="str">
            <v>AerPowerPocket SeaBreeze 10g M55P108</v>
          </cell>
          <cell r="D3936">
            <v>0</v>
          </cell>
          <cell r="E3936">
            <v>0</v>
          </cell>
          <cell r="F3936">
            <v>0</v>
          </cell>
        </row>
        <row r="3937">
          <cell r="B3937">
            <v>40035508</v>
          </cell>
          <cell r="C3937" t="str">
            <v>AerPowerPocket SeaBreeze 10g M60P108</v>
          </cell>
          <cell r="D3937">
            <v>0</v>
          </cell>
          <cell r="E3937">
            <v>0</v>
          </cell>
          <cell r="F3937">
            <v>0</v>
          </cell>
        </row>
        <row r="3938">
          <cell r="B3938">
            <v>40038052</v>
          </cell>
          <cell r="C3938" t="str">
            <v>AerPowerPocket Sea Breeze 10gM60P108 new</v>
          </cell>
          <cell r="D3938">
            <v>0</v>
          </cell>
          <cell r="E3938">
            <v>0</v>
          </cell>
          <cell r="F3938">
            <v>0</v>
          </cell>
        </row>
        <row r="3939">
          <cell r="B3939">
            <v>40043727</v>
          </cell>
          <cell r="C3939" t="str">
            <v>Aer Power Pocket Sea Breeze 10g M60P120</v>
          </cell>
          <cell r="D3939">
            <v>0</v>
          </cell>
          <cell r="E3939">
            <v>0</v>
          </cell>
          <cell r="F3939">
            <v>0</v>
          </cell>
        </row>
        <row r="3940">
          <cell r="B3940">
            <v>40058885</v>
          </cell>
          <cell r="C3940" t="str">
            <v>AER POWERPOCKET SEABREEZE 10G M65P120NEW</v>
          </cell>
          <cell r="D3940">
            <v>0</v>
          </cell>
          <cell r="E3940">
            <v>0</v>
          </cell>
          <cell r="F3940">
            <v>0</v>
          </cell>
        </row>
        <row r="3941">
          <cell r="B3941">
            <v>40060881</v>
          </cell>
          <cell r="C3941" t="str">
            <v>AER PWRPCKT SEABREEZE 10G M65P120 NF</v>
          </cell>
          <cell r="D3941">
            <v>0</v>
          </cell>
          <cell r="E3941">
            <v>0</v>
          </cell>
          <cell r="F3941">
            <v>0</v>
          </cell>
        </row>
        <row r="3942">
          <cell r="B3942">
            <v>40063404</v>
          </cell>
          <cell r="C3942" t="str">
            <v>AERPOWERPOCKET SEABREEZE 10G M70P120</v>
          </cell>
          <cell r="D3942">
            <v>0</v>
          </cell>
          <cell r="E3942">
            <v>0</v>
          </cell>
          <cell r="F3942">
            <v>0</v>
          </cell>
        </row>
        <row r="3943">
          <cell r="B3943">
            <v>40063960</v>
          </cell>
          <cell r="C3943" t="str">
            <v>AERPOWERPCKT SEABREEZE 10G M70P120 NF TT</v>
          </cell>
          <cell r="D3943">
            <v>0</v>
          </cell>
          <cell r="E3943">
            <v>0</v>
          </cell>
          <cell r="F3943">
            <v>0</v>
          </cell>
        </row>
        <row r="3944">
          <cell r="B3944">
            <v>40035503</v>
          </cell>
          <cell r="C3944" t="str">
            <v>AerPowerPocket TangyDelight10g M60P108</v>
          </cell>
          <cell r="D3944">
            <v>0</v>
          </cell>
          <cell r="E3944">
            <v>0</v>
          </cell>
          <cell r="F3944">
            <v>0</v>
          </cell>
        </row>
        <row r="3945">
          <cell r="B3945">
            <v>40038040</v>
          </cell>
          <cell r="C3945" t="str">
            <v>AerPwrPckt LemonTangyDelight10g M60P108</v>
          </cell>
          <cell r="D3945">
            <v>0</v>
          </cell>
          <cell r="E3945">
            <v>0</v>
          </cell>
          <cell r="F3945">
            <v>0</v>
          </cell>
        </row>
        <row r="3946">
          <cell r="B3946">
            <v>40043477</v>
          </cell>
          <cell r="C3946" t="str">
            <v>Aer Power Pocket LemTangyDel 10g M60P120</v>
          </cell>
          <cell r="D3946">
            <v>0</v>
          </cell>
          <cell r="E3946">
            <v>0</v>
          </cell>
          <cell r="F3946">
            <v>0</v>
          </cell>
        </row>
        <row r="3947">
          <cell r="B3947">
            <v>40050742</v>
          </cell>
          <cell r="C3947" t="str">
            <v>AER POWER POCKET LEMTANGYDEL 10G M65P120</v>
          </cell>
          <cell r="D3947">
            <v>0</v>
          </cell>
          <cell r="E3947">
            <v>0</v>
          </cell>
          <cell r="F3947">
            <v>0</v>
          </cell>
        </row>
        <row r="3948">
          <cell r="B3948">
            <v>40060905</v>
          </cell>
          <cell r="C3948" t="str">
            <v>AER PWRPCKT LEMTANGYDEL 10G M65P120 NF</v>
          </cell>
          <cell r="D3948">
            <v>0</v>
          </cell>
          <cell r="E3948">
            <v>0</v>
          </cell>
          <cell r="F3948">
            <v>0</v>
          </cell>
        </row>
        <row r="3949">
          <cell r="B3949">
            <v>40060154</v>
          </cell>
          <cell r="C3949" t="str">
            <v>AER PO3 POWER POCKET LEMON T GT M180 P36</v>
          </cell>
          <cell r="D3949">
            <v>0</v>
          </cell>
          <cell r="E3949">
            <v>0</v>
          </cell>
          <cell r="F3949">
            <v>0</v>
          </cell>
        </row>
        <row r="3950">
          <cell r="B3950">
            <v>40063629</v>
          </cell>
          <cell r="C3950" t="str">
            <v>AERPOWERPOKET LMN T PO3GT M180P36 NF RM</v>
          </cell>
          <cell r="D3950">
            <v>0</v>
          </cell>
          <cell r="E3950">
            <v>0</v>
          </cell>
          <cell r="F3950">
            <v>0</v>
          </cell>
        </row>
        <row r="3951">
          <cell r="B3951">
            <v>40063667</v>
          </cell>
          <cell r="C3951" t="str">
            <v>AER POWER POKET LMN T PO3 GT M180 P36 RM</v>
          </cell>
          <cell r="D3951">
            <v>0</v>
          </cell>
          <cell r="E3951">
            <v>0</v>
          </cell>
          <cell r="F3951">
            <v>0</v>
          </cell>
        </row>
        <row r="3952">
          <cell r="B3952">
            <v>40063815</v>
          </cell>
          <cell r="C3952" t="str">
            <v>AERPWRPCKT LEMON TANGY B4G1 M280P24  NF</v>
          </cell>
          <cell r="D3952">
            <v>0</v>
          </cell>
          <cell r="E3952">
            <v>0</v>
          </cell>
          <cell r="F3952">
            <v>0</v>
          </cell>
        </row>
        <row r="3953">
          <cell r="B3953">
            <v>40038488</v>
          </cell>
          <cell r="C3953" t="str">
            <v>AerPwrPckt LemTangyDelight10g M50P108D2D</v>
          </cell>
          <cell r="D3953">
            <v>0</v>
          </cell>
          <cell r="E3953">
            <v>0</v>
          </cell>
          <cell r="F3953">
            <v>0</v>
          </cell>
        </row>
        <row r="3954">
          <cell r="B3954">
            <v>40043893</v>
          </cell>
          <cell r="C3954" t="str">
            <v>AER PwrPckt LemTgyDel 10g M50P120 D2D</v>
          </cell>
          <cell r="D3954">
            <v>0</v>
          </cell>
          <cell r="E3954">
            <v>0</v>
          </cell>
          <cell r="F3954">
            <v>0</v>
          </cell>
        </row>
        <row r="3955">
          <cell r="B3955">
            <v>40056202</v>
          </cell>
          <cell r="C3955" t="str">
            <v>AER PWRPCKT LEMTGYDEL 10G M60P120 D2D</v>
          </cell>
          <cell r="D3955">
            <v>0</v>
          </cell>
          <cell r="E3955">
            <v>0</v>
          </cell>
          <cell r="F3955">
            <v>0</v>
          </cell>
        </row>
        <row r="3956">
          <cell r="B3956">
            <v>40061111</v>
          </cell>
          <cell r="C3956" t="str">
            <v>AER PWRPCKT LEMTGYDEL 10G M60P120 D2D NF</v>
          </cell>
          <cell r="D3956">
            <v>0</v>
          </cell>
          <cell r="E3956">
            <v>0</v>
          </cell>
          <cell r="F3956">
            <v>0</v>
          </cell>
        </row>
        <row r="3957">
          <cell r="B3957">
            <v>40032827</v>
          </cell>
          <cell r="C3957" t="str">
            <v>AER SPRAY COOL SURF BLUE P24 M150 240ml</v>
          </cell>
          <cell r="D3957">
            <v>0</v>
          </cell>
          <cell r="E3957">
            <v>0</v>
          </cell>
          <cell r="F3957">
            <v>0</v>
          </cell>
        </row>
        <row r="3958">
          <cell r="B3958">
            <v>40034265</v>
          </cell>
          <cell r="C3958" t="str">
            <v>AER SPRAY COOL SURF BLUE 240ml M155P24</v>
          </cell>
          <cell r="D3958">
            <v>0</v>
          </cell>
          <cell r="E3958">
            <v>0</v>
          </cell>
          <cell r="F3958">
            <v>0</v>
          </cell>
        </row>
        <row r="3959">
          <cell r="B3959">
            <v>40039315</v>
          </cell>
          <cell r="C3959" t="str">
            <v>AER SPRAY COOL SURF BLUE 220ml M115P24</v>
          </cell>
          <cell r="D3959">
            <v>0</v>
          </cell>
          <cell r="E3959">
            <v>0</v>
          </cell>
          <cell r="F3959">
            <v>0</v>
          </cell>
        </row>
        <row r="3960">
          <cell r="B3960">
            <v>40049731</v>
          </cell>
          <cell r="C3960" t="str">
            <v>AER SPRAY COOLSURFBLUE 220ml M99P24</v>
          </cell>
          <cell r="D3960">
            <v>0</v>
          </cell>
          <cell r="E3960">
            <v>0</v>
          </cell>
          <cell r="F3960">
            <v>0</v>
          </cell>
        </row>
        <row r="3961">
          <cell r="B3961">
            <v>40057237</v>
          </cell>
          <cell r="C3961" t="str">
            <v>AERSPRAY COOLSURFBLUE 220MLM99P24 0.18MM</v>
          </cell>
          <cell r="D3961">
            <v>0</v>
          </cell>
          <cell r="E3961">
            <v>0</v>
          </cell>
          <cell r="F3961">
            <v>0</v>
          </cell>
        </row>
        <row r="3962">
          <cell r="B3962">
            <v>40057334</v>
          </cell>
          <cell r="C3962" t="str">
            <v>AER SPRAY COOLAQUA 220ML M99P24</v>
          </cell>
          <cell r="D3962">
            <v>0</v>
          </cell>
          <cell r="E3962">
            <v>0</v>
          </cell>
          <cell r="F3962">
            <v>0</v>
          </cell>
        </row>
        <row r="3963">
          <cell r="B3963">
            <v>40059736</v>
          </cell>
          <cell r="C3963" t="str">
            <v>AER SPRAY COOLAQUA 200ML M99P24</v>
          </cell>
          <cell r="D3963">
            <v>0</v>
          </cell>
          <cell r="E3963">
            <v>0</v>
          </cell>
          <cell r="F3963">
            <v>0</v>
          </cell>
        </row>
        <row r="3964">
          <cell r="B3964">
            <v>40035385</v>
          </cell>
          <cell r="C3964" t="str">
            <v>AER SPRAY COOL SURF BLUE 240ml M169P24</v>
          </cell>
          <cell r="D3964">
            <v>0</v>
          </cell>
          <cell r="E3964">
            <v>0</v>
          </cell>
          <cell r="F3964">
            <v>0</v>
          </cell>
        </row>
        <row r="3965">
          <cell r="B3965">
            <v>40059575</v>
          </cell>
          <cell r="C3965" t="str">
            <v>AER SPRAY CITRUS BLAST 220ML M99P24</v>
          </cell>
          <cell r="D3965">
            <v>0</v>
          </cell>
          <cell r="E3965">
            <v>0</v>
          </cell>
          <cell r="F3965">
            <v>0</v>
          </cell>
        </row>
        <row r="3966">
          <cell r="B3966">
            <v>40060219</v>
          </cell>
          <cell r="C3966" t="str">
            <v>AER SPRAY CITRUS BLAST 200ML M99P24</v>
          </cell>
          <cell r="D3966">
            <v>0</v>
          </cell>
          <cell r="E3966">
            <v>0</v>
          </cell>
          <cell r="F3966">
            <v>0</v>
          </cell>
        </row>
        <row r="3967">
          <cell r="B3967">
            <v>40034249</v>
          </cell>
          <cell r="C3967" t="str">
            <v>AER SPRAY FRESHLUSH GREEN 240ml M155P24</v>
          </cell>
          <cell r="D3967">
            <v>0</v>
          </cell>
          <cell r="E3967">
            <v>0</v>
          </cell>
          <cell r="F3967">
            <v>0</v>
          </cell>
        </row>
        <row r="3968">
          <cell r="B3968">
            <v>40049730</v>
          </cell>
          <cell r="C3968" t="str">
            <v>AERSPRAY FRESHLUSHGREEN 220ml M99P24</v>
          </cell>
          <cell r="D3968">
            <v>0</v>
          </cell>
          <cell r="E3968">
            <v>0</v>
          </cell>
          <cell r="F3968">
            <v>0</v>
          </cell>
        </row>
        <row r="3969">
          <cell r="B3969">
            <v>40056469</v>
          </cell>
          <cell r="C3969" t="str">
            <v>AER SPRAY FRESHLUSHGREEN220ML M99P24NEW</v>
          </cell>
          <cell r="D3969">
            <v>0</v>
          </cell>
          <cell r="E3969">
            <v>0</v>
          </cell>
          <cell r="F3969">
            <v>0</v>
          </cell>
        </row>
        <row r="3970">
          <cell r="B3970">
            <v>40057332</v>
          </cell>
          <cell r="C3970" t="str">
            <v>AER SPRAY FOREST FRESH 220ML M99P24</v>
          </cell>
          <cell r="D3970">
            <v>0</v>
          </cell>
          <cell r="E3970">
            <v>0</v>
          </cell>
          <cell r="F3970">
            <v>0</v>
          </cell>
        </row>
        <row r="3971">
          <cell r="B3971">
            <v>40059503</v>
          </cell>
          <cell r="C3971" t="str">
            <v>AER SPRAY FOREST FRESH 220ML M99P24</v>
          </cell>
          <cell r="D3971">
            <v>0</v>
          </cell>
          <cell r="E3971">
            <v>0</v>
          </cell>
          <cell r="F3971">
            <v>0</v>
          </cell>
        </row>
        <row r="3972">
          <cell r="B3972">
            <v>40059738</v>
          </cell>
          <cell r="C3972" t="str">
            <v>AER SPRAY FOREST FRESH 200ML M99P24</v>
          </cell>
          <cell r="D3972">
            <v>0</v>
          </cell>
          <cell r="E3972">
            <v>0</v>
          </cell>
          <cell r="F3972">
            <v>0</v>
          </cell>
        </row>
        <row r="3973">
          <cell r="B3973">
            <v>40035370</v>
          </cell>
          <cell r="C3973" t="str">
            <v>AER SPRAY FRESHLUSH GREEN 220ml M169P24</v>
          </cell>
          <cell r="D3973">
            <v>0</v>
          </cell>
          <cell r="E3973">
            <v>0</v>
          </cell>
          <cell r="F3973">
            <v>0</v>
          </cell>
        </row>
        <row r="3974">
          <cell r="B3974">
            <v>40035406</v>
          </cell>
          <cell r="C3974" t="str">
            <v>AER SPRAY FRESHLUSH GREEN 240ml M169P24</v>
          </cell>
          <cell r="D3974">
            <v>0</v>
          </cell>
          <cell r="E3974">
            <v>0</v>
          </cell>
          <cell r="F3974">
            <v>0</v>
          </cell>
        </row>
        <row r="3975">
          <cell r="B3975">
            <v>40032844</v>
          </cell>
          <cell r="C3975" t="str">
            <v>AER SPRAY MORNINGMISTY 240ml M150P24</v>
          </cell>
          <cell r="D3975">
            <v>0</v>
          </cell>
          <cell r="E3975">
            <v>0</v>
          </cell>
          <cell r="F3975">
            <v>0</v>
          </cell>
        </row>
        <row r="3976">
          <cell r="B3976">
            <v>40034255</v>
          </cell>
          <cell r="C3976" t="str">
            <v>AER SPRAY MORNINGMISTY 240ml M155P24</v>
          </cell>
          <cell r="D3976">
            <v>0</v>
          </cell>
          <cell r="E3976">
            <v>0</v>
          </cell>
          <cell r="F3976">
            <v>0</v>
          </cell>
        </row>
        <row r="3977">
          <cell r="B3977">
            <v>40039311</v>
          </cell>
          <cell r="C3977" t="str">
            <v>AER SPRAY MORNINGMISTY 220ml M115P24</v>
          </cell>
          <cell r="D3977">
            <v>0</v>
          </cell>
          <cell r="E3977">
            <v>0</v>
          </cell>
          <cell r="F3977">
            <v>0</v>
          </cell>
        </row>
        <row r="3978">
          <cell r="B3978">
            <v>40049735</v>
          </cell>
          <cell r="C3978" t="str">
            <v>AER SPRAY MORNINGMISTY 220ml M99P24</v>
          </cell>
          <cell r="D3978">
            <v>0</v>
          </cell>
          <cell r="E3978">
            <v>0</v>
          </cell>
          <cell r="F3978">
            <v>0</v>
          </cell>
        </row>
        <row r="3979">
          <cell r="B3979">
            <v>40056478</v>
          </cell>
          <cell r="C3979" t="str">
            <v>AER SPRAY MORNINGMISTY 220ML M99P24 NEW</v>
          </cell>
          <cell r="D3979">
            <v>0</v>
          </cell>
          <cell r="E3979">
            <v>0</v>
          </cell>
          <cell r="F3979">
            <v>0</v>
          </cell>
        </row>
        <row r="3980">
          <cell r="B3980">
            <v>40057335</v>
          </cell>
          <cell r="C3980" t="str">
            <v>AER SPRAY JASMINEDELIGHT 220ML M99P24</v>
          </cell>
          <cell r="D3980">
            <v>0</v>
          </cell>
          <cell r="E3980">
            <v>0</v>
          </cell>
          <cell r="F3980">
            <v>0</v>
          </cell>
        </row>
        <row r="3981">
          <cell r="B3981">
            <v>40035359</v>
          </cell>
          <cell r="C3981" t="str">
            <v>AER SPRAY MORNINGMISTY 220ml M169P24</v>
          </cell>
          <cell r="D3981">
            <v>0</v>
          </cell>
          <cell r="E3981">
            <v>0</v>
          </cell>
          <cell r="F3981">
            <v>0</v>
          </cell>
        </row>
        <row r="3982">
          <cell r="B3982">
            <v>40035387</v>
          </cell>
          <cell r="C3982" t="str">
            <v>AER SPRAY MORNINGMISTY 240ml M169P24</v>
          </cell>
          <cell r="D3982">
            <v>0</v>
          </cell>
          <cell r="E3982">
            <v>0</v>
          </cell>
          <cell r="F3982">
            <v>0</v>
          </cell>
        </row>
        <row r="3983">
          <cell r="B3983">
            <v>40016031</v>
          </cell>
          <cell r="C3983" t="str">
            <v>AER SPRAY PETAL CRUSH PINK P24 M140</v>
          </cell>
          <cell r="D3983">
            <v>0</v>
          </cell>
          <cell r="E3983">
            <v>0</v>
          </cell>
          <cell r="F3983">
            <v>0</v>
          </cell>
        </row>
        <row r="3984">
          <cell r="B3984">
            <v>40034266</v>
          </cell>
          <cell r="C3984" t="str">
            <v>AER SPRAY PETALCRUSH PINK 240ml M155P24</v>
          </cell>
          <cell r="D3984">
            <v>0</v>
          </cell>
          <cell r="E3984">
            <v>0</v>
          </cell>
          <cell r="F3984">
            <v>0</v>
          </cell>
        </row>
        <row r="3985">
          <cell r="B3985">
            <v>40049718</v>
          </cell>
          <cell r="C3985" t="str">
            <v>AER SPRAY PETALCRUSH PINK 220ml M99P24</v>
          </cell>
          <cell r="D3985">
            <v>0</v>
          </cell>
          <cell r="E3985">
            <v>0</v>
          </cell>
          <cell r="F3985">
            <v>0</v>
          </cell>
        </row>
        <row r="3986">
          <cell r="B3986">
            <v>40056468</v>
          </cell>
          <cell r="C3986" t="str">
            <v>AER SPRAY PETALCRUSHPINK220ML M99P24NEW</v>
          </cell>
          <cell r="D3986">
            <v>0</v>
          </cell>
          <cell r="E3986">
            <v>0</v>
          </cell>
          <cell r="F3986">
            <v>0</v>
          </cell>
        </row>
        <row r="3987">
          <cell r="B3987">
            <v>40057314</v>
          </cell>
          <cell r="C3987" t="str">
            <v>AER SPRAY ROSEBLOSSOM 220ML M99P24</v>
          </cell>
          <cell r="D3987">
            <v>0</v>
          </cell>
          <cell r="E3987">
            <v>0</v>
          </cell>
          <cell r="F3987">
            <v>0</v>
          </cell>
        </row>
        <row r="3988">
          <cell r="B3988">
            <v>40059460</v>
          </cell>
          <cell r="C3988" t="str">
            <v>AER SPRAY ROSEBLOSSOM 220ML M99P24 NEW</v>
          </cell>
          <cell r="D3988">
            <v>0</v>
          </cell>
          <cell r="E3988">
            <v>0</v>
          </cell>
          <cell r="F3988">
            <v>0</v>
          </cell>
        </row>
        <row r="3989">
          <cell r="B3989">
            <v>40059737</v>
          </cell>
          <cell r="C3989" t="str">
            <v>AER SPRAY ROSEBLOSSOM 200ML M99P24</v>
          </cell>
          <cell r="D3989">
            <v>0</v>
          </cell>
          <cell r="E3989">
            <v>0</v>
          </cell>
          <cell r="F3989">
            <v>0</v>
          </cell>
        </row>
        <row r="3990">
          <cell r="B3990">
            <v>40035354</v>
          </cell>
          <cell r="C3990" t="str">
            <v>AER SPRAY PETALCRUSH PINK 220ml M169P24</v>
          </cell>
          <cell r="D3990">
            <v>0</v>
          </cell>
          <cell r="E3990">
            <v>0</v>
          </cell>
          <cell r="F3990">
            <v>0</v>
          </cell>
        </row>
        <row r="3991">
          <cell r="B3991">
            <v>40056986</v>
          </cell>
          <cell r="C3991" t="str">
            <v>AER SPRAY MONSOON REFRESH 220ML M99P24</v>
          </cell>
          <cell r="D3991">
            <v>0</v>
          </cell>
          <cell r="E3991">
            <v>0</v>
          </cell>
          <cell r="F3991">
            <v>0</v>
          </cell>
        </row>
        <row r="3992">
          <cell r="B3992">
            <v>40059576</v>
          </cell>
          <cell r="C3992" t="str">
            <v>AER SPRAY SANDAL BLISS 220ML M99P24</v>
          </cell>
          <cell r="D3992">
            <v>0</v>
          </cell>
          <cell r="E3992">
            <v>0</v>
          </cell>
          <cell r="F3992">
            <v>0</v>
          </cell>
        </row>
        <row r="3993">
          <cell r="B3993">
            <v>40060207</v>
          </cell>
          <cell r="C3993" t="str">
            <v>AER SPRAY SANDAL BLISS 200ML M99P24</v>
          </cell>
          <cell r="D3993">
            <v>0</v>
          </cell>
          <cell r="E3993">
            <v>0</v>
          </cell>
          <cell r="F3993">
            <v>0</v>
          </cell>
        </row>
        <row r="3994">
          <cell r="B3994">
            <v>40032849</v>
          </cell>
          <cell r="C3994" t="str">
            <v>AER SPRAY MUSKAFTER SMOKE 240ml M150P24</v>
          </cell>
          <cell r="D3994">
            <v>0</v>
          </cell>
          <cell r="E3994">
            <v>0</v>
          </cell>
          <cell r="F3994">
            <v>0</v>
          </cell>
        </row>
        <row r="3995">
          <cell r="B3995">
            <v>40057333</v>
          </cell>
          <cell r="C3995" t="str">
            <v>AER SPRAY MYSTIC MUSK 220ML M99P24</v>
          </cell>
          <cell r="D3995">
            <v>0</v>
          </cell>
          <cell r="E3995">
            <v>0</v>
          </cell>
          <cell r="F3995">
            <v>0</v>
          </cell>
        </row>
        <row r="3996">
          <cell r="B3996">
            <v>40059735</v>
          </cell>
          <cell r="C3996" t="str">
            <v>AER SPRAY MYSTIC MUSK 200ML M99P24</v>
          </cell>
          <cell r="D3996">
            <v>0</v>
          </cell>
          <cell r="E3996">
            <v>0</v>
          </cell>
          <cell r="F3996">
            <v>0</v>
          </cell>
        </row>
        <row r="3997">
          <cell r="B3997">
            <v>40035360</v>
          </cell>
          <cell r="C3997" t="str">
            <v>AER SPRAY MUSKAFTER SMOKE 220ml M169P24</v>
          </cell>
          <cell r="D3997">
            <v>0</v>
          </cell>
          <cell r="E3997">
            <v>0</v>
          </cell>
          <cell r="F3997">
            <v>0</v>
          </cell>
        </row>
        <row r="3998">
          <cell r="B3998">
            <v>40035398</v>
          </cell>
          <cell r="C3998" t="str">
            <v>AER SPRAY MUSKAFTER SMOKE 240ml M169P24</v>
          </cell>
          <cell r="D3998">
            <v>0</v>
          </cell>
          <cell r="E3998">
            <v>0</v>
          </cell>
          <cell r="F3998">
            <v>0</v>
          </cell>
        </row>
        <row r="3999">
          <cell r="B3999">
            <v>40029711</v>
          </cell>
          <cell r="C3999" t="str">
            <v>AerFabricSanitizerBlue 225mlM199P24</v>
          </cell>
          <cell r="D3999">
            <v>0</v>
          </cell>
          <cell r="E3999">
            <v>0</v>
          </cell>
          <cell r="F3999">
            <v>0</v>
          </cell>
        </row>
        <row r="4000">
          <cell r="B4000">
            <v>40035352</v>
          </cell>
          <cell r="C4000" t="str">
            <v>AER SPRAY PREMIUM PASSION M199P24 220ml</v>
          </cell>
          <cell r="D4000">
            <v>0</v>
          </cell>
          <cell r="E4000">
            <v>0</v>
          </cell>
          <cell r="F4000">
            <v>0</v>
          </cell>
        </row>
        <row r="4001">
          <cell r="B4001">
            <v>40062219</v>
          </cell>
          <cell r="C4001" t="str">
            <v>AER SPRAY PREMIUM PASSION M149P24 220ML</v>
          </cell>
          <cell r="D4001">
            <v>0</v>
          </cell>
          <cell r="E4001">
            <v>0</v>
          </cell>
          <cell r="F4001">
            <v>0</v>
          </cell>
        </row>
        <row r="4002">
          <cell r="B4002">
            <v>40064663</v>
          </cell>
          <cell r="C4002" t="str">
            <v>AER SPRAY PRM PASSION M149P24 220ML HRM</v>
          </cell>
          <cell r="D4002">
            <v>0</v>
          </cell>
          <cell r="E4002">
            <v>0</v>
          </cell>
          <cell r="F4002">
            <v>0</v>
          </cell>
        </row>
        <row r="4003">
          <cell r="B4003">
            <v>40035369</v>
          </cell>
          <cell r="C4003" t="str">
            <v>AER SPRAY PREMIUM RELAX M199P24 220ml</v>
          </cell>
          <cell r="D4003">
            <v>0</v>
          </cell>
          <cell r="E4003">
            <v>0</v>
          </cell>
          <cell r="F4003">
            <v>0</v>
          </cell>
        </row>
        <row r="4004">
          <cell r="B4004">
            <v>40035386</v>
          </cell>
          <cell r="C4004" t="str">
            <v>AER SPRAY PREMIUM RELAX M199P24 240ml</v>
          </cell>
          <cell r="D4004">
            <v>0</v>
          </cell>
          <cell r="E4004">
            <v>0</v>
          </cell>
          <cell r="F4004">
            <v>0</v>
          </cell>
        </row>
        <row r="4005">
          <cell r="B4005">
            <v>40027127</v>
          </cell>
          <cell r="C4005" t="str">
            <v>AER SPRAY VIOLET VALLEY 240ml M149P24</v>
          </cell>
          <cell r="D4005">
            <v>0</v>
          </cell>
          <cell r="E4005">
            <v>0</v>
          </cell>
          <cell r="F4005">
            <v>0</v>
          </cell>
        </row>
        <row r="4006">
          <cell r="B4006">
            <v>40034251</v>
          </cell>
          <cell r="C4006" t="str">
            <v>AER SPRAY VIOLET VALLEY 240ml M155P24</v>
          </cell>
          <cell r="D4006">
            <v>0</v>
          </cell>
          <cell r="E4006">
            <v>0</v>
          </cell>
          <cell r="F4006">
            <v>0</v>
          </cell>
        </row>
        <row r="4007">
          <cell r="B4007">
            <v>40056472</v>
          </cell>
          <cell r="C4007" t="str">
            <v>AER SPRAY VIOLETVALLEY 220ML M99P24 NEW</v>
          </cell>
          <cell r="D4007">
            <v>0</v>
          </cell>
          <cell r="E4007">
            <v>0</v>
          </cell>
          <cell r="F4007">
            <v>0</v>
          </cell>
        </row>
        <row r="4008">
          <cell r="B4008">
            <v>40057331</v>
          </cell>
          <cell r="C4008" t="str">
            <v>AER SPRAY LAVENDERBLOOM 220ML M99P24</v>
          </cell>
          <cell r="D4008">
            <v>0</v>
          </cell>
          <cell r="E4008">
            <v>0</v>
          </cell>
          <cell r="F4008">
            <v>0</v>
          </cell>
        </row>
        <row r="4009">
          <cell r="B4009">
            <v>40059463</v>
          </cell>
          <cell r="C4009" t="str">
            <v>AER SPRAY LAVENDERBLOOM 220ML M99P24 NEW</v>
          </cell>
          <cell r="D4009">
            <v>0</v>
          </cell>
          <cell r="E4009">
            <v>0</v>
          </cell>
          <cell r="F4009">
            <v>0</v>
          </cell>
        </row>
        <row r="4010">
          <cell r="B4010">
            <v>40035353</v>
          </cell>
          <cell r="C4010" t="str">
            <v>AER SPRAY VIOLET VALLEY 220ml M169P24</v>
          </cell>
          <cell r="D4010">
            <v>0</v>
          </cell>
          <cell r="E4010">
            <v>0</v>
          </cell>
          <cell r="F4010">
            <v>0</v>
          </cell>
        </row>
        <row r="4011">
          <cell r="B4011">
            <v>40035405</v>
          </cell>
          <cell r="C4011" t="str">
            <v>AER SPRAY VIOLET VALLEY 240ml M169P24</v>
          </cell>
          <cell r="D4011">
            <v>0</v>
          </cell>
          <cell r="E4011">
            <v>0</v>
          </cell>
          <cell r="F4011">
            <v>0</v>
          </cell>
        </row>
        <row r="4012">
          <cell r="B4012">
            <v>40028951</v>
          </cell>
          <cell r="C4012" t="str">
            <v>AER TWIST COOL SURF BLUE 45g M379P15</v>
          </cell>
          <cell r="D4012">
            <v>0</v>
          </cell>
          <cell r="E4012">
            <v>0</v>
          </cell>
          <cell r="F4012">
            <v>0</v>
          </cell>
        </row>
        <row r="4013">
          <cell r="B4013">
            <v>40035296</v>
          </cell>
          <cell r="C4013" t="str">
            <v>AER TWIST COOL SURFBLUE(NEW REDU)M399P15</v>
          </cell>
          <cell r="D4013">
            <v>0</v>
          </cell>
          <cell r="E4013">
            <v>0</v>
          </cell>
          <cell r="F4013">
            <v>0</v>
          </cell>
        </row>
        <row r="4014">
          <cell r="B4014">
            <v>40041189</v>
          </cell>
          <cell r="C4014" t="str">
            <v>AER TWIST COOL SURF BLUE 45g M425P15</v>
          </cell>
          <cell r="D4014">
            <v>0</v>
          </cell>
          <cell r="E4014">
            <v>0</v>
          </cell>
          <cell r="F4014">
            <v>0</v>
          </cell>
        </row>
        <row r="4015">
          <cell r="B4015">
            <v>40050744</v>
          </cell>
          <cell r="C4015" t="str">
            <v>AER TWIST COOL SURF BLUE 45G M325P15 PP</v>
          </cell>
          <cell r="D4015">
            <v>0</v>
          </cell>
          <cell r="E4015">
            <v>0</v>
          </cell>
          <cell r="F4015">
            <v>0</v>
          </cell>
        </row>
        <row r="4016">
          <cell r="B4016">
            <v>40060087</v>
          </cell>
          <cell r="C4016" t="str">
            <v>AER TWIST COOL SURF BLUE 45G M425P15 NEW</v>
          </cell>
          <cell r="D4016">
            <v>0</v>
          </cell>
          <cell r="E4016">
            <v>0</v>
          </cell>
          <cell r="F4016">
            <v>0</v>
          </cell>
        </row>
        <row r="4017">
          <cell r="B4017">
            <v>40064085</v>
          </cell>
          <cell r="C4017" t="str">
            <v>AER TWIST COOL SURF BLUE 45G M425P15 RM</v>
          </cell>
          <cell r="D4017">
            <v>0</v>
          </cell>
          <cell r="E4017">
            <v>0</v>
          </cell>
          <cell r="F4017">
            <v>0</v>
          </cell>
        </row>
        <row r="4018">
          <cell r="B4018">
            <v>40066218</v>
          </cell>
          <cell r="C4018" t="str">
            <v>AER TWIST COOL SURF BLUE 45g M425P15 GT</v>
          </cell>
          <cell r="D4018">
            <v>0</v>
          </cell>
          <cell r="E4018">
            <v>0</v>
          </cell>
          <cell r="F4018">
            <v>0</v>
          </cell>
        </row>
        <row r="4019">
          <cell r="B4019">
            <v>40042552</v>
          </cell>
          <cell r="C4019" t="str">
            <v>AER TWIST COOL SURFBLUE M425P12 MRT(RA)</v>
          </cell>
          <cell r="D4019">
            <v>0</v>
          </cell>
          <cell r="E4019">
            <v>0</v>
          </cell>
          <cell r="F4019">
            <v>0</v>
          </cell>
        </row>
        <row r="4020">
          <cell r="B4020">
            <v>40017422</v>
          </cell>
          <cell r="C4020" t="str">
            <v>Aer Twist Bright Tangy(REDUCED)P12M379</v>
          </cell>
          <cell r="D4020">
            <v>0</v>
          </cell>
          <cell r="E4020">
            <v>0</v>
          </cell>
          <cell r="F4020">
            <v>0</v>
          </cell>
        </row>
        <row r="4021">
          <cell r="B4021">
            <v>40035281</v>
          </cell>
          <cell r="C4021" t="str">
            <v>Aer Twist BrightTangy M399P15</v>
          </cell>
          <cell r="D4021">
            <v>0</v>
          </cell>
          <cell r="E4021">
            <v>0</v>
          </cell>
          <cell r="F4021">
            <v>0</v>
          </cell>
        </row>
        <row r="4022">
          <cell r="B4022">
            <v>40039567</v>
          </cell>
          <cell r="C4022" t="str">
            <v>AER TWIST BRGT TANGY DEL 45g M425P15</v>
          </cell>
          <cell r="D4022">
            <v>0</v>
          </cell>
          <cell r="E4022">
            <v>0</v>
          </cell>
          <cell r="F4022">
            <v>0</v>
          </cell>
        </row>
        <row r="4023">
          <cell r="B4023">
            <v>40041182</v>
          </cell>
          <cell r="C4023" t="str">
            <v>AER TWIST FRSH FOR DRIZZ 45g M425P15</v>
          </cell>
          <cell r="D4023">
            <v>0</v>
          </cell>
          <cell r="E4023">
            <v>0</v>
          </cell>
          <cell r="F4023">
            <v>0</v>
          </cell>
        </row>
        <row r="4024">
          <cell r="B4024">
            <v>40028952</v>
          </cell>
          <cell r="C4024" t="str">
            <v>AER TWIST FRESH LUSH GREEN 45g M379P15</v>
          </cell>
          <cell r="D4024">
            <v>0</v>
          </cell>
          <cell r="E4024">
            <v>0</v>
          </cell>
          <cell r="F4024">
            <v>0</v>
          </cell>
        </row>
        <row r="4025">
          <cell r="B4025">
            <v>40036283</v>
          </cell>
          <cell r="C4025" t="str">
            <v>AerTwist Gel CarFr LuhGrn 45gM399P24 CSD</v>
          </cell>
          <cell r="D4025">
            <v>0</v>
          </cell>
          <cell r="E4025">
            <v>0</v>
          </cell>
          <cell r="F4025">
            <v>0</v>
          </cell>
        </row>
        <row r="4026">
          <cell r="B4026">
            <v>40039568</v>
          </cell>
          <cell r="C4026" t="str">
            <v>AER TWIST FRESH LUSH GRN 45g M425P15</v>
          </cell>
          <cell r="D4026">
            <v>0</v>
          </cell>
          <cell r="E4026">
            <v>0</v>
          </cell>
          <cell r="F4026">
            <v>0</v>
          </cell>
        </row>
        <row r="4027">
          <cell r="B4027">
            <v>40041814</v>
          </cell>
          <cell r="C4027" t="str">
            <v>AerTwist Gel CarFr LuhGrn45gM425P15 CSD</v>
          </cell>
          <cell r="D4027">
            <v>0</v>
          </cell>
          <cell r="E4027">
            <v>0</v>
          </cell>
          <cell r="F4027">
            <v>0</v>
          </cell>
        </row>
        <row r="4028">
          <cell r="B4028">
            <v>40060079</v>
          </cell>
          <cell r="C4028" t="str">
            <v>AER TWIST FRESH LUSH GRN 45G M425P15 NEW</v>
          </cell>
          <cell r="D4028">
            <v>0</v>
          </cell>
          <cell r="E4028">
            <v>0</v>
          </cell>
          <cell r="F4028">
            <v>0</v>
          </cell>
        </row>
        <row r="4029">
          <cell r="B4029">
            <v>40064083</v>
          </cell>
          <cell r="C4029" t="str">
            <v>AER TWIST FRESH LUSH GRN 45G M425P15 RM</v>
          </cell>
          <cell r="D4029">
            <v>0</v>
          </cell>
          <cell r="E4029">
            <v>0</v>
          </cell>
          <cell r="F4029">
            <v>0</v>
          </cell>
        </row>
        <row r="4030">
          <cell r="B4030">
            <v>40066216</v>
          </cell>
          <cell r="C4030" t="str">
            <v>AER TWIST FRESH LUSH GRN 45g M425P15 GT</v>
          </cell>
          <cell r="D4030">
            <v>0</v>
          </cell>
          <cell r="E4030">
            <v>0</v>
          </cell>
          <cell r="F4030">
            <v>0</v>
          </cell>
        </row>
        <row r="4031">
          <cell r="B4031">
            <v>40042553</v>
          </cell>
          <cell r="C4031" t="str">
            <v>AER TWIST FRESH LUSHGRN M425P12 MRT(RA)</v>
          </cell>
          <cell r="D4031">
            <v>0</v>
          </cell>
          <cell r="E4031">
            <v>0</v>
          </cell>
          <cell r="F4031">
            <v>0</v>
          </cell>
        </row>
        <row r="4032">
          <cell r="B4032">
            <v>40028954</v>
          </cell>
          <cell r="C4032" t="str">
            <v>AER TWIST PET CRUSH PINK 45g M379P15</v>
          </cell>
          <cell r="D4032">
            <v>0</v>
          </cell>
          <cell r="E4032">
            <v>0</v>
          </cell>
          <cell r="F4032">
            <v>0</v>
          </cell>
        </row>
        <row r="4033">
          <cell r="B4033">
            <v>40041188</v>
          </cell>
          <cell r="C4033" t="str">
            <v>AER TWIST PET CRUSH PINK 45g M425P15</v>
          </cell>
          <cell r="D4033">
            <v>0</v>
          </cell>
          <cell r="E4033">
            <v>0</v>
          </cell>
          <cell r="F4033">
            <v>0</v>
          </cell>
        </row>
        <row r="4034">
          <cell r="B4034">
            <v>40041825</v>
          </cell>
          <cell r="C4034" t="str">
            <v>Aer Twist Gel CarF PetCrsh CSD45gM425P15</v>
          </cell>
          <cell r="D4034">
            <v>0</v>
          </cell>
          <cell r="E4034">
            <v>0</v>
          </cell>
          <cell r="F4034">
            <v>0</v>
          </cell>
        </row>
        <row r="4035">
          <cell r="B4035">
            <v>40064086</v>
          </cell>
          <cell r="C4035" t="str">
            <v>AER TWIST PET CRUSH PINK 45G M425P15 RM</v>
          </cell>
          <cell r="D4035">
            <v>0</v>
          </cell>
          <cell r="E4035">
            <v>0</v>
          </cell>
          <cell r="F4035">
            <v>0</v>
          </cell>
        </row>
        <row r="4036">
          <cell r="B4036">
            <v>40066219</v>
          </cell>
          <cell r="C4036" t="str">
            <v>AER TWIST PET CRUSH PINK 45g M425P15 GT</v>
          </cell>
          <cell r="D4036">
            <v>0</v>
          </cell>
          <cell r="E4036">
            <v>0</v>
          </cell>
          <cell r="F4036">
            <v>0</v>
          </cell>
        </row>
        <row r="4037">
          <cell r="B4037">
            <v>40042588</v>
          </cell>
          <cell r="C4037" t="str">
            <v>AER TWIST PETALCRUSHPNK M425P12 MRT(RA)</v>
          </cell>
          <cell r="D4037">
            <v>0</v>
          </cell>
          <cell r="E4037">
            <v>0</v>
          </cell>
          <cell r="F4037">
            <v>0</v>
          </cell>
        </row>
        <row r="4038">
          <cell r="B4038">
            <v>40035284</v>
          </cell>
          <cell r="C4038" t="str">
            <v>AER TWIST RichIrishCktl(NEW REDU)M399P15</v>
          </cell>
          <cell r="D4038">
            <v>0</v>
          </cell>
          <cell r="E4038">
            <v>0</v>
          </cell>
          <cell r="F4038">
            <v>0</v>
          </cell>
        </row>
        <row r="4039">
          <cell r="B4039">
            <v>40041190</v>
          </cell>
          <cell r="C4039" t="str">
            <v>AER TWIST SUNY CIT BLAST 45g M425P15</v>
          </cell>
          <cell r="D4039">
            <v>0</v>
          </cell>
          <cell r="E4039">
            <v>0</v>
          </cell>
          <cell r="F4039">
            <v>0</v>
          </cell>
        </row>
        <row r="4040">
          <cell r="B4040">
            <v>40017592</v>
          </cell>
          <cell r="C4040" t="str">
            <v>AER TWIST MUSK AFTER SMK(REDUCED)M379P12</v>
          </cell>
          <cell r="D4040">
            <v>0</v>
          </cell>
          <cell r="E4040">
            <v>0</v>
          </cell>
          <cell r="F4040">
            <v>0</v>
          </cell>
        </row>
        <row r="4041">
          <cell r="B4041">
            <v>40035305</v>
          </cell>
          <cell r="C4041" t="str">
            <v>AER TWIST MUSK AFTERSMK(NEW REDU)M399P15</v>
          </cell>
          <cell r="D4041">
            <v>0</v>
          </cell>
          <cell r="E4041">
            <v>0</v>
          </cell>
          <cell r="F4041">
            <v>0</v>
          </cell>
        </row>
        <row r="4042">
          <cell r="B4042">
            <v>40041813</v>
          </cell>
          <cell r="C4042" t="str">
            <v>AerTwist Gel CarFr Msk CSD 45g M425P15</v>
          </cell>
          <cell r="D4042">
            <v>0</v>
          </cell>
          <cell r="E4042">
            <v>0</v>
          </cell>
          <cell r="F4042">
            <v>0</v>
          </cell>
        </row>
        <row r="4043">
          <cell r="B4043">
            <v>40064084</v>
          </cell>
          <cell r="C4043" t="str">
            <v>AER TWIST MUSK AFTER SMK 45G M425P15 RM</v>
          </cell>
          <cell r="D4043">
            <v>0</v>
          </cell>
          <cell r="E4043">
            <v>0</v>
          </cell>
          <cell r="F4043">
            <v>0</v>
          </cell>
        </row>
        <row r="4044">
          <cell r="B4044">
            <v>40066231</v>
          </cell>
          <cell r="C4044" t="str">
            <v>AER TWIST MUSK AFTER SMK 45g M425P15 GT</v>
          </cell>
          <cell r="D4044">
            <v>0</v>
          </cell>
          <cell r="E4044">
            <v>0</v>
          </cell>
          <cell r="F4044">
            <v>0</v>
          </cell>
        </row>
        <row r="4045">
          <cell r="B4045">
            <v>40042586</v>
          </cell>
          <cell r="C4045" t="str">
            <v>AER TWIST MUSK AFTERSMK M425P12 MRT(RA)</v>
          </cell>
          <cell r="D4045">
            <v>0</v>
          </cell>
          <cell r="E4045">
            <v>0</v>
          </cell>
          <cell r="F4045">
            <v>0</v>
          </cell>
        </row>
        <row r="4046">
          <cell r="B4046">
            <v>40041007</v>
          </cell>
          <cell r="C4046" t="str">
            <v>PRM Room Frsnr Jasmin 125g B2G1 M350P12</v>
          </cell>
          <cell r="D4046">
            <v>0</v>
          </cell>
          <cell r="E4046">
            <v>0</v>
          </cell>
          <cell r="F4046">
            <v>0</v>
          </cell>
        </row>
        <row r="4047">
          <cell r="B4047">
            <v>40056700</v>
          </cell>
          <cell r="C4047" t="str">
            <v>PRMROOMFRSNRJASMIN125GB2G1M350P12LIQ</v>
          </cell>
          <cell r="D4047">
            <v>0</v>
          </cell>
          <cell r="E4047">
            <v>0</v>
          </cell>
          <cell r="F4047">
            <v>0</v>
          </cell>
        </row>
        <row r="4048">
          <cell r="B4048">
            <v>40041012</v>
          </cell>
          <cell r="C4048" t="str">
            <v>PRM Room Frsnr Jasmin 125g MRP175P36</v>
          </cell>
          <cell r="D4048">
            <v>0</v>
          </cell>
          <cell r="E4048">
            <v>0</v>
          </cell>
          <cell r="F4048">
            <v>0</v>
          </cell>
        </row>
        <row r="4049">
          <cell r="B4049">
            <v>40056727</v>
          </cell>
          <cell r="C4049" t="str">
            <v>PRM ROOM FRSNR JASMIN 125GM175P36LIQ</v>
          </cell>
          <cell r="D4049">
            <v>0</v>
          </cell>
          <cell r="E4049">
            <v>0</v>
          </cell>
          <cell r="F4049">
            <v>0</v>
          </cell>
        </row>
        <row r="4050">
          <cell r="B4050">
            <v>40041010</v>
          </cell>
          <cell r="C4050" t="str">
            <v>PRM Room Frsnr Lemon 125g B2G1 MRP350P12</v>
          </cell>
          <cell r="D4050">
            <v>0</v>
          </cell>
          <cell r="E4050">
            <v>0</v>
          </cell>
          <cell r="F4050">
            <v>0</v>
          </cell>
        </row>
        <row r="4051">
          <cell r="B4051">
            <v>40041008</v>
          </cell>
          <cell r="C4051" t="str">
            <v>PRM Room Frsnr Lavndr 125g B2G1 M350P12</v>
          </cell>
          <cell r="D4051">
            <v>0</v>
          </cell>
          <cell r="E4051">
            <v>0</v>
          </cell>
          <cell r="F4051">
            <v>0</v>
          </cell>
        </row>
        <row r="4052">
          <cell r="B4052">
            <v>40041013</v>
          </cell>
          <cell r="C4052" t="str">
            <v>PRM Room Frsnr Lavndr 125g MRP175P36</v>
          </cell>
          <cell r="D4052">
            <v>0</v>
          </cell>
          <cell r="E4052">
            <v>0</v>
          </cell>
          <cell r="F4052">
            <v>0</v>
          </cell>
        </row>
        <row r="4053">
          <cell r="B4053">
            <v>40056710</v>
          </cell>
          <cell r="C4053" t="str">
            <v>PRM ROOM FRSNR LAVNDR 125G M175P36LIQ</v>
          </cell>
          <cell r="D4053">
            <v>0</v>
          </cell>
          <cell r="E4053">
            <v>0</v>
          </cell>
          <cell r="F4053">
            <v>0</v>
          </cell>
        </row>
        <row r="4054">
          <cell r="B4054">
            <v>40041011</v>
          </cell>
          <cell r="C4054" t="str">
            <v>PRM Room Frsnr Rajni 125g B2G1 MRP350P12</v>
          </cell>
          <cell r="D4054">
            <v>0</v>
          </cell>
          <cell r="E4054">
            <v>0</v>
          </cell>
          <cell r="F4054">
            <v>0</v>
          </cell>
        </row>
        <row r="4055">
          <cell r="B4055">
            <v>40041006</v>
          </cell>
          <cell r="C4055" t="str">
            <v>PRM Room Frsnr Rose 125g B2G1 MRP350P12</v>
          </cell>
          <cell r="D4055">
            <v>0</v>
          </cell>
          <cell r="E4055">
            <v>0</v>
          </cell>
          <cell r="F4055">
            <v>0</v>
          </cell>
        </row>
        <row r="4056">
          <cell r="B4056">
            <v>40056701</v>
          </cell>
          <cell r="C4056" t="str">
            <v>PRMROOMFRSNRROSE125GB2G1M350P12LIQ</v>
          </cell>
          <cell r="D4056">
            <v>0</v>
          </cell>
          <cell r="E4056">
            <v>0</v>
          </cell>
          <cell r="F4056">
            <v>0</v>
          </cell>
        </row>
        <row r="4057">
          <cell r="B4057">
            <v>40041015</v>
          </cell>
          <cell r="C4057" t="str">
            <v>PRM Room Frsnr Rajni 125g MRP175P36</v>
          </cell>
          <cell r="D4057">
            <v>0</v>
          </cell>
          <cell r="E4057">
            <v>0</v>
          </cell>
          <cell r="F4057">
            <v>0</v>
          </cell>
        </row>
        <row r="4058">
          <cell r="B4058">
            <v>40041016</v>
          </cell>
          <cell r="C4058" t="str">
            <v>PRM Room Frsnr Rose 125g MRP175P36</v>
          </cell>
          <cell r="D4058">
            <v>0</v>
          </cell>
          <cell r="E4058">
            <v>0</v>
          </cell>
          <cell r="F4058">
            <v>0</v>
          </cell>
        </row>
        <row r="4059">
          <cell r="B4059">
            <v>40041009</v>
          </cell>
          <cell r="C4059" t="str">
            <v>PRM Room Frsnr Sandal 125g B2G1 M350P12</v>
          </cell>
          <cell r="D4059">
            <v>0</v>
          </cell>
          <cell r="E4059">
            <v>0</v>
          </cell>
          <cell r="F4059">
            <v>0</v>
          </cell>
        </row>
        <row r="4060">
          <cell r="B4060">
            <v>40040647</v>
          </cell>
          <cell r="C4060" t="str">
            <v>PRM AIR FRAGRANCE Sandal 125g MRP149P36</v>
          </cell>
          <cell r="D4060">
            <v>0</v>
          </cell>
          <cell r="E4060">
            <v>0</v>
          </cell>
          <cell r="F4060">
            <v>0</v>
          </cell>
        </row>
        <row r="4061">
          <cell r="B4061">
            <v>40041017</v>
          </cell>
          <cell r="C4061" t="str">
            <v>PRM Room Frsnr Sandal 125g CSD MRP175P36</v>
          </cell>
          <cell r="D4061">
            <v>0</v>
          </cell>
          <cell r="E4061">
            <v>0</v>
          </cell>
          <cell r="F4061">
            <v>0</v>
          </cell>
        </row>
        <row r="4062">
          <cell r="B4062">
            <v>40065237</v>
          </cell>
          <cell r="C4062" t="str">
            <v>GODREJ RIZZ DISHWASH 250ML M40 P48 GT</v>
          </cell>
          <cell r="D4062">
            <v>0</v>
          </cell>
          <cell r="E4062">
            <v>0</v>
          </cell>
          <cell r="F4062">
            <v>0</v>
          </cell>
        </row>
        <row r="4063">
          <cell r="B4063">
            <v>40064945</v>
          </cell>
          <cell r="C4063" t="str">
            <v>GODREJ RIZZ DISHWASH 480ML M79 P24 GT</v>
          </cell>
          <cell r="D4063">
            <v>0</v>
          </cell>
          <cell r="E4063">
            <v>0</v>
          </cell>
          <cell r="F4063">
            <v>0</v>
          </cell>
        </row>
        <row r="4064">
          <cell r="B4064">
            <v>40065235</v>
          </cell>
          <cell r="C4064" t="str">
            <v>GODREJ RIZZ DISHWASH 480ML M59 P24 SGT</v>
          </cell>
          <cell r="D4064">
            <v>0</v>
          </cell>
          <cell r="E4064">
            <v>0</v>
          </cell>
          <cell r="F4064">
            <v>0</v>
          </cell>
        </row>
        <row r="4065">
          <cell r="B4065">
            <v>40001058</v>
          </cell>
          <cell r="C4065" t="str">
            <v>KIWI 2IN1 SHOE BRUSH MRP 49 PS 36</v>
          </cell>
          <cell r="D4065">
            <v>0</v>
          </cell>
          <cell r="E4065">
            <v>0</v>
          </cell>
          <cell r="F4065">
            <v>0</v>
          </cell>
        </row>
        <row r="4066">
          <cell r="B4066">
            <v>40001082</v>
          </cell>
          <cell r="C4066" t="str">
            <v>KIWI CLSP BLACK 40M MRP 27 PS 48</v>
          </cell>
          <cell r="D4066">
            <v>0</v>
          </cell>
          <cell r="E4066">
            <v>0</v>
          </cell>
          <cell r="F4066">
            <v>0</v>
          </cell>
        </row>
        <row r="4067">
          <cell r="B4067">
            <v>40001215</v>
          </cell>
          <cell r="C4067" t="str">
            <v>KIWI LIWS 75ML NEUTRAL PROMO MRP 49PS 50</v>
          </cell>
          <cell r="D4067">
            <v>0</v>
          </cell>
          <cell r="E4067">
            <v>0</v>
          </cell>
          <cell r="F4067">
            <v>0</v>
          </cell>
        </row>
        <row r="4068">
          <cell r="B4068">
            <v>40001225</v>
          </cell>
          <cell r="C4068" t="str">
            <v>KIWI LIWS NEUTRAL MRP 49 PS 36</v>
          </cell>
          <cell r="D4068">
            <v>0</v>
          </cell>
          <cell r="E4068">
            <v>0</v>
          </cell>
          <cell r="F4068">
            <v>0</v>
          </cell>
        </row>
        <row r="4069">
          <cell r="B4069">
            <v>40001214</v>
          </cell>
          <cell r="C4069" t="str">
            <v>KIWI LIWS 75ML BRNW SHOEHORN MRP 49PS 36</v>
          </cell>
          <cell r="D4069">
            <v>0</v>
          </cell>
          <cell r="E4069">
            <v>0</v>
          </cell>
          <cell r="F4069">
            <v>0</v>
          </cell>
        </row>
        <row r="4070">
          <cell r="B4070">
            <v>40001273</v>
          </cell>
          <cell r="C4070" t="str">
            <v>KIWI SHOE SHAMPOO 100 MRP 60 PS 48</v>
          </cell>
          <cell r="D4070">
            <v>0</v>
          </cell>
          <cell r="E4070">
            <v>0</v>
          </cell>
          <cell r="F4070">
            <v>0</v>
          </cell>
        </row>
        <row r="4071">
          <cell r="B4071">
            <v>40001239</v>
          </cell>
          <cell r="C4071" t="str">
            <v>KIWI PSP BLACK 40G MRP 30 PS 48</v>
          </cell>
          <cell r="D4071">
            <v>0</v>
          </cell>
          <cell r="E4071">
            <v>0</v>
          </cell>
          <cell r="F4071">
            <v>0</v>
          </cell>
        </row>
        <row r="4072">
          <cell r="B4072">
            <v>40001240</v>
          </cell>
          <cell r="C4072" t="str">
            <v>KIWI PSP BLACK 40G MRP 33 PS 48</v>
          </cell>
          <cell r="D4072">
            <v>0</v>
          </cell>
          <cell r="E4072">
            <v>0</v>
          </cell>
          <cell r="F4072">
            <v>0</v>
          </cell>
        </row>
        <row r="4073">
          <cell r="B4073">
            <v>40001241</v>
          </cell>
          <cell r="C4073" t="str">
            <v>KIWI PSP BLACK 40G MRP 34 PS 48</v>
          </cell>
          <cell r="D4073">
            <v>0</v>
          </cell>
          <cell r="E4073">
            <v>0</v>
          </cell>
          <cell r="F4073">
            <v>0</v>
          </cell>
        </row>
        <row r="4074">
          <cell r="B4074">
            <v>40001252</v>
          </cell>
          <cell r="C4074" t="str">
            <v>KIWI PSP DARK TAN 40G MRP 34 PS 48</v>
          </cell>
          <cell r="D4074">
            <v>0</v>
          </cell>
          <cell r="E4074">
            <v>0</v>
          </cell>
          <cell r="F4074">
            <v>0</v>
          </cell>
        </row>
        <row r="4075">
          <cell r="B4075">
            <v>40001287</v>
          </cell>
          <cell r="C4075" t="str">
            <v>KIWI SUENU BK REN CAM 75 MRP 65 PS 120</v>
          </cell>
          <cell r="D4075">
            <v>0</v>
          </cell>
          <cell r="E4075">
            <v>0</v>
          </cell>
          <cell r="F4075">
            <v>0</v>
          </cell>
        </row>
        <row r="4076">
          <cell r="B4076">
            <v>40001111</v>
          </cell>
          <cell r="C4076" t="str">
            <v>KIWI EX IN SH SPON BL  MRP 45 PS 48</v>
          </cell>
          <cell r="D4076">
            <v>0</v>
          </cell>
          <cell r="E4076">
            <v>0</v>
          </cell>
          <cell r="F4076">
            <v>0</v>
          </cell>
        </row>
        <row r="4077">
          <cell r="B4077">
            <v>40003069</v>
          </cell>
          <cell r="C4077" t="str">
            <v>KIWI EX IN SH SPON BL INST  MRP 45 PS 48</v>
          </cell>
          <cell r="D4077">
            <v>0</v>
          </cell>
          <cell r="E4077">
            <v>0</v>
          </cell>
          <cell r="F4077">
            <v>0</v>
          </cell>
        </row>
        <row r="4078">
          <cell r="B4078">
            <v>40003170</v>
          </cell>
          <cell r="C4078" t="str">
            <v>KIWI EX IN SH SPON BL-INST  MRP 45 PS 45</v>
          </cell>
          <cell r="D4078">
            <v>0</v>
          </cell>
          <cell r="E4078">
            <v>0</v>
          </cell>
          <cell r="F4078">
            <v>0</v>
          </cell>
        </row>
        <row r="4079">
          <cell r="B4079">
            <v>40042071</v>
          </cell>
          <cell r="C4079" t="str">
            <v>Aer clickgel FLGreenBlistr10gM320P18-NPL</v>
          </cell>
          <cell r="D4079">
            <v>0</v>
          </cell>
          <cell r="E4079">
            <v>0</v>
          </cell>
          <cell r="F4079">
            <v>0</v>
          </cell>
        </row>
        <row r="4080">
          <cell r="B4080">
            <v>40065737</v>
          </cell>
          <cell r="C4080" t="str">
            <v>AER PLUG FRESH WIND BLM 2R P24-CC-EXP</v>
          </cell>
          <cell r="D4080">
            <v>0</v>
          </cell>
          <cell r="E4080">
            <v>0</v>
          </cell>
          <cell r="F4080">
            <v>0</v>
          </cell>
        </row>
        <row r="4081">
          <cell r="B4081">
            <v>40065726</v>
          </cell>
          <cell r="C4081" t="str">
            <v>AER PLUG REFL V BLOOM 25ML 2R P24-CC-EXP</v>
          </cell>
          <cell r="D4081">
            <v>0</v>
          </cell>
          <cell r="E4081">
            <v>0</v>
          </cell>
          <cell r="F4081">
            <v>0</v>
          </cell>
        </row>
        <row r="4082">
          <cell r="B4082">
            <v>40065735</v>
          </cell>
          <cell r="C4082" t="str">
            <v>AERPLUG REF V BLOOM 25ML 2R P36W/O M EXP</v>
          </cell>
          <cell r="D4082">
            <v>0</v>
          </cell>
          <cell r="E4082">
            <v>0</v>
          </cell>
          <cell r="F4082">
            <v>0</v>
          </cell>
        </row>
        <row r="4083">
          <cell r="B4083">
            <v>40059445</v>
          </cell>
          <cell r="C4083" t="str">
            <v>AERPLUG ROSE BLOSSOM CMB1M+2R P24 EXP CC</v>
          </cell>
          <cell r="D4083">
            <v>0</v>
          </cell>
          <cell r="E4083">
            <v>0</v>
          </cell>
          <cell r="F4083">
            <v>0</v>
          </cell>
        </row>
        <row r="4084">
          <cell r="B4084">
            <v>40057931</v>
          </cell>
          <cell r="C4084" t="str">
            <v>AER O ASSORTEDPO3 22.5G P20-EXP-CC</v>
          </cell>
          <cell r="D4084">
            <v>0</v>
          </cell>
          <cell r="E4084">
            <v>0</v>
          </cell>
          <cell r="F4084">
            <v>0</v>
          </cell>
        </row>
        <row r="4085">
          <cell r="B4085">
            <v>40061639</v>
          </cell>
          <cell r="C4085" t="str">
            <v>AER O ASSORTEDPO3 22.5G P20 SPANISH</v>
          </cell>
          <cell r="D4085">
            <v>0</v>
          </cell>
          <cell r="E4085">
            <v>0</v>
          </cell>
          <cell r="F4085">
            <v>0</v>
          </cell>
        </row>
        <row r="4086">
          <cell r="B4086">
            <v>40064868</v>
          </cell>
          <cell r="C4086" t="str">
            <v>AER O CARAMEL LATTE 7.5G P60 W/O M GGME</v>
          </cell>
          <cell r="D4086">
            <v>0</v>
          </cell>
          <cell r="E4086">
            <v>0</v>
          </cell>
          <cell r="F4086">
            <v>0</v>
          </cell>
        </row>
        <row r="4087">
          <cell r="B4087">
            <v>40042789</v>
          </cell>
          <cell r="C4087" t="str">
            <v>AER O COOLAQUA 7.5G P60 -SL</v>
          </cell>
          <cell r="D4087">
            <v>0</v>
          </cell>
          <cell r="E4087">
            <v>0</v>
          </cell>
          <cell r="F4087">
            <v>0</v>
          </cell>
        </row>
        <row r="4088">
          <cell r="B4088">
            <v>40042802</v>
          </cell>
          <cell r="C4088" t="str">
            <v>AER O COOLAQUA 7.5G M99 P60-BD</v>
          </cell>
          <cell r="D4088">
            <v>0</v>
          </cell>
          <cell r="E4088">
            <v>0</v>
          </cell>
          <cell r="F4088">
            <v>0</v>
          </cell>
        </row>
        <row r="4089">
          <cell r="B4089">
            <v>40042804</v>
          </cell>
          <cell r="C4089" t="str">
            <v>AER O COOLAQUA 7.5G M99 P60-NEPAL</v>
          </cell>
          <cell r="D4089">
            <v>0</v>
          </cell>
          <cell r="E4089">
            <v>0</v>
          </cell>
          <cell r="F4089">
            <v>0</v>
          </cell>
        </row>
        <row r="4090">
          <cell r="B4090">
            <v>40043817</v>
          </cell>
          <cell r="C4090" t="str">
            <v>AER O coolaqua 7.5g PO60GGMEW/OMRP</v>
          </cell>
          <cell r="D4090">
            <v>0</v>
          </cell>
          <cell r="E4090">
            <v>0</v>
          </cell>
          <cell r="F4090">
            <v>0</v>
          </cell>
        </row>
        <row r="4091">
          <cell r="B4091">
            <v>40050377</v>
          </cell>
          <cell r="C4091" t="str">
            <v>AER O COOLAQUA 7.5G M99.00 P 60 BHUTAN</v>
          </cell>
          <cell r="D4091">
            <v>0</v>
          </cell>
          <cell r="E4091">
            <v>0</v>
          </cell>
          <cell r="F4091">
            <v>0</v>
          </cell>
        </row>
        <row r="4092">
          <cell r="B4092">
            <v>40060410</v>
          </cell>
          <cell r="C4092" t="str">
            <v>AER O COOLAQUA 7.5G P60 ARABIC-GGME</v>
          </cell>
          <cell r="D4092">
            <v>0</v>
          </cell>
          <cell r="E4092">
            <v>0</v>
          </cell>
          <cell r="F4092">
            <v>0</v>
          </cell>
        </row>
        <row r="4093">
          <cell r="B4093">
            <v>40060411</v>
          </cell>
          <cell r="C4093" t="str">
            <v>AER O COOLAQUA 7.5G P60 - ARABICAWEXP</v>
          </cell>
          <cell r="D4093">
            <v>0</v>
          </cell>
          <cell r="E4093">
            <v>0</v>
          </cell>
          <cell r="F4093">
            <v>0</v>
          </cell>
        </row>
        <row r="4094">
          <cell r="B4094">
            <v>40064872</v>
          </cell>
          <cell r="C4094" t="str">
            <v>AER O ORANGE PUNCH 7.5G P60 W/O M GGME</v>
          </cell>
          <cell r="D4094">
            <v>0</v>
          </cell>
          <cell r="E4094">
            <v>0</v>
          </cell>
          <cell r="F4094">
            <v>0</v>
          </cell>
        </row>
        <row r="4095">
          <cell r="B4095">
            <v>40042801</v>
          </cell>
          <cell r="C4095" t="str">
            <v>AER O Roseblossom 7.5g M99 PO60-BD</v>
          </cell>
          <cell r="D4095">
            <v>0</v>
          </cell>
          <cell r="E4095">
            <v>0</v>
          </cell>
          <cell r="F4095">
            <v>0</v>
          </cell>
        </row>
        <row r="4096">
          <cell r="B4096">
            <v>40042825</v>
          </cell>
          <cell r="C4096" t="str">
            <v>AER O ROSEBLOSSOM 7.5G M99 P60-NEPAL</v>
          </cell>
          <cell r="D4096">
            <v>0</v>
          </cell>
          <cell r="E4096">
            <v>0</v>
          </cell>
          <cell r="F4096">
            <v>0</v>
          </cell>
        </row>
        <row r="4097">
          <cell r="B4097">
            <v>40050358</v>
          </cell>
          <cell r="C4097" t="str">
            <v>AER O ROSEBLOSSOM7.5G M99.00 P 60 BHUTAN</v>
          </cell>
          <cell r="D4097">
            <v>0</v>
          </cell>
          <cell r="E4097">
            <v>0</v>
          </cell>
          <cell r="F4097">
            <v>0</v>
          </cell>
        </row>
        <row r="4098">
          <cell r="B4098">
            <v>40042791</v>
          </cell>
          <cell r="C4098" t="str">
            <v>AER O MUSKAFTSMOKE 7.5G P60 -SL</v>
          </cell>
          <cell r="D4098">
            <v>0</v>
          </cell>
          <cell r="E4098">
            <v>0</v>
          </cell>
          <cell r="F4098">
            <v>0</v>
          </cell>
        </row>
        <row r="4099">
          <cell r="B4099">
            <v>40042807</v>
          </cell>
          <cell r="C4099" t="str">
            <v>AER O muskaftsmoke 7.5g M99 PO60-NEPAL</v>
          </cell>
          <cell r="D4099">
            <v>0</v>
          </cell>
          <cell r="E4099">
            <v>0</v>
          </cell>
          <cell r="F4099">
            <v>0</v>
          </cell>
        </row>
        <row r="4100">
          <cell r="B4100">
            <v>40060408</v>
          </cell>
          <cell r="C4100" t="str">
            <v>AER O MSKAFTSMK7.5GP60-ARABICAW-EXP</v>
          </cell>
          <cell r="D4100">
            <v>0</v>
          </cell>
          <cell r="E4100">
            <v>0</v>
          </cell>
          <cell r="F4100">
            <v>0</v>
          </cell>
        </row>
        <row r="4101">
          <cell r="B4101">
            <v>40058556</v>
          </cell>
          <cell r="C4101" t="str">
            <v>AER MATIC COMBI CSB 210ML P6 EXP CC</v>
          </cell>
          <cell r="D4101">
            <v>0</v>
          </cell>
          <cell r="E4101">
            <v>0</v>
          </cell>
          <cell r="F4101">
            <v>0</v>
          </cell>
        </row>
        <row r="4102">
          <cell r="B4102">
            <v>40059547</v>
          </cell>
          <cell r="C4102" t="str">
            <v>AER MATIC COMBI CSB 210ML P6 M549 BTN</v>
          </cell>
          <cell r="D4102">
            <v>0</v>
          </cell>
          <cell r="E4102">
            <v>0</v>
          </cell>
          <cell r="F4102">
            <v>0</v>
          </cell>
        </row>
        <row r="4103">
          <cell r="B4103">
            <v>40064223</v>
          </cell>
          <cell r="C4103" t="str">
            <v>AER MATIC COMBI CSB 210ML P6 M599 NPL</v>
          </cell>
          <cell r="D4103">
            <v>0</v>
          </cell>
          <cell r="E4103">
            <v>0</v>
          </cell>
          <cell r="F4103">
            <v>0</v>
          </cell>
        </row>
        <row r="4104">
          <cell r="B4104">
            <v>40064232</v>
          </cell>
          <cell r="C4104" t="str">
            <v>AER MATIC COMBI CSB 210ML P6 M599 N BTN</v>
          </cell>
          <cell r="D4104">
            <v>0</v>
          </cell>
          <cell r="E4104">
            <v>0</v>
          </cell>
          <cell r="F4104">
            <v>0</v>
          </cell>
        </row>
        <row r="4105">
          <cell r="B4105">
            <v>40064561</v>
          </cell>
          <cell r="C4105" t="str">
            <v>AER MATIC COMBI CSB 210ML P6  BD</v>
          </cell>
          <cell r="D4105">
            <v>0</v>
          </cell>
          <cell r="E4105">
            <v>0</v>
          </cell>
          <cell r="F4105">
            <v>0</v>
          </cell>
        </row>
        <row r="4106">
          <cell r="B4106">
            <v>40058557</v>
          </cell>
          <cell r="C4106" t="str">
            <v>AER MATIC COMBI PCP 210ML P6 EXP CC</v>
          </cell>
          <cell r="D4106">
            <v>0</v>
          </cell>
          <cell r="E4106">
            <v>0</v>
          </cell>
          <cell r="F4106">
            <v>0</v>
          </cell>
        </row>
        <row r="4107">
          <cell r="B4107">
            <v>40064222</v>
          </cell>
          <cell r="C4107" t="str">
            <v>AER MATIC COMBI PCP 210ML P6 M599 NF NPL</v>
          </cell>
          <cell r="D4107">
            <v>0</v>
          </cell>
          <cell r="E4107">
            <v>0</v>
          </cell>
          <cell r="F4107">
            <v>0</v>
          </cell>
        </row>
        <row r="4108">
          <cell r="B4108">
            <v>40064233</v>
          </cell>
          <cell r="C4108" t="str">
            <v>AER MATIC COMBI PCP 210ML P6 M599 NF BTN</v>
          </cell>
          <cell r="D4108">
            <v>0</v>
          </cell>
          <cell r="E4108">
            <v>0</v>
          </cell>
          <cell r="F4108">
            <v>0</v>
          </cell>
        </row>
        <row r="4109">
          <cell r="B4109">
            <v>40064254</v>
          </cell>
          <cell r="C4109" t="str">
            <v>AER MATCCMB RYL VANILLA 210ML P6M599 NPL</v>
          </cell>
          <cell r="D4109">
            <v>0</v>
          </cell>
          <cell r="E4109">
            <v>0</v>
          </cell>
          <cell r="F4109">
            <v>0</v>
          </cell>
        </row>
        <row r="4110">
          <cell r="B4110">
            <v>40065827</v>
          </cell>
          <cell r="C4110" t="str">
            <v>AER MATC CMBI RYL VANILLA 210ML P6 BD</v>
          </cell>
          <cell r="D4110">
            <v>0</v>
          </cell>
          <cell r="E4110">
            <v>0</v>
          </cell>
          <cell r="F4110">
            <v>0</v>
          </cell>
        </row>
        <row r="4111">
          <cell r="B4111">
            <v>40064078</v>
          </cell>
          <cell r="C4111" t="str">
            <v>AER MATICCOMBI VVB 210ML P6 NEW BD</v>
          </cell>
          <cell r="D4111">
            <v>0</v>
          </cell>
          <cell r="E4111">
            <v>0</v>
          </cell>
          <cell r="F4111">
            <v>0</v>
          </cell>
        </row>
        <row r="4112">
          <cell r="B4112">
            <v>40064234</v>
          </cell>
          <cell r="C4112" t="str">
            <v>AER MATIC COMBI VVB 210ML P6 M599 NF BTN</v>
          </cell>
          <cell r="D4112">
            <v>0</v>
          </cell>
          <cell r="E4112">
            <v>0</v>
          </cell>
          <cell r="F4112">
            <v>0</v>
          </cell>
        </row>
        <row r="4113">
          <cell r="B4113">
            <v>40064235</v>
          </cell>
          <cell r="C4113" t="str">
            <v>AER MATIC COMBI VVB 210ML P6 M599 NF NPL</v>
          </cell>
          <cell r="D4113">
            <v>0</v>
          </cell>
          <cell r="E4113">
            <v>0</v>
          </cell>
          <cell r="F4113">
            <v>0</v>
          </cell>
        </row>
        <row r="4114">
          <cell r="B4114">
            <v>40060892</v>
          </cell>
          <cell r="C4114" t="str">
            <v>AER MATICSPRY REF CSB 210ML M249P18 NPL</v>
          </cell>
          <cell r="D4114">
            <v>0</v>
          </cell>
          <cell r="E4114">
            <v>0</v>
          </cell>
          <cell r="F4114">
            <v>0</v>
          </cell>
        </row>
        <row r="4115">
          <cell r="B4115">
            <v>40060894</v>
          </cell>
          <cell r="C4115" t="str">
            <v>AER MTIC SPRY REFL CSB 210ML M249P18 BTN</v>
          </cell>
          <cell r="D4115">
            <v>0</v>
          </cell>
          <cell r="E4115">
            <v>0</v>
          </cell>
          <cell r="F4115">
            <v>0</v>
          </cell>
        </row>
        <row r="4116">
          <cell r="B4116">
            <v>40061953</v>
          </cell>
          <cell r="C4116" t="str">
            <v>AER MATICSPRY REFLL CSB 210ML M249P18 BD</v>
          </cell>
          <cell r="D4116">
            <v>0</v>
          </cell>
          <cell r="E4116">
            <v>0</v>
          </cell>
          <cell r="F4116">
            <v>0</v>
          </cell>
        </row>
        <row r="4117">
          <cell r="B4117">
            <v>40065824</v>
          </cell>
          <cell r="C4117" t="str">
            <v>AER MATIC SPRY REF FLG 210ML M249P18 BTN</v>
          </cell>
          <cell r="D4117">
            <v>0</v>
          </cell>
          <cell r="E4117">
            <v>0</v>
          </cell>
          <cell r="F4117">
            <v>0</v>
          </cell>
        </row>
        <row r="4118">
          <cell r="B4118">
            <v>40060899</v>
          </cell>
          <cell r="C4118" t="str">
            <v>AER MATCSPRYRFL PCP 210ML M249P18 NF BTN</v>
          </cell>
          <cell r="D4118">
            <v>0</v>
          </cell>
          <cell r="E4118">
            <v>0</v>
          </cell>
          <cell r="F4118">
            <v>0</v>
          </cell>
        </row>
        <row r="4119">
          <cell r="B4119">
            <v>40061146</v>
          </cell>
          <cell r="C4119" t="str">
            <v>AER MATCSPRYRFLPCP 210ML M249P18 NF NPL</v>
          </cell>
          <cell r="D4119">
            <v>0</v>
          </cell>
          <cell r="E4119">
            <v>0</v>
          </cell>
          <cell r="F4119">
            <v>0</v>
          </cell>
        </row>
        <row r="4120">
          <cell r="B4120">
            <v>40065828</v>
          </cell>
          <cell r="C4120" t="str">
            <v>AER MATIC SPRY RFILL RFT210ML  P18 NF BD</v>
          </cell>
          <cell r="D4120">
            <v>0</v>
          </cell>
          <cell r="E4120">
            <v>0</v>
          </cell>
          <cell r="F4120">
            <v>0</v>
          </cell>
        </row>
        <row r="4121">
          <cell r="B4121">
            <v>40058550</v>
          </cell>
          <cell r="C4121" t="str">
            <v>AER MATIC SPRY REF VVB 210ML M315P18 NPL</v>
          </cell>
          <cell r="D4121">
            <v>0</v>
          </cell>
          <cell r="E4121">
            <v>0</v>
          </cell>
          <cell r="F4121">
            <v>0</v>
          </cell>
        </row>
        <row r="4122">
          <cell r="B4122">
            <v>40060900</v>
          </cell>
          <cell r="C4122" t="str">
            <v>AER MATCSPRYRFL VVB 210ML M249P18 NF BTN</v>
          </cell>
          <cell r="D4122">
            <v>0</v>
          </cell>
          <cell r="E4122">
            <v>0</v>
          </cell>
          <cell r="F4122">
            <v>0</v>
          </cell>
        </row>
        <row r="4123">
          <cell r="B4123">
            <v>40063859</v>
          </cell>
          <cell r="C4123" t="str">
            <v>AER MATC SPRY RFL VVB 210ML M249P18NF BD</v>
          </cell>
          <cell r="D4123">
            <v>0</v>
          </cell>
          <cell r="E4123">
            <v>0</v>
          </cell>
          <cell r="F4123">
            <v>0</v>
          </cell>
        </row>
        <row r="4124">
          <cell r="B4124">
            <v>40032644</v>
          </cell>
          <cell r="C4124" t="str">
            <v>Aer Power Pocket Assorted PO3 P36-EXP CC</v>
          </cell>
          <cell r="D4124">
            <v>0</v>
          </cell>
          <cell r="E4124">
            <v>0</v>
          </cell>
          <cell r="F4124">
            <v>0</v>
          </cell>
        </row>
        <row r="4125">
          <cell r="B4125">
            <v>40065721</v>
          </cell>
          <cell r="C4125" t="str">
            <v>AER POWER POCKET PO5 P24-SPANISH</v>
          </cell>
          <cell r="D4125">
            <v>0</v>
          </cell>
          <cell r="E4125">
            <v>0</v>
          </cell>
          <cell r="F4125">
            <v>0</v>
          </cell>
        </row>
        <row r="4126">
          <cell r="B4126">
            <v>40063365</v>
          </cell>
          <cell r="C4126" t="str">
            <v>AERPOWRPOCKT BERRYRUSH10G M70P120 NF BTN</v>
          </cell>
          <cell r="D4126">
            <v>0</v>
          </cell>
          <cell r="E4126">
            <v>0</v>
          </cell>
          <cell r="F4126">
            <v>0</v>
          </cell>
        </row>
        <row r="4127">
          <cell r="B4127">
            <v>40050230</v>
          </cell>
          <cell r="C4127" t="str">
            <v>AERPWR POCKT BERRYRUSH10G M0P120-ARABIC</v>
          </cell>
          <cell r="D4127">
            <v>0</v>
          </cell>
          <cell r="E4127">
            <v>0</v>
          </cell>
          <cell r="F4127">
            <v>0</v>
          </cell>
        </row>
        <row r="4128">
          <cell r="B4128">
            <v>40058562</v>
          </cell>
          <cell r="C4128" t="str">
            <v>AERPWR POCKT BERRYRUSH10G P120 NIGERIA</v>
          </cell>
          <cell r="D4128">
            <v>0</v>
          </cell>
          <cell r="E4128">
            <v>0</v>
          </cell>
          <cell r="F4128">
            <v>0</v>
          </cell>
        </row>
        <row r="4129">
          <cell r="B4129">
            <v>40061058</v>
          </cell>
          <cell r="C4129" t="str">
            <v>AERPWRPOCKT BERRYRUSH10G P120 NIGERIA-NF</v>
          </cell>
          <cell r="D4129">
            <v>0</v>
          </cell>
          <cell r="E4129">
            <v>0</v>
          </cell>
          <cell r="F4129">
            <v>0</v>
          </cell>
        </row>
        <row r="4130">
          <cell r="B4130">
            <v>40043835</v>
          </cell>
          <cell r="C4130" t="str">
            <v>AerPowerPockt RoseFrBlossm10g M60P120NPL</v>
          </cell>
          <cell r="D4130">
            <v>0</v>
          </cell>
          <cell r="E4130">
            <v>0</v>
          </cell>
          <cell r="F4130">
            <v>0</v>
          </cell>
        </row>
        <row r="4131">
          <cell r="B4131">
            <v>40063371</v>
          </cell>
          <cell r="C4131" t="str">
            <v>AERPWRPCKTROSEFRBLOSM10G M70P120NPNF NPL</v>
          </cell>
          <cell r="D4131">
            <v>0</v>
          </cell>
          <cell r="E4131">
            <v>0</v>
          </cell>
          <cell r="F4131">
            <v>0</v>
          </cell>
        </row>
        <row r="4132">
          <cell r="B4132">
            <v>40063401</v>
          </cell>
          <cell r="C4132" t="str">
            <v>AERPWRPCKTROSEFRBLOSM10G M70P120NPNF BTN</v>
          </cell>
          <cell r="D4132">
            <v>0</v>
          </cell>
          <cell r="E4132">
            <v>0</v>
          </cell>
          <cell r="F4132">
            <v>0</v>
          </cell>
        </row>
        <row r="4133">
          <cell r="B4133">
            <v>40050231</v>
          </cell>
          <cell r="C4133" t="str">
            <v>AER PWRPOCKTRSEFRBLOSM10GM0P120-ARABIC</v>
          </cell>
          <cell r="D4133">
            <v>0</v>
          </cell>
          <cell r="E4133">
            <v>0</v>
          </cell>
          <cell r="F4133">
            <v>0</v>
          </cell>
        </row>
        <row r="4134">
          <cell r="B4134">
            <v>40058559</v>
          </cell>
          <cell r="C4134" t="str">
            <v>AER PWRPOCKTRSEFRBLOSM10GP120 NIGERIA</v>
          </cell>
          <cell r="D4134">
            <v>0</v>
          </cell>
          <cell r="E4134">
            <v>0</v>
          </cell>
          <cell r="F4134">
            <v>0</v>
          </cell>
        </row>
        <row r="4135">
          <cell r="B4135">
            <v>40061063</v>
          </cell>
          <cell r="C4135" t="str">
            <v>AER PWRPOCKTRSEFRBLOSM10GP120 NIGERIA-NF</v>
          </cell>
          <cell r="D4135">
            <v>0</v>
          </cell>
          <cell r="E4135">
            <v>0</v>
          </cell>
          <cell r="F4135">
            <v>0</v>
          </cell>
        </row>
        <row r="4136">
          <cell r="B4136">
            <v>40058749</v>
          </cell>
          <cell r="C4136" t="str">
            <v>AER PWRPOCKTRSEFRBLOSM10GP120 SA</v>
          </cell>
          <cell r="D4136">
            <v>0</v>
          </cell>
          <cell r="E4136">
            <v>0</v>
          </cell>
          <cell r="F4136">
            <v>0</v>
          </cell>
        </row>
        <row r="4137">
          <cell r="B4137">
            <v>40063364</v>
          </cell>
          <cell r="C4137" t="str">
            <v>AERPWRPCKT JASFLORDELI10G M70P120 NF BTN</v>
          </cell>
          <cell r="D4137">
            <v>0</v>
          </cell>
          <cell r="E4137">
            <v>0</v>
          </cell>
          <cell r="F4137">
            <v>0</v>
          </cell>
        </row>
        <row r="4138">
          <cell r="B4138">
            <v>40063370</v>
          </cell>
          <cell r="C4138" t="str">
            <v>AERPWRPCKT JASFLORDELI10G M70P120 NF NPL</v>
          </cell>
          <cell r="D4138">
            <v>0</v>
          </cell>
          <cell r="E4138">
            <v>0</v>
          </cell>
          <cell r="F4138">
            <v>0</v>
          </cell>
        </row>
        <row r="4139">
          <cell r="B4139">
            <v>40050218</v>
          </cell>
          <cell r="C4139" t="str">
            <v>AERPWRPOCKTJASFLORDELI 10G M0 P120ARABIC</v>
          </cell>
          <cell r="D4139">
            <v>0</v>
          </cell>
          <cell r="E4139">
            <v>0</v>
          </cell>
          <cell r="F4139">
            <v>0</v>
          </cell>
        </row>
        <row r="4140">
          <cell r="B4140">
            <v>40058554</v>
          </cell>
          <cell r="C4140" t="str">
            <v>AERPWRPOCKTJASFLORDELI 10G P120 NIGERIA</v>
          </cell>
          <cell r="D4140">
            <v>0</v>
          </cell>
          <cell r="E4140">
            <v>0</v>
          </cell>
          <cell r="F4140">
            <v>0</v>
          </cell>
        </row>
        <row r="4141">
          <cell r="B4141">
            <v>40061066</v>
          </cell>
          <cell r="C4141" t="str">
            <v>AERPWRPOCKTJASFLORDELI10GP120 NIGERIA-NF</v>
          </cell>
          <cell r="D4141">
            <v>0</v>
          </cell>
          <cell r="E4141">
            <v>0</v>
          </cell>
          <cell r="F4141">
            <v>0</v>
          </cell>
        </row>
        <row r="4142">
          <cell r="B4142">
            <v>40058732</v>
          </cell>
          <cell r="C4142" t="str">
            <v>AERPWRPOCKTJASFLORDELI 10G P120 SA</v>
          </cell>
          <cell r="D4142">
            <v>0</v>
          </cell>
          <cell r="E4142">
            <v>0</v>
          </cell>
          <cell r="F4142">
            <v>0</v>
          </cell>
        </row>
        <row r="4143">
          <cell r="B4143">
            <v>40063369</v>
          </cell>
          <cell r="C4143" t="str">
            <v>AER PWR POCKT LAV BLOOM10G M70P120NP NPL</v>
          </cell>
          <cell r="D4143">
            <v>0</v>
          </cell>
          <cell r="E4143">
            <v>0</v>
          </cell>
          <cell r="F4143">
            <v>0</v>
          </cell>
        </row>
        <row r="4144">
          <cell r="B4144">
            <v>40063374</v>
          </cell>
          <cell r="C4144" t="str">
            <v>AER PWR POCKT LAV BLOOM10G M70P120NP BTN</v>
          </cell>
          <cell r="D4144">
            <v>0</v>
          </cell>
          <cell r="E4144">
            <v>0</v>
          </cell>
          <cell r="F4144">
            <v>0</v>
          </cell>
        </row>
        <row r="4145">
          <cell r="B4145">
            <v>40043890</v>
          </cell>
          <cell r="C4145" t="str">
            <v>AerPwrPckt Lavender Bloom 10gP120-arabic</v>
          </cell>
          <cell r="D4145">
            <v>0</v>
          </cell>
          <cell r="E4145">
            <v>0</v>
          </cell>
          <cell r="F4145">
            <v>0</v>
          </cell>
        </row>
        <row r="4146">
          <cell r="B4146">
            <v>40058585</v>
          </cell>
          <cell r="C4146" t="str">
            <v>AERPWRPCKT LAVENDR BLOOM 10GP120 NIGERIA</v>
          </cell>
          <cell r="D4146">
            <v>0</v>
          </cell>
          <cell r="E4146">
            <v>0</v>
          </cell>
          <cell r="F4146">
            <v>0</v>
          </cell>
        </row>
        <row r="4147">
          <cell r="B4147">
            <v>40061060</v>
          </cell>
          <cell r="C4147" t="str">
            <v>AERPWRPCKT LVNDR BLOM 10GP120 NIGERIA-NF</v>
          </cell>
          <cell r="D4147">
            <v>0</v>
          </cell>
          <cell r="E4147">
            <v>0</v>
          </cell>
          <cell r="F4147">
            <v>0</v>
          </cell>
        </row>
        <row r="4148">
          <cell r="B4148">
            <v>40058734</v>
          </cell>
          <cell r="C4148" t="str">
            <v>AERPWRPCKT LAVENDR BLOOM 10GP120 SA</v>
          </cell>
          <cell r="D4148">
            <v>0</v>
          </cell>
          <cell r="E4148">
            <v>0</v>
          </cell>
          <cell r="F4148">
            <v>0</v>
          </cell>
        </row>
        <row r="4149">
          <cell r="B4149">
            <v>40043824</v>
          </cell>
          <cell r="C4149" t="str">
            <v>Aer Power Pocket SeaBreeze 10g M60P120SL</v>
          </cell>
          <cell r="D4149">
            <v>0</v>
          </cell>
          <cell r="E4149">
            <v>0</v>
          </cell>
          <cell r="F4149">
            <v>0</v>
          </cell>
        </row>
        <row r="4150">
          <cell r="B4150">
            <v>40063360</v>
          </cell>
          <cell r="C4150" t="str">
            <v>AERPOWRPOCKT SEABREZE10G M70P120 NEW BTN</v>
          </cell>
          <cell r="D4150">
            <v>0</v>
          </cell>
          <cell r="E4150">
            <v>0</v>
          </cell>
          <cell r="F4150">
            <v>0</v>
          </cell>
        </row>
        <row r="4151">
          <cell r="B4151">
            <v>40063368</v>
          </cell>
          <cell r="C4151" t="str">
            <v>AERPOWRPOCKT SEABREZE10G M70P120 NEW NPL</v>
          </cell>
          <cell r="D4151">
            <v>0</v>
          </cell>
          <cell r="E4151">
            <v>0</v>
          </cell>
          <cell r="F4151">
            <v>0</v>
          </cell>
        </row>
        <row r="4152">
          <cell r="B4152">
            <v>40043920</v>
          </cell>
          <cell r="C4152" t="str">
            <v>AerPwrPckt SeaBreeze 10gP120-arabic</v>
          </cell>
          <cell r="D4152">
            <v>0</v>
          </cell>
          <cell r="E4152">
            <v>0</v>
          </cell>
          <cell r="F4152">
            <v>0</v>
          </cell>
        </row>
        <row r="4153">
          <cell r="B4153">
            <v>40061067</v>
          </cell>
          <cell r="C4153" t="str">
            <v>AERPWRPCKT SEABREEZE 10GP120 NIGERIA-NF</v>
          </cell>
          <cell r="D4153">
            <v>0</v>
          </cell>
          <cell r="E4153">
            <v>0</v>
          </cell>
          <cell r="F4153">
            <v>0</v>
          </cell>
        </row>
        <row r="4154">
          <cell r="B4154">
            <v>40058748</v>
          </cell>
          <cell r="C4154" t="str">
            <v>AERPWRPCKT SEABREEZE 10GP120 SA</v>
          </cell>
          <cell r="D4154">
            <v>0</v>
          </cell>
          <cell r="E4154">
            <v>0</v>
          </cell>
          <cell r="F4154">
            <v>0</v>
          </cell>
        </row>
        <row r="4155">
          <cell r="B4155">
            <v>40043864</v>
          </cell>
          <cell r="C4155" t="str">
            <v>Aer PowerPocket LemTangyDel10g M60P120SL</v>
          </cell>
          <cell r="D4155">
            <v>0</v>
          </cell>
          <cell r="E4155">
            <v>0</v>
          </cell>
          <cell r="F4155">
            <v>0</v>
          </cell>
        </row>
        <row r="4156">
          <cell r="B4156">
            <v>40063359</v>
          </cell>
          <cell r="C4156" t="str">
            <v>AERPWRPCKT LEMTANGYDEL10G M70P120 NF BTN</v>
          </cell>
          <cell r="D4156">
            <v>0</v>
          </cell>
          <cell r="E4156">
            <v>0</v>
          </cell>
          <cell r="F4156">
            <v>0</v>
          </cell>
        </row>
        <row r="4157">
          <cell r="B4157">
            <v>40063366</v>
          </cell>
          <cell r="C4157" t="str">
            <v>AERPWRPCKT LEMTANGYDEL10G M70P120 NF NPL</v>
          </cell>
          <cell r="D4157">
            <v>0</v>
          </cell>
          <cell r="E4157">
            <v>0</v>
          </cell>
          <cell r="F4157">
            <v>0</v>
          </cell>
        </row>
        <row r="4158">
          <cell r="B4158">
            <v>40043926</v>
          </cell>
          <cell r="C4158" t="str">
            <v>AerPwrPkt LemonTangyDlght 10gP120-arabic</v>
          </cell>
          <cell r="D4158">
            <v>0</v>
          </cell>
          <cell r="E4158">
            <v>0</v>
          </cell>
          <cell r="F4158">
            <v>0</v>
          </cell>
        </row>
        <row r="4159">
          <cell r="B4159">
            <v>40058565</v>
          </cell>
          <cell r="C4159" t="str">
            <v>AERPWRPKT LEMONTNGYDLGHT 10GP120 NIGERIA</v>
          </cell>
          <cell r="D4159">
            <v>0</v>
          </cell>
          <cell r="E4159">
            <v>0</v>
          </cell>
          <cell r="F4159">
            <v>0</v>
          </cell>
        </row>
        <row r="4160">
          <cell r="B4160">
            <v>40061070</v>
          </cell>
          <cell r="C4160" t="str">
            <v>AERPWRPKT LMONTNGDLGHT 10GP120NIGERIA-NF</v>
          </cell>
          <cell r="D4160">
            <v>0</v>
          </cell>
          <cell r="E4160">
            <v>0</v>
          </cell>
          <cell r="F4160">
            <v>0</v>
          </cell>
        </row>
        <row r="4161">
          <cell r="B4161">
            <v>40058745</v>
          </cell>
          <cell r="C4161" t="str">
            <v>AERPWRPKT LEMONTNGYDLGHT 10GP120 SA</v>
          </cell>
          <cell r="D4161">
            <v>0</v>
          </cell>
          <cell r="E4161">
            <v>0</v>
          </cell>
          <cell r="F4161">
            <v>0</v>
          </cell>
        </row>
        <row r="4162">
          <cell r="B4162">
            <v>40059873</v>
          </cell>
          <cell r="C4162" t="str">
            <v>AER SPRAY COOLAQUA 200ML M99P24 BTN</v>
          </cell>
          <cell r="D4162">
            <v>0</v>
          </cell>
          <cell r="E4162">
            <v>0</v>
          </cell>
          <cell r="F4162">
            <v>0</v>
          </cell>
        </row>
        <row r="4163">
          <cell r="B4163">
            <v>40063853</v>
          </cell>
          <cell r="C4163" t="str">
            <v>AER SPRAY COOLAQUA 180ML M99P24 NPL</v>
          </cell>
          <cell r="D4163">
            <v>0</v>
          </cell>
          <cell r="E4163">
            <v>0</v>
          </cell>
          <cell r="F4163">
            <v>0</v>
          </cell>
        </row>
        <row r="4164">
          <cell r="B4164">
            <v>40063884</v>
          </cell>
          <cell r="C4164" t="str">
            <v>AER SPRAY COOLAQUA 180ML M99P24 BTN</v>
          </cell>
          <cell r="D4164">
            <v>0</v>
          </cell>
          <cell r="E4164">
            <v>0</v>
          </cell>
          <cell r="F4164">
            <v>0</v>
          </cell>
        </row>
        <row r="4165">
          <cell r="B4165">
            <v>40063846</v>
          </cell>
          <cell r="C4165" t="str">
            <v>AER SPRAY CITRUS BLAST 180ML M99P24 NPL</v>
          </cell>
          <cell r="D4165">
            <v>0</v>
          </cell>
          <cell r="E4165">
            <v>0</v>
          </cell>
          <cell r="F4165">
            <v>0</v>
          </cell>
        </row>
        <row r="4166">
          <cell r="B4166">
            <v>40059866</v>
          </cell>
          <cell r="C4166" t="str">
            <v>AER SPRAY FOREST FRESH 200ML M99P24 BTN</v>
          </cell>
          <cell r="D4166">
            <v>0</v>
          </cell>
          <cell r="E4166">
            <v>0</v>
          </cell>
          <cell r="F4166">
            <v>0</v>
          </cell>
        </row>
        <row r="4167">
          <cell r="B4167">
            <v>40060891</v>
          </cell>
          <cell r="C4167" t="str">
            <v>AER SPRY JASMINEDELIGHT 200ML M99P24 BTN</v>
          </cell>
          <cell r="D4167">
            <v>0</v>
          </cell>
          <cell r="E4167">
            <v>0</v>
          </cell>
          <cell r="F4167">
            <v>0</v>
          </cell>
        </row>
        <row r="4168">
          <cell r="B4168">
            <v>40063856</v>
          </cell>
          <cell r="C4168" t="str">
            <v>AER SPRY JASMINEDELIGHT 180ML M99P24 NPL</v>
          </cell>
          <cell r="D4168">
            <v>0</v>
          </cell>
          <cell r="E4168">
            <v>0</v>
          </cell>
          <cell r="F4168">
            <v>0</v>
          </cell>
        </row>
        <row r="4169">
          <cell r="B4169">
            <v>40063862</v>
          </cell>
          <cell r="C4169" t="str">
            <v>AER SPRAY ROSEBLOSSOM 180ML M99P24 BTN</v>
          </cell>
          <cell r="D4169">
            <v>0</v>
          </cell>
          <cell r="E4169">
            <v>0</v>
          </cell>
          <cell r="F4169">
            <v>0</v>
          </cell>
        </row>
        <row r="4170">
          <cell r="B4170">
            <v>40059805</v>
          </cell>
          <cell r="C4170" t="str">
            <v>AER SPRAY MYSTIC MUSK 200ML M99P24 NEPAL</v>
          </cell>
          <cell r="D4170">
            <v>0</v>
          </cell>
          <cell r="E4170">
            <v>0</v>
          </cell>
          <cell r="F4170">
            <v>0</v>
          </cell>
        </row>
        <row r="4171">
          <cell r="B4171">
            <v>40058122</v>
          </cell>
          <cell r="C4171" t="str">
            <v>AER SPRAY LAVENDERBLOOM 220ML M99P24 BTN</v>
          </cell>
          <cell r="D4171">
            <v>0</v>
          </cell>
          <cell r="E4171">
            <v>0</v>
          </cell>
          <cell r="F4171">
            <v>0</v>
          </cell>
        </row>
        <row r="4172">
          <cell r="B4172">
            <v>40063860</v>
          </cell>
          <cell r="C4172" t="str">
            <v>AER SPRY LAVENDERBLOM 180ML M99P24 BTN </v>
          </cell>
          <cell r="D4172">
            <v>0</v>
          </cell>
          <cell r="E4172">
            <v>0</v>
          </cell>
          <cell r="F4172">
            <v>0</v>
          </cell>
        </row>
        <row r="4173">
          <cell r="B4173">
            <v>40063863</v>
          </cell>
          <cell r="C4173" t="str">
            <v>AER SPRY LAVENDERBLOM 180ML M99P24 NPL</v>
          </cell>
          <cell r="D4173">
            <v>0</v>
          </cell>
          <cell r="E4173">
            <v>0</v>
          </cell>
          <cell r="F4173">
            <v>0</v>
          </cell>
        </row>
        <row r="4174">
          <cell r="B4174">
            <v>40041628</v>
          </cell>
          <cell r="C4174" t="str">
            <v>AerTwist CoolSurfBlue(Redu) M425 P15-BD</v>
          </cell>
          <cell r="D4174">
            <v>0</v>
          </cell>
          <cell r="E4174">
            <v>0</v>
          </cell>
          <cell r="F4174">
            <v>0</v>
          </cell>
        </row>
        <row r="4175">
          <cell r="B4175">
            <v>40042069</v>
          </cell>
          <cell r="C4175" t="str">
            <v>GOD AER TWIST CoolSrfBlue 45g M425P15-SL</v>
          </cell>
          <cell r="D4175">
            <v>0</v>
          </cell>
          <cell r="E4175">
            <v>0</v>
          </cell>
          <cell r="F4175">
            <v>0</v>
          </cell>
        </row>
        <row r="4176">
          <cell r="B4176">
            <v>40050135</v>
          </cell>
          <cell r="C4176" t="str">
            <v>AER TWIST COOL SURF BLUE 45gM425P15NEPAL</v>
          </cell>
          <cell r="D4176">
            <v>0</v>
          </cell>
          <cell r="E4176">
            <v>0</v>
          </cell>
          <cell r="F4176">
            <v>0</v>
          </cell>
        </row>
        <row r="4177">
          <cell r="B4177">
            <v>40042854</v>
          </cell>
          <cell r="C4177" t="str">
            <v>GOD AER TWIST FLGREEN 45g M425 P15 -SL</v>
          </cell>
          <cell r="D4177">
            <v>0</v>
          </cell>
          <cell r="E4177">
            <v>0</v>
          </cell>
          <cell r="F4177">
            <v>0</v>
          </cell>
        </row>
        <row r="4178">
          <cell r="B4178">
            <v>40050131</v>
          </cell>
          <cell r="C4178" t="str">
            <v>AER TWIST FRESH LUSHGRN 45g M425P15NEPAL</v>
          </cell>
          <cell r="D4178">
            <v>0</v>
          </cell>
          <cell r="E4178">
            <v>0</v>
          </cell>
          <cell r="F4178">
            <v>0</v>
          </cell>
        </row>
        <row r="4179">
          <cell r="B4179">
            <v>40050133</v>
          </cell>
          <cell r="C4179" t="str">
            <v>AER TWIST PET CRUSH PINK 45gM425P15NEPAL</v>
          </cell>
          <cell r="D4179">
            <v>0</v>
          </cell>
          <cell r="E4179">
            <v>0</v>
          </cell>
          <cell r="F4179">
            <v>0</v>
          </cell>
        </row>
        <row r="4180">
          <cell r="B4180">
            <v>40057248</v>
          </cell>
          <cell r="C4180" t="str">
            <v>GodMAGCFLRCLNRLVDRCMB220MLM220P18(1B+4R)</v>
          </cell>
          <cell r="D4180">
            <v>0</v>
          </cell>
          <cell r="E4180">
            <v>0</v>
          </cell>
          <cell r="F4180">
            <v>0</v>
          </cell>
        </row>
        <row r="4181">
          <cell r="B4181">
            <v>40060086</v>
          </cell>
          <cell r="C4181" t="str">
            <v>GODMAGRTM FLRCLNRLAVREF55ML PO3 M120 P48</v>
          </cell>
          <cell r="D4181">
            <v>0</v>
          </cell>
          <cell r="E4181">
            <v>0</v>
          </cell>
          <cell r="F4181">
            <v>0</v>
          </cell>
        </row>
        <row r="4182">
          <cell r="B4182">
            <v>40059038</v>
          </cell>
          <cell r="C4182" t="str">
            <v>GODMAGRTMFLRCLNRLAVREF55MLPO8 M320P16 EC</v>
          </cell>
          <cell r="D4182">
            <v>0</v>
          </cell>
          <cell r="E4182">
            <v>0</v>
          </cell>
          <cell r="F4182">
            <v>0</v>
          </cell>
        </row>
        <row r="4183">
          <cell r="B4183">
            <v>40062305</v>
          </cell>
          <cell r="C4183" t="str">
            <v>GODMAGRTMFLRCLNRLAVREF55ML M40 P128NF</v>
          </cell>
          <cell r="D4183">
            <v>0</v>
          </cell>
          <cell r="E4183">
            <v>0</v>
          </cell>
          <cell r="F4183">
            <v>0</v>
          </cell>
        </row>
        <row r="4184">
          <cell r="B4184">
            <v>40062346</v>
          </cell>
          <cell r="C4184" t="str">
            <v>SPIC TC 525 ML M99 P24</v>
          </cell>
          <cell r="D4184">
            <v>0</v>
          </cell>
          <cell r="E4184">
            <v>0</v>
          </cell>
          <cell r="F4184">
            <v>0</v>
          </cell>
        </row>
        <row r="4185">
          <cell r="B4185">
            <v>40064111</v>
          </cell>
          <cell r="C4185" t="str">
            <v>SPIC TC COMBI (525 *3)  M297 P8</v>
          </cell>
          <cell r="D4185">
            <v>0</v>
          </cell>
          <cell r="E4185">
            <v>0</v>
          </cell>
          <cell r="F4185">
            <v>0</v>
          </cell>
        </row>
        <row r="4186">
          <cell r="B4186">
            <v>40040740</v>
          </cell>
          <cell r="C4186" t="str">
            <v>PRMNewLiqRose HW 250ml(M99)(Pump) RLP36</v>
          </cell>
          <cell r="D4186">
            <v>0</v>
          </cell>
          <cell r="E4186">
            <v>0</v>
          </cell>
          <cell r="F4186">
            <v>0</v>
          </cell>
        </row>
        <row r="4187">
          <cell r="B4187">
            <v>40060474</v>
          </cell>
          <cell r="C4187" t="str">
            <v>PRTKT GRMFIGHTRHW AQUAREF725MLM109P18NPL</v>
          </cell>
          <cell r="D4187">
            <v>0</v>
          </cell>
          <cell r="E4187">
            <v>0</v>
          </cell>
          <cell r="F4187">
            <v>0</v>
          </cell>
        </row>
        <row r="4188">
          <cell r="B4188">
            <v>40064094</v>
          </cell>
          <cell r="C4188" t="str">
            <v>PROTKT GRMFIGHTRHW AQUREF650ML M99P18NPL</v>
          </cell>
          <cell r="D4188">
            <v>0</v>
          </cell>
          <cell r="E4188">
            <v>0</v>
          </cell>
          <cell r="F4188">
            <v>0</v>
          </cell>
        </row>
        <row r="4189">
          <cell r="B4189">
            <v>40064092</v>
          </cell>
          <cell r="C4189" t="str">
            <v>PRO GRMFIGHTHW LIM&amp;EUREF650ML M99P18NPL</v>
          </cell>
          <cell r="D4189">
            <v>0</v>
          </cell>
          <cell r="E4189">
            <v>0</v>
          </cell>
          <cell r="F4189">
            <v>0</v>
          </cell>
        </row>
        <row r="4190">
          <cell r="B4190">
            <v>40064735</v>
          </cell>
          <cell r="C4190" t="str">
            <v>GODPROTEKTNEEM9G M110 PO12(11+1) P30 NPL</v>
          </cell>
          <cell r="D4190">
            <v>0</v>
          </cell>
          <cell r="E4190">
            <v>0</v>
          </cell>
          <cell r="F4190">
            <v>0</v>
          </cell>
        </row>
        <row r="4191">
          <cell r="B4191">
            <v>40066224</v>
          </cell>
          <cell r="C4191" t="str">
            <v>GODPROTEKTNEEM9GM110P40 (11+1) NPL</v>
          </cell>
          <cell r="D4191">
            <v>0</v>
          </cell>
          <cell r="E4191">
            <v>0</v>
          </cell>
          <cell r="F4191">
            <v>0</v>
          </cell>
        </row>
        <row r="4192">
          <cell r="B4192">
            <v>40065102</v>
          </cell>
          <cell r="C4192" t="str">
            <v>SPIC TC 500MLP24 NPR160  NPL</v>
          </cell>
          <cell r="D4192">
            <v>0</v>
          </cell>
          <cell r="E4192">
            <v>0</v>
          </cell>
          <cell r="F4192">
            <v>0</v>
          </cell>
        </row>
        <row r="4193">
          <cell r="B4193">
            <v>40066192</v>
          </cell>
          <cell r="C4193" t="str">
            <v>SPIC TC M79 P24 BTN</v>
          </cell>
          <cell r="D4193">
            <v>0</v>
          </cell>
          <cell r="E4193">
            <v>0</v>
          </cell>
          <cell r="F4193">
            <v>0</v>
          </cell>
        </row>
        <row r="4194">
          <cell r="B4194">
            <v>40065836</v>
          </cell>
          <cell r="C4194" t="str">
            <v>SPIC TC 1L M189 P12 NPL</v>
          </cell>
          <cell r="D4194">
            <v>0</v>
          </cell>
          <cell r="E4194">
            <v>0</v>
          </cell>
          <cell r="F4194">
            <v>0</v>
          </cell>
        </row>
        <row r="4195">
          <cell r="B4195">
            <v>40065328</v>
          </cell>
          <cell r="C4195" t="str">
            <v>SPIC TC 525 ML M99 P24 NPL</v>
          </cell>
          <cell r="D4195">
            <v>0</v>
          </cell>
          <cell r="E4195">
            <v>0</v>
          </cell>
          <cell r="F4195">
            <v>0</v>
          </cell>
        </row>
        <row r="4196">
          <cell r="B4196">
            <v>40041844</v>
          </cell>
          <cell r="C4196" t="str">
            <v>KS20's Longlast Pleas M230 P4320</v>
          </cell>
          <cell r="D4196">
            <v>0</v>
          </cell>
          <cell r="E4196">
            <v>0</v>
          </cell>
          <cell r="F4196">
            <v>0</v>
          </cell>
        </row>
        <row r="4197">
          <cell r="B4197">
            <v>40041845</v>
          </cell>
          <cell r="C4197" t="str">
            <v>KS3's Vanilla Flv M25 P4320</v>
          </cell>
          <cell r="D4197">
            <v>0</v>
          </cell>
          <cell r="E4197">
            <v>0</v>
          </cell>
          <cell r="F4197">
            <v>0</v>
          </cell>
        </row>
        <row r="4198">
          <cell r="B4198">
            <v>40041847</v>
          </cell>
          <cell r="C4198" t="str">
            <v>KS3's Mango Exotica M30 P4320</v>
          </cell>
          <cell r="D4198">
            <v>0</v>
          </cell>
          <cell r="E4198">
            <v>0</v>
          </cell>
          <cell r="F4198">
            <v>0</v>
          </cell>
        </row>
        <row r="4199">
          <cell r="B4199">
            <v>40041869</v>
          </cell>
          <cell r="C4199" t="str">
            <v>PA BD Storm100gm DB M210 P72</v>
          </cell>
          <cell r="D4199">
            <v>0</v>
          </cell>
          <cell r="E4199">
            <v>0</v>
          </cell>
          <cell r="F4199">
            <v>0</v>
          </cell>
        </row>
        <row r="4200">
          <cell r="B4200">
            <v>40040010</v>
          </cell>
          <cell r="C4200" t="str">
            <v>PA Perf Elevate 100g(MRP235)P72</v>
          </cell>
          <cell r="D4200">
            <v>0</v>
          </cell>
          <cell r="E4200">
            <v>0</v>
          </cell>
          <cell r="F4200">
            <v>0</v>
          </cell>
        </row>
        <row r="4201">
          <cell r="B4201">
            <v>40040023</v>
          </cell>
          <cell r="C4201" t="str">
            <v>PA BD CB 100g(MRP199)P48</v>
          </cell>
          <cell r="D4201">
            <v>0</v>
          </cell>
          <cell r="E4201">
            <v>0</v>
          </cell>
          <cell r="F4201">
            <v>0</v>
          </cell>
        </row>
        <row r="4202">
          <cell r="B4202">
            <v>40040041</v>
          </cell>
          <cell r="C4202" t="str">
            <v>PA BD Storm 100g(MRP199)P48</v>
          </cell>
          <cell r="D4202">
            <v>0</v>
          </cell>
          <cell r="E4202">
            <v>0</v>
          </cell>
          <cell r="F4202">
            <v>0</v>
          </cell>
        </row>
        <row r="4203">
          <cell r="B4203">
            <v>40040066</v>
          </cell>
          <cell r="C4203" t="str">
            <v>PA Voyage Perf Spry 108gm (MRP240)P72</v>
          </cell>
          <cell r="D4203">
            <v>0</v>
          </cell>
          <cell r="E4203">
            <v>0</v>
          </cell>
          <cell r="F4203">
            <v>0</v>
          </cell>
        </row>
        <row r="4204">
          <cell r="B4204">
            <v>40040290</v>
          </cell>
          <cell r="C4204" t="str">
            <v>PA PremiumBodySpraySigVoyag150ml M240P72</v>
          </cell>
          <cell r="D4204">
            <v>0</v>
          </cell>
          <cell r="E4204">
            <v>0</v>
          </cell>
          <cell r="F4204">
            <v>0</v>
          </cell>
        </row>
        <row r="4205">
          <cell r="B4205">
            <v>40040347</v>
          </cell>
          <cell r="C4205" t="str">
            <v>PA GO Good Morning 18ml (Mrp 65)  WBP136</v>
          </cell>
          <cell r="D4205">
            <v>0</v>
          </cell>
          <cell r="E4205">
            <v>0</v>
          </cell>
          <cell r="F4205">
            <v>0</v>
          </cell>
        </row>
        <row r="4206">
          <cell r="B4206">
            <v>40040351</v>
          </cell>
          <cell r="C4206" t="str">
            <v>Deo Shots Good MorningP12</v>
          </cell>
          <cell r="D4206">
            <v>0</v>
          </cell>
          <cell r="E4206">
            <v>0</v>
          </cell>
          <cell r="F4206">
            <v>0</v>
          </cell>
        </row>
        <row r="4207">
          <cell r="B4207">
            <v>40040395</v>
          </cell>
          <cell r="C4207" t="str">
            <v>PA GM Intense 130 ml (MRP210)P48</v>
          </cell>
          <cell r="D4207">
            <v>0</v>
          </cell>
          <cell r="E4207">
            <v>0</v>
          </cell>
          <cell r="F4207">
            <v>0</v>
          </cell>
        </row>
        <row r="4208">
          <cell r="B4208">
            <v>40040448</v>
          </cell>
          <cell r="C4208" t="str">
            <v>PA BD GM 150 ml (MRP199) (5+1 tester)P60</v>
          </cell>
          <cell r="D4208">
            <v>0</v>
          </cell>
          <cell r="E4208">
            <v>0</v>
          </cell>
          <cell r="F4208">
            <v>0</v>
          </cell>
        </row>
        <row r="4209">
          <cell r="B4209">
            <v>40040457</v>
          </cell>
          <cell r="C4209" t="str">
            <v>PA EDP Harmony 50 ml (MRP 399)P36</v>
          </cell>
          <cell r="D4209">
            <v>0</v>
          </cell>
          <cell r="E4209">
            <v>0</v>
          </cell>
          <cell r="F4209">
            <v>0</v>
          </cell>
        </row>
        <row r="4210">
          <cell r="B4210">
            <v>40040666</v>
          </cell>
          <cell r="C4210" t="str">
            <v>PA BD GM 220mlNew(MRP319)P72</v>
          </cell>
          <cell r="D4210">
            <v>0</v>
          </cell>
          <cell r="E4210">
            <v>0</v>
          </cell>
          <cell r="F4210">
            <v>0</v>
          </cell>
        </row>
        <row r="4211">
          <cell r="B4211">
            <v>40040750</v>
          </cell>
          <cell r="C4211" t="str">
            <v>PA Deo Shot 27g(Singles) MRP 75/-P144</v>
          </cell>
          <cell r="D4211">
            <v>0</v>
          </cell>
          <cell r="E4211">
            <v>0</v>
          </cell>
          <cell r="F4211">
            <v>0</v>
          </cell>
        </row>
        <row r="4212">
          <cell r="B4212">
            <v>40040753</v>
          </cell>
          <cell r="C4212" t="str">
            <v>KS Sp Pocket Pack18ml M65-Hang(144)P144</v>
          </cell>
          <cell r="D4212">
            <v>0</v>
          </cell>
          <cell r="E4212">
            <v>0</v>
          </cell>
          <cell r="F4212">
            <v>0</v>
          </cell>
        </row>
        <row r="4213">
          <cell r="B4213">
            <v>40040809</v>
          </cell>
          <cell r="C4213" t="str">
            <v>PA GM Ultimate 4X 130 ml(Rs.270)P36</v>
          </cell>
          <cell r="D4213">
            <v>0</v>
          </cell>
          <cell r="E4213">
            <v>0</v>
          </cell>
          <cell r="F4213">
            <v>0</v>
          </cell>
        </row>
        <row r="4214">
          <cell r="B4214">
            <v>40040840</v>
          </cell>
          <cell r="C4214" t="str">
            <v>KS Spark45ml Deo shot (Rs.75)P72</v>
          </cell>
          <cell r="D4214">
            <v>0</v>
          </cell>
          <cell r="E4214">
            <v>0</v>
          </cell>
          <cell r="F4214">
            <v>0</v>
          </cell>
        </row>
        <row r="4215">
          <cell r="B4215">
            <v>40041698</v>
          </cell>
          <cell r="C4215" t="str">
            <v>PA Voyage Perf Spry 100gm M240 P48</v>
          </cell>
          <cell r="D4215">
            <v>0</v>
          </cell>
          <cell r="E4215">
            <v>0</v>
          </cell>
          <cell r="F4215">
            <v>0</v>
          </cell>
        </row>
        <row r="4216">
          <cell r="B4216">
            <v>40061088</v>
          </cell>
          <cell r="C4216" t="str">
            <v>PA EDP KNIGHT 100ML G M499 P24-LIQ</v>
          </cell>
          <cell r="D4216">
            <v>0</v>
          </cell>
          <cell r="E4216">
            <v>0</v>
          </cell>
          <cell r="F4216">
            <v>0</v>
          </cell>
        </row>
        <row r="4217">
          <cell r="B4217">
            <v>40061236</v>
          </cell>
          <cell r="C4217" t="str">
            <v>KS SPARK POCKET18ML RS70*10HANG-150-LIQ</v>
          </cell>
          <cell r="D4217">
            <v>0</v>
          </cell>
          <cell r="E4217">
            <v>0</v>
          </cell>
          <cell r="F4217">
            <v>0</v>
          </cell>
        </row>
        <row r="4218">
          <cell r="B4218">
            <v>40041130</v>
          </cell>
          <cell r="C4218" t="str">
            <v>PA ECH EDP Collection Gift Kit M 1349P12</v>
          </cell>
          <cell r="D4218">
            <v>0</v>
          </cell>
          <cell r="E4218">
            <v>0</v>
          </cell>
          <cell r="F4218">
            <v>0</v>
          </cell>
        </row>
        <row r="4219">
          <cell r="B4219">
            <v>40056716</v>
          </cell>
          <cell r="C4219" t="str">
            <v>PAECHEDPCOLLECTIONGIFTKITM1349P12LIQ</v>
          </cell>
          <cell r="D4219">
            <v>0</v>
          </cell>
          <cell r="E4219">
            <v>0</v>
          </cell>
          <cell r="F4219">
            <v>0</v>
          </cell>
        </row>
        <row r="4220">
          <cell r="B4220">
            <v>40056319</v>
          </cell>
          <cell r="C4220" t="str">
            <v>PA PREMIUM COLLECTION KIT M1599P6</v>
          </cell>
          <cell r="D4220">
            <v>0</v>
          </cell>
          <cell r="E4220">
            <v>0</v>
          </cell>
          <cell r="F4220">
            <v>0</v>
          </cell>
        </row>
        <row r="4221">
          <cell r="B4221">
            <v>40056748</v>
          </cell>
          <cell r="C4221" t="str">
            <v>PAPremiumCollectionGiftKitM1499P12LIQ</v>
          </cell>
          <cell r="D4221">
            <v>0</v>
          </cell>
          <cell r="E4221">
            <v>0</v>
          </cell>
          <cell r="F4221">
            <v>0</v>
          </cell>
        </row>
        <row r="4222">
          <cell r="B4222">
            <v>40061172</v>
          </cell>
          <cell r="C4222" t="str">
            <v>PA PREMIUM COLLECTION KIT M1599P6-LIQ</v>
          </cell>
          <cell r="D4222">
            <v>0</v>
          </cell>
          <cell r="E4222">
            <v>0</v>
          </cell>
          <cell r="F4222">
            <v>0</v>
          </cell>
        </row>
        <row r="4223">
          <cell r="B4223">
            <v>40040358</v>
          </cell>
          <cell r="C4223" t="str">
            <v>KS Black Deo X (120 ml) MRP 250/-P48</v>
          </cell>
          <cell r="D4223">
            <v>0</v>
          </cell>
          <cell r="E4223">
            <v>0</v>
          </cell>
          <cell r="F4223">
            <v>0</v>
          </cell>
        </row>
        <row r="4224">
          <cell r="B4224">
            <v>40040359</v>
          </cell>
          <cell r="C4224" t="str">
            <v>KS Black Deo XX (120 ml) MRP 250/-P48</v>
          </cell>
          <cell r="D4224">
            <v>0</v>
          </cell>
          <cell r="E4224">
            <v>0</v>
          </cell>
          <cell r="F4224">
            <v>0</v>
          </cell>
        </row>
        <row r="4225">
          <cell r="B4225">
            <v>40060425</v>
          </cell>
          <cell r="C4225" t="str">
            <v>PA ATLANTIC WVE 120ML M225 P48 (8*6)INNR</v>
          </cell>
          <cell r="D4225">
            <v>0</v>
          </cell>
          <cell r="E4225">
            <v>0</v>
          </cell>
          <cell r="F4225">
            <v>0</v>
          </cell>
        </row>
        <row r="4226">
          <cell r="B4226">
            <v>40041086</v>
          </cell>
          <cell r="C4226" t="str">
            <v>PA AMAZON WOODS 120ml - TESTERP24</v>
          </cell>
          <cell r="D4226">
            <v>0</v>
          </cell>
          <cell r="E4226">
            <v>0</v>
          </cell>
          <cell r="F4226">
            <v>0</v>
          </cell>
        </row>
        <row r="4227">
          <cell r="B4227">
            <v>40041220</v>
          </cell>
          <cell r="C4227" t="str">
            <v>PA GM ULTIMATE 4X 130 ML(RS.299)P36</v>
          </cell>
          <cell r="D4227">
            <v>0</v>
          </cell>
          <cell r="E4227">
            <v>0</v>
          </cell>
          <cell r="F4227">
            <v>0</v>
          </cell>
        </row>
        <row r="4228">
          <cell r="B4228">
            <v>40043422</v>
          </cell>
          <cell r="C4228" t="str">
            <v>PA GM ULTIMATE 4X 130 ML M299 P18 GCPL</v>
          </cell>
          <cell r="D4228">
            <v>0</v>
          </cell>
          <cell r="E4228">
            <v>0</v>
          </cell>
          <cell r="F4228">
            <v>0</v>
          </cell>
        </row>
        <row r="4229">
          <cell r="B4229">
            <v>40040808</v>
          </cell>
          <cell r="C4229" t="str">
            <v>PA Icon 4X 130ml (Rs.270)P36</v>
          </cell>
          <cell r="D4229">
            <v>0</v>
          </cell>
          <cell r="E4229">
            <v>0</v>
          </cell>
          <cell r="F4229">
            <v>0</v>
          </cell>
        </row>
        <row r="4230">
          <cell r="B4230">
            <v>40040929</v>
          </cell>
          <cell r="C4230" t="str">
            <v>PA Icon 4X 130ml (Rs.280)P36</v>
          </cell>
          <cell r="D4230">
            <v>0</v>
          </cell>
          <cell r="E4230">
            <v>0</v>
          </cell>
          <cell r="F4230">
            <v>0</v>
          </cell>
        </row>
        <row r="4231">
          <cell r="B4231">
            <v>40043480</v>
          </cell>
          <cell r="C4231" t="str">
            <v>PA ICON 4X 130 ML M299 P18 GCPL</v>
          </cell>
          <cell r="D4231">
            <v>0</v>
          </cell>
          <cell r="E4231">
            <v>0</v>
          </cell>
          <cell r="F4231">
            <v>0</v>
          </cell>
        </row>
        <row r="4232">
          <cell r="B4232">
            <v>40040928</v>
          </cell>
          <cell r="C4232" t="str">
            <v>PA Magnifico 4X 130ml (Rs.280)P36</v>
          </cell>
          <cell r="D4232">
            <v>0</v>
          </cell>
          <cell r="E4232">
            <v>0</v>
          </cell>
          <cell r="F4232">
            <v>0</v>
          </cell>
        </row>
        <row r="4233">
          <cell r="B4233">
            <v>40041159</v>
          </cell>
          <cell r="C4233" t="str">
            <v>PA MAGNIFICO 4X 130ML (RS.299)P36</v>
          </cell>
          <cell r="D4233">
            <v>0</v>
          </cell>
          <cell r="E4233">
            <v>0</v>
          </cell>
          <cell r="F4233">
            <v>0</v>
          </cell>
        </row>
        <row r="4234">
          <cell r="B4234">
            <v>40040927</v>
          </cell>
          <cell r="C4234" t="str">
            <v>PA Regal 4X 130ml (Rs.280)P36</v>
          </cell>
          <cell r="D4234">
            <v>0</v>
          </cell>
          <cell r="E4234">
            <v>0</v>
          </cell>
          <cell r="F4234">
            <v>0</v>
          </cell>
        </row>
        <row r="4235">
          <cell r="B4235">
            <v>40041158</v>
          </cell>
          <cell r="C4235" t="str">
            <v>PA REGAL 4X 130ML (RS.299)P36</v>
          </cell>
          <cell r="D4235">
            <v>0</v>
          </cell>
          <cell r="E4235">
            <v>0</v>
          </cell>
          <cell r="F4235">
            <v>0</v>
          </cell>
        </row>
        <row r="4236">
          <cell r="B4236">
            <v>40041795</v>
          </cell>
          <cell r="C4236" t="str">
            <v>PA REGAL 4X 130ML (RS.299)P36 GCPL</v>
          </cell>
          <cell r="D4236">
            <v>0</v>
          </cell>
          <cell r="E4236">
            <v>0</v>
          </cell>
          <cell r="F4236">
            <v>0</v>
          </cell>
        </row>
        <row r="4237">
          <cell r="B4237">
            <v>40060424</v>
          </cell>
          <cell r="C4237" t="str">
            <v>PA TUSCANY BLM120ML M225 P48 (8*6)INNER</v>
          </cell>
          <cell r="D4237">
            <v>0</v>
          </cell>
          <cell r="E4237">
            <v>0</v>
          </cell>
          <cell r="F4237">
            <v>0</v>
          </cell>
        </row>
        <row r="4238">
          <cell r="B4238">
            <v>40041171</v>
          </cell>
          <cell r="C4238" t="str">
            <v>PA4X VOYAGE CORSICACOOL 120ml(Rs 349)P24</v>
          </cell>
          <cell r="D4238">
            <v>0</v>
          </cell>
          <cell r="E4238">
            <v>0</v>
          </cell>
          <cell r="F4238">
            <v>0</v>
          </cell>
        </row>
        <row r="4239">
          <cell r="B4239">
            <v>40041173</v>
          </cell>
          <cell r="C4239" t="str">
            <v>PA4X VOYAGE CORSICA COOL 120ml TestrP24</v>
          </cell>
          <cell r="D4239">
            <v>0</v>
          </cell>
          <cell r="E4239">
            <v>0</v>
          </cell>
          <cell r="F4239">
            <v>0</v>
          </cell>
        </row>
        <row r="4240">
          <cell r="B4240">
            <v>40041776</v>
          </cell>
          <cell r="C4240" t="str">
            <v>PA 4X VOY CORSICA COOL 120ml M349P24GCPL</v>
          </cell>
          <cell r="D4240">
            <v>0</v>
          </cell>
          <cell r="E4240">
            <v>0</v>
          </cell>
          <cell r="F4240">
            <v>0</v>
          </cell>
        </row>
        <row r="4241">
          <cell r="B4241">
            <v>40056203</v>
          </cell>
          <cell r="C4241" t="str">
            <v>PA 4X CORSICA COOL 120ML M349P24GCPL</v>
          </cell>
          <cell r="D4241">
            <v>0</v>
          </cell>
          <cell r="E4241">
            <v>0</v>
          </cell>
          <cell r="F4241">
            <v>0</v>
          </cell>
        </row>
        <row r="4242">
          <cell r="B4242">
            <v>40056458</v>
          </cell>
          <cell r="C4242" t="str">
            <v>PA VOY CRSICA CL 120ML M349P24 (INC RM)</v>
          </cell>
          <cell r="D4242">
            <v>0</v>
          </cell>
          <cell r="E4242">
            <v>0</v>
          </cell>
          <cell r="F4242">
            <v>0</v>
          </cell>
        </row>
        <row r="4243">
          <cell r="B4243">
            <v>40041174</v>
          </cell>
          <cell r="C4243" t="str">
            <v>PA 4X VOYAGE SAVANNA FRESH120ml TestrP24</v>
          </cell>
          <cell r="D4243">
            <v>0</v>
          </cell>
          <cell r="E4243">
            <v>0</v>
          </cell>
          <cell r="F4243">
            <v>0</v>
          </cell>
        </row>
        <row r="4244">
          <cell r="B4244">
            <v>40041777</v>
          </cell>
          <cell r="C4244" t="str">
            <v>PA 4X VOY SAVANA FRESH 120ml M349P24GCPL</v>
          </cell>
          <cell r="D4244">
            <v>0</v>
          </cell>
          <cell r="E4244">
            <v>0</v>
          </cell>
          <cell r="F4244">
            <v>0</v>
          </cell>
        </row>
        <row r="4245">
          <cell r="B4245">
            <v>40041032</v>
          </cell>
          <cell r="C4245" t="str">
            <v>PA Voyage Amazon Woods 120 ml (M 330)P24</v>
          </cell>
          <cell r="D4245">
            <v>0</v>
          </cell>
          <cell r="E4245">
            <v>0</v>
          </cell>
          <cell r="F4245">
            <v>0</v>
          </cell>
        </row>
        <row r="4246">
          <cell r="B4246">
            <v>40042304</v>
          </cell>
          <cell r="C4246" t="str">
            <v>PA VOYAGE AMAZON WOODS 120ML(M349) P24</v>
          </cell>
          <cell r="D4246">
            <v>0</v>
          </cell>
          <cell r="E4246">
            <v>0</v>
          </cell>
          <cell r="F4246">
            <v>0</v>
          </cell>
        </row>
        <row r="4247">
          <cell r="B4247">
            <v>40043392</v>
          </cell>
          <cell r="C4247" t="str">
            <v>PA Liq-4X Voy Amaz MT 120mlB1G1 P24 M349</v>
          </cell>
          <cell r="D4247">
            <v>0</v>
          </cell>
          <cell r="E4247">
            <v>0</v>
          </cell>
          <cell r="F4247">
            <v>0</v>
          </cell>
        </row>
        <row r="4248">
          <cell r="B4248">
            <v>40043393</v>
          </cell>
          <cell r="C4248" t="str">
            <v>PA Liq4X VoyAmaz MT120ml B1G1 P24M349 FR</v>
          </cell>
          <cell r="D4248">
            <v>0</v>
          </cell>
          <cell r="E4248">
            <v>0</v>
          </cell>
          <cell r="F4248">
            <v>0</v>
          </cell>
        </row>
        <row r="4249">
          <cell r="B4249">
            <v>40058313</v>
          </cell>
          <cell r="C4249" t="str">
            <v>PA AMAZONWOODS 120ML M399 P24 EC</v>
          </cell>
          <cell r="D4249">
            <v>0</v>
          </cell>
          <cell r="E4249">
            <v>0</v>
          </cell>
          <cell r="F4249">
            <v>0</v>
          </cell>
        </row>
        <row r="4250">
          <cell r="B4250">
            <v>40058315</v>
          </cell>
          <cell r="C4250" t="str">
            <v>PA AMAZON WOODS 40ML TESTR M1 P48 FRW</v>
          </cell>
          <cell r="D4250">
            <v>0</v>
          </cell>
          <cell r="E4250">
            <v>0</v>
          </cell>
          <cell r="F4250">
            <v>0</v>
          </cell>
        </row>
        <row r="4251">
          <cell r="B4251">
            <v>40063290</v>
          </cell>
          <cell r="C4251" t="str">
            <v>PA AMAZONWOODS 120ML AMZ PO2 M698P12</v>
          </cell>
          <cell r="D4251">
            <v>0</v>
          </cell>
          <cell r="E4251">
            <v>0</v>
          </cell>
          <cell r="F4251">
            <v>0</v>
          </cell>
        </row>
        <row r="4252">
          <cell r="B4252">
            <v>40056973</v>
          </cell>
          <cell r="C4252" t="str">
            <v>KS BLAZE 150ML M99 P24 ACCESS PACK TN</v>
          </cell>
          <cell r="D4252">
            <v>0</v>
          </cell>
          <cell r="E4252">
            <v>0</v>
          </cell>
          <cell r="F4252">
            <v>0</v>
          </cell>
        </row>
        <row r="4253">
          <cell r="B4253">
            <v>40059475</v>
          </cell>
          <cell r="C4253" t="str">
            <v>KS BLAZE AER 120ML M99 P48 GCPL</v>
          </cell>
          <cell r="D4253">
            <v>0</v>
          </cell>
          <cell r="E4253">
            <v>0</v>
          </cell>
          <cell r="F4253">
            <v>0</v>
          </cell>
        </row>
        <row r="4254">
          <cell r="B4254">
            <v>40040953</v>
          </cell>
          <cell r="C4254" t="str">
            <v>KS Dare Aerosol 150 ml (MRP 230)P48</v>
          </cell>
          <cell r="D4254">
            <v>0</v>
          </cell>
          <cell r="E4254">
            <v>0</v>
          </cell>
          <cell r="F4254">
            <v>0</v>
          </cell>
        </row>
        <row r="4255">
          <cell r="B4255">
            <v>40056910</v>
          </cell>
          <cell r="C4255" t="str">
            <v>KS DARE 150ML M99 P24 ACCESSS PACK TN</v>
          </cell>
          <cell r="D4255">
            <v>0</v>
          </cell>
          <cell r="E4255">
            <v>0</v>
          </cell>
          <cell r="F4255">
            <v>0</v>
          </cell>
        </row>
        <row r="4256">
          <cell r="B4256">
            <v>40059482</v>
          </cell>
          <cell r="C4256" t="str">
            <v>KS DARE AER 120ML M99 P48 GCPL</v>
          </cell>
          <cell r="D4256">
            <v>0</v>
          </cell>
          <cell r="E4256">
            <v>0</v>
          </cell>
          <cell r="F4256">
            <v>0</v>
          </cell>
        </row>
        <row r="4257">
          <cell r="B4257">
            <v>40056762</v>
          </cell>
          <cell r="C4257" t="str">
            <v>KS Rush Aero 150ml(M460,Pack*2)P24LIQ</v>
          </cell>
          <cell r="D4257">
            <v>0</v>
          </cell>
          <cell r="E4257">
            <v>0</v>
          </cell>
          <cell r="F4257">
            <v>0</v>
          </cell>
        </row>
        <row r="4258">
          <cell r="B4258">
            <v>40040663</v>
          </cell>
          <cell r="C4258" t="str">
            <v>KS Rush Deo(220ml) MRP 319/-P36</v>
          </cell>
          <cell r="D4258">
            <v>0</v>
          </cell>
          <cell r="E4258">
            <v>0</v>
          </cell>
          <cell r="F4258">
            <v>0</v>
          </cell>
        </row>
        <row r="4259">
          <cell r="B4259">
            <v>40040956</v>
          </cell>
          <cell r="C4259" t="str">
            <v>KS Rush Mega 220ml Rs.360P72</v>
          </cell>
          <cell r="D4259">
            <v>0</v>
          </cell>
          <cell r="E4259">
            <v>0</v>
          </cell>
          <cell r="F4259">
            <v>0</v>
          </cell>
        </row>
        <row r="4260">
          <cell r="B4260">
            <v>40059686</v>
          </cell>
          <cell r="C4260" t="str">
            <v>KS RUSH MEGA 220ML M350P72 GCPL</v>
          </cell>
          <cell r="D4260">
            <v>0</v>
          </cell>
          <cell r="E4260">
            <v>0</v>
          </cell>
          <cell r="F4260">
            <v>0</v>
          </cell>
        </row>
        <row r="4261">
          <cell r="B4261">
            <v>40040952</v>
          </cell>
          <cell r="C4261" t="str">
            <v>KS Rush Aerosol 150 ml (MRP 230)P48</v>
          </cell>
          <cell r="D4261">
            <v>0</v>
          </cell>
          <cell r="E4261">
            <v>0</v>
          </cell>
          <cell r="F4261">
            <v>0</v>
          </cell>
        </row>
        <row r="4262">
          <cell r="B4262">
            <v>40043424</v>
          </cell>
          <cell r="C4262" t="str">
            <v>KS RUSH AER 150ML M230 P24 GCPL</v>
          </cell>
          <cell r="D4262">
            <v>0</v>
          </cell>
          <cell r="E4262">
            <v>0</v>
          </cell>
          <cell r="F4262">
            <v>0</v>
          </cell>
        </row>
        <row r="4263">
          <cell r="B4263">
            <v>40059261</v>
          </cell>
          <cell r="C4263" t="str">
            <v>KS RUSH AER (PO3)150ML M230 P48 GCPL</v>
          </cell>
          <cell r="D4263">
            <v>0</v>
          </cell>
          <cell r="E4263">
            <v>0</v>
          </cell>
          <cell r="F4263">
            <v>0</v>
          </cell>
        </row>
        <row r="4264">
          <cell r="B4264">
            <v>40062529</v>
          </cell>
          <cell r="C4264" t="str">
            <v>KS RUSH AER (PO3)150ML M230 P48 HIGH RM</v>
          </cell>
          <cell r="D4264">
            <v>0</v>
          </cell>
          <cell r="E4264">
            <v>0</v>
          </cell>
          <cell r="F4264">
            <v>0</v>
          </cell>
        </row>
        <row r="4265">
          <cell r="B4265">
            <v>40040991</v>
          </cell>
          <cell r="C4265" t="str">
            <v>KS SPARK Aero 150mlÂ (Rs. 460,Pack*2)P24</v>
          </cell>
          <cell r="D4265">
            <v>0</v>
          </cell>
          <cell r="E4265">
            <v>0</v>
          </cell>
          <cell r="F4265">
            <v>0</v>
          </cell>
        </row>
        <row r="4266">
          <cell r="B4266">
            <v>40042324</v>
          </cell>
          <cell r="C4266" t="str">
            <v>KS SPARK+RUSH+URGE Aer150mlRs690,Pc*3P16</v>
          </cell>
          <cell r="D4266">
            <v>0</v>
          </cell>
          <cell r="E4266">
            <v>0</v>
          </cell>
          <cell r="F4266">
            <v>0</v>
          </cell>
        </row>
        <row r="4267">
          <cell r="B4267">
            <v>40040978</v>
          </cell>
          <cell r="C4267" t="str">
            <v>KS 2 Spark+ 1 Urge 150 mlAero(Rs 470)P16</v>
          </cell>
          <cell r="D4267">
            <v>0</v>
          </cell>
          <cell r="E4267">
            <v>0</v>
          </cell>
          <cell r="F4267">
            <v>0</v>
          </cell>
        </row>
        <row r="4268">
          <cell r="B4268">
            <v>40043773</v>
          </cell>
          <cell r="C4268" t="str">
            <v>KS 2Spark+1Urge150mlAero(Rs 470)P16Liq</v>
          </cell>
          <cell r="D4268">
            <v>0</v>
          </cell>
          <cell r="E4268">
            <v>0</v>
          </cell>
          <cell r="F4268">
            <v>0</v>
          </cell>
        </row>
        <row r="4269">
          <cell r="B4269">
            <v>40062860</v>
          </cell>
          <cell r="C4269" t="str">
            <v>KS SPARK AER B2G1 150ML M460 P16 ECOM</v>
          </cell>
          <cell r="D4269">
            <v>0</v>
          </cell>
          <cell r="E4269">
            <v>0</v>
          </cell>
          <cell r="F4269">
            <v>0</v>
          </cell>
        </row>
        <row r="4270">
          <cell r="B4270">
            <v>40040995</v>
          </cell>
          <cell r="C4270" t="str">
            <v>KS Spark 150 ml (Rs. 920,Pack*4)P12</v>
          </cell>
          <cell r="D4270">
            <v>0</v>
          </cell>
          <cell r="E4270">
            <v>0</v>
          </cell>
          <cell r="F4270">
            <v>0</v>
          </cell>
        </row>
        <row r="4271">
          <cell r="B4271">
            <v>40040957</v>
          </cell>
          <cell r="C4271" t="str">
            <v>KS Spark Mega 220ml Rs.360P72</v>
          </cell>
          <cell r="D4271">
            <v>0</v>
          </cell>
          <cell r="E4271">
            <v>0</v>
          </cell>
          <cell r="F4271">
            <v>0</v>
          </cell>
        </row>
        <row r="4272">
          <cell r="B4272">
            <v>40041162</v>
          </cell>
          <cell r="C4272" t="str">
            <v>KS SPARK MEGA 220ML RS.370P72</v>
          </cell>
          <cell r="D4272">
            <v>0</v>
          </cell>
          <cell r="E4272">
            <v>0</v>
          </cell>
          <cell r="F4272">
            <v>0</v>
          </cell>
        </row>
        <row r="4273">
          <cell r="B4273">
            <v>40043208</v>
          </cell>
          <cell r="C4273" t="str">
            <v>KS SPARK AER 220ML M370 P18 GCPL</v>
          </cell>
          <cell r="D4273">
            <v>0</v>
          </cell>
          <cell r="E4273">
            <v>0</v>
          </cell>
          <cell r="F4273">
            <v>0</v>
          </cell>
        </row>
        <row r="4274">
          <cell r="B4274">
            <v>40043415</v>
          </cell>
          <cell r="C4274" t="str">
            <v>KS Deo-BaseSpark 220mlB1G1 P72 M370 Free</v>
          </cell>
          <cell r="D4274">
            <v>0</v>
          </cell>
          <cell r="E4274">
            <v>0</v>
          </cell>
          <cell r="F4274">
            <v>0</v>
          </cell>
        </row>
        <row r="4275">
          <cell r="B4275">
            <v>40043417</v>
          </cell>
          <cell r="C4275" t="str">
            <v>KS Deo-BaseSpark 220ml B1G1 P72M370 Main</v>
          </cell>
          <cell r="D4275">
            <v>0</v>
          </cell>
          <cell r="E4275">
            <v>0</v>
          </cell>
          <cell r="F4275">
            <v>0</v>
          </cell>
        </row>
        <row r="4276">
          <cell r="B4276">
            <v>40043761</v>
          </cell>
          <cell r="C4276" t="str">
            <v>KS SPARK AER 220ML M370 P18 B1G1 Mainp</v>
          </cell>
          <cell r="D4276">
            <v>0</v>
          </cell>
          <cell r="E4276">
            <v>0</v>
          </cell>
          <cell r="F4276">
            <v>0</v>
          </cell>
        </row>
        <row r="4277">
          <cell r="B4277">
            <v>40059653</v>
          </cell>
          <cell r="C4277" t="str">
            <v>KS SPARK MEGA 220ML M350P72</v>
          </cell>
          <cell r="D4277">
            <v>0</v>
          </cell>
          <cell r="E4277">
            <v>0</v>
          </cell>
          <cell r="F4277">
            <v>0</v>
          </cell>
        </row>
        <row r="4278">
          <cell r="B4278">
            <v>40062062</v>
          </cell>
          <cell r="C4278" t="str">
            <v>KS SPARK MEGA 220ML M350P72 NFR</v>
          </cell>
          <cell r="D4278">
            <v>0</v>
          </cell>
          <cell r="E4278">
            <v>0</v>
          </cell>
          <cell r="F4278">
            <v>0</v>
          </cell>
        </row>
        <row r="4279">
          <cell r="B4279">
            <v>40062535</v>
          </cell>
          <cell r="C4279" t="str">
            <v>KS SPARK MEGA 220ML M299P72 NFR</v>
          </cell>
          <cell r="D4279">
            <v>0</v>
          </cell>
          <cell r="E4279">
            <v>0</v>
          </cell>
          <cell r="F4279">
            <v>0</v>
          </cell>
        </row>
        <row r="4280">
          <cell r="B4280">
            <v>40060743</v>
          </cell>
          <cell r="C4280" t="str">
            <v>KS SPARK PO3 MEGA 220ML M1050P24 ECOM</v>
          </cell>
          <cell r="D4280">
            <v>0</v>
          </cell>
          <cell r="E4280">
            <v>0</v>
          </cell>
          <cell r="F4280">
            <v>0</v>
          </cell>
        </row>
        <row r="4281">
          <cell r="B4281">
            <v>40041574</v>
          </cell>
          <cell r="C4281" t="str">
            <v>KS Spark Aerosol 150ml (MRP 230)P48 GCPL</v>
          </cell>
          <cell r="D4281">
            <v>0</v>
          </cell>
          <cell r="E4281">
            <v>0</v>
          </cell>
          <cell r="F4281">
            <v>0</v>
          </cell>
        </row>
        <row r="4282">
          <cell r="B4282">
            <v>40043796</v>
          </cell>
          <cell r="C4282" t="str">
            <v>KS Spark Aerosol 150 ml (MRP 230)P48Liq</v>
          </cell>
          <cell r="D4282">
            <v>0</v>
          </cell>
          <cell r="E4282">
            <v>0</v>
          </cell>
          <cell r="F4282">
            <v>0</v>
          </cell>
        </row>
        <row r="4283">
          <cell r="B4283">
            <v>40059260</v>
          </cell>
          <cell r="C4283" t="str">
            <v>KS SPARK AER (PO3)150ML M230 P48 GCPL</v>
          </cell>
          <cell r="D4283">
            <v>0</v>
          </cell>
          <cell r="E4283">
            <v>0</v>
          </cell>
          <cell r="F4283">
            <v>0</v>
          </cell>
        </row>
        <row r="4284">
          <cell r="B4284">
            <v>40057965</v>
          </cell>
          <cell r="C4284" t="str">
            <v>KS SPARK AER 120ML M99.00 P48 GCPL</v>
          </cell>
          <cell r="D4284">
            <v>0</v>
          </cell>
          <cell r="E4284">
            <v>0</v>
          </cell>
          <cell r="F4284">
            <v>0</v>
          </cell>
        </row>
        <row r="4285">
          <cell r="B4285">
            <v>40040954</v>
          </cell>
          <cell r="C4285" t="str">
            <v>KS Thrill Aerosol 150 ml (MRP 230)P48</v>
          </cell>
          <cell r="D4285">
            <v>0</v>
          </cell>
          <cell r="E4285">
            <v>0</v>
          </cell>
          <cell r="F4285">
            <v>0</v>
          </cell>
        </row>
        <row r="4286">
          <cell r="B4286">
            <v>40050619</v>
          </cell>
          <cell r="C4286" t="str">
            <v>KS THRILL AER 150ML M230.00 P24 GCPL</v>
          </cell>
          <cell r="D4286">
            <v>0</v>
          </cell>
          <cell r="E4286">
            <v>0</v>
          </cell>
          <cell r="F4286">
            <v>0</v>
          </cell>
        </row>
        <row r="4287">
          <cell r="B4287">
            <v>40062530</v>
          </cell>
          <cell r="C4287" t="str">
            <v>KS THRILL AER 150ML M230 P24 HIGH RM</v>
          </cell>
          <cell r="D4287">
            <v>0</v>
          </cell>
          <cell r="E4287">
            <v>0</v>
          </cell>
          <cell r="F4287">
            <v>0</v>
          </cell>
        </row>
        <row r="4288">
          <cell r="B4288">
            <v>40056911</v>
          </cell>
          <cell r="C4288" t="str">
            <v>KS THRILL 150ML M99P24 ACCESS PACK TN</v>
          </cell>
          <cell r="D4288">
            <v>0</v>
          </cell>
          <cell r="E4288">
            <v>0</v>
          </cell>
          <cell r="F4288">
            <v>0</v>
          </cell>
        </row>
        <row r="4289">
          <cell r="B4289">
            <v>40059481</v>
          </cell>
          <cell r="C4289" t="str">
            <v>KS THRILL AER 120ML M99 P48 GCPL</v>
          </cell>
          <cell r="D4289">
            <v>0</v>
          </cell>
          <cell r="E4289">
            <v>0</v>
          </cell>
          <cell r="F4289">
            <v>0</v>
          </cell>
        </row>
        <row r="4290">
          <cell r="B4290">
            <v>40043605</v>
          </cell>
          <cell r="C4290" t="str">
            <v>KS URGE B1G1 150ML M230 P12 GCPL</v>
          </cell>
          <cell r="D4290">
            <v>0</v>
          </cell>
          <cell r="E4290">
            <v>0</v>
          </cell>
          <cell r="F4290">
            <v>0</v>
          </cell>
        </row>
        <row r="4291">
          <cell r="B4291">
            <v>40062407</v>
          </cell>
          <cell r="C4291" t="str">
            <v>KS URGE B1G1 150ML M230 P24 GCPL</v>
          </cell>
          <cell r="D4291">
            <v>0</v>
          </cell>
          <cell r="E4291">
            <v>0</v>
          </cell>
          <cell r="F4291">
            <v>0</v>
          </cell>
        </row>
        <row r="4292">
          <cell r="B4292">
            <v>40040756</v>
          </cell>
          <cell r="C4292" t="str">
            <v>KS Urge Mega 220ml Rs.319 (Case72)P72</v>
          </cell>
          <cell r="D4292">
            <v>0</v>
          </cell>
          <cell r="E4292">
            <v>0</v>
          </cell>
          <cell r="F4292">
            <v>0</v>
          </cell>
        </row>
        <row r="4293">
          <cell r="B4293">
            <v>40041408</v>
          </cell>
          <cell r="C4293" t="str">
            <v>KS URGE MEGA 220ML RS.370P72</v>
          </cell>
          <cell r="D4293">
            <v>0</v>
          </cell>
          <cell r="E4293">
            <v>0</v>
          </cell>
          <cell r="F4293">
            <v>0</v>
          </cell>
        </row>
        <row r="4294">
          <cell r="B4294">
            <v>40040951</v>
          </cell>
          <cell r="C4294" t="str">
            <v>KS Urge Aerosol 150 ml (MRP 230)P48</v>
          </cell>
          <cell r="D4294">
            <v>0</v>
          </cell>
          <cell r="E4294">
            <v>0</v>
          </cell>
          <cell r="F4294">
            <v>0</v>
          </cell>
        </row>
        <row r="4295">
          <cell r="B4295">
            <v>40041595</v>
          </cell>
          <cell r="C4295" t="str">
            <v>KS Urge Aerosol 150 ml (MRP 230)P48 GCPL</v>
          </cell>
          <cell r="D4295">
            <v>0</v>
          </cell>
          <cell r="E4295">
            <v>0</v>
          </cell>
          <cell r="F4295">
            <v>0</v>
          </cell>
        </row>
        <row r="4296">
          <cell r="B4296">
            <v>40043496</v>
          </cell>
          <cell r="C4296" t="str">
            <v>KS URGE AER 150ML M230 P24 GCPL</v>
          </cell>
          <cell r="D4296">
            <v>0</v>
          </cell>
          <cell r="E4296">
            <v>0</v>
          </cell>
          <cell r="F4296">
            <v>0</v>
          </cell>
        </row>
        <row r="4297">
          <cell r="B4297">
            <v>40040853</v>
          </cell>
          <cell r="C4297" t="str">
            <v>PA Alter Ego Aerosol 150 ml (MRP 250)P72</v>
          </cell>
          <cell r="D4297">
            <v>0</v>
          </cell>
          <cell r="E4297">
            <v>0</v>
          </cell>
          <cell r="F4297">
            <v>0</v>
          </cell>
        </row>
        <row r="4298">
          <cell r="B4298">
            <v>40041078</v>
          </cell>
          <cell r="C4298" t="str">
            <v>PA Alter Ego Aerosol 150 ml (M250)P/SP72</v>
          </cell>
          <cell r="D4298">
            <v>0</v>
          </cell>
          <cell r="E4298">
            <v>0</v>
          </cell>
          <cell r="F4298">
            <v>0</v>
          </cell>
        </row>
        <row r="4299">
          <cell r="B4299">
            <v>40043168</v>
          </cell>
          <cell r="C4299" t="str">
            <v>PA ALTER EGO AER 150ML M250 P24 GCPL</v>
          </cell>
          <cell r="D4299">
            <v>0</v>
          </cell>
          <cell r="E4299">
            <v>0</v>
          </cell>
          <cell r="F4299">
            <v>0</v>
          </cell>
        </row>
        <row r="4300">
          <cell r="B4300">
            <v>40060647</v>
          </cell>
          <cell r="C4300" t="str">
            <v>PA ALTER EGO AER 150ML M250 P48 GCPL</v>
          </cell>
          <cell r="D4300">
            <v>0</v>
          </cell>
          <cell r="E4300">
            <v>0</v>
          </cell>
          <cell r="F4300">
            <v>0</v>
          </cell>
        </row>
        <row r="4301">
          <cell r="B4301">
            <v>40040936</v>
          </cell>
          <cell r="C4301" t="str">
            <v>PA CB Pack of 2 Aero 150 ml (Rs.450)P36</v>
          </cell>
          <cell r="D4301">
            <v>0</v>
          </cell>
          <cell r="E4301">
            <v>0</v>
          </cell>
          <cell r="F4301">
            <v>0</v>
          </cell>
        </row>
        <row r="4302">
          <cell r="B4302">
            <v>40041079</v>
          </cell>
          <cell r="C4302" t="str">
            <v>PA Cool Blue Mega 220 ml (Rs 360) P/SP72</v>
          </cell>
          <cell r="D4302">
            <v>0</v>
          </cell>
          <cell r="E4302">
            <v>0</v>
          </cell>
          <cell r="F4302">
            <v>0</v>
          </cell>
        </row>
        <row r="4303">
          <cell r="B4303">
            <v>40056682</v>
          </cell>
          <cell r="C4303" t="str">
            <v>PA CoolBlueMega220mlM360P/SP72GCPLLIQ</v>
          </cell>
          <cell r="D4303">
            <v>0</v>
          </cell>
          <cell r="E4303">
            <v>0</v>
          </cell>
          <cell r="F4303">
            <v>0</v>
          </cell>
        </row>
        <row r="4304">
          <cell r="B4304">
            <v>40059647</v>
          </cell>
          <cell r="C4304" t="str">
            <v>PA COOLBLUE MEGA 220ML M350 P72 GCPL</v>
          </cell>
          <cell r="D4304">
            <v>0</v>
          </cell>
          <cell r="E4304">
            <v>0</v>
          </cell>
          <cell r="F4304">
            <v>0</v>
          </cell>
        </row>
        <row r="4305">
          <cell r="B4305">
            <v>40062386</v>
          </cell>
          <cell r="C4305" t="str">
            <v>PA COOLBLUE MEGA 220ML M1050 P24 GCPL</v>
          </cell>
          <cell r="D4305">
            <v>0</v>
          </cell>
          <cell r="E4305">
            <v>0</v>
          </cell>
          <cell r="F4305">
            <v>0</v>
          </cell>
        </row>
        <row r="4306">
          <cell r="B4306">
            <v>40041074</v>
          </cell>
          <cell r="C4306" t="str">
            <v>PA Cool Blue Aerosol 150ml(M 225) P/SP72</v>
          </cell>
          <cell r="D4306">
            <v>0</v>
          </cell>
          <cell r="E4306">
            <v>0</v>
          </cell>
          <cell r="F4306">
            <v>0</v>
          </cell>
        </row>
        <row r="4307">
          <cell r="B4307">
            <v>40042141</v>
          </cell>
          <cell r="C4307" t="str">
            <v>PA COOL BLUE AEROSOL 150ML M 225 P/SP72</v>
          </cell>
          <cell r="D4307">
            <v>0</v>
          </cell>
          <cell r="E4307">
            <v>0</v>
          </cell>
          <cell r="F4307">
            <v>0</v>
          </cell>
        </row>
        <row r="4308">
          <cell r="B4308">
            <v>40060736</v>
          </cell>
          <cell r="C4308" t="str">
            <v>PA CB AER 150ML M225 P48 GCPL</v>
          </cell>
          <cell r="D4308">
            <v>0</v>
          </cell>
          <cell r="E4308">
            <v>0</v>
          </cell>
          <cell r="F4308">
            <v>0</v>
          </cell>
        </row>
        <row r="4309">
          <cell r="B4309">
            <v>40040922</v>
          </cell>
          <cell r="C4309" t="str">
            <v>PA Sig.Coll. Discover150ml B1G1(M250)P36</v>
          </cell>
          <cell r="D4309">
            <v>0</v>
          </cell>
          <cell r="E4309">
            <v>0</v>
          </cell>
          <cell r="F4309">
            <v>0</v>
          </cell>
        </row>
        <row r="4310">
          <cell r="B4310">
            <v>40043479</v>
          </cell>
          <cell r="C4310" t="str">
            <v>PA DISCOVER B1G1 AER 150ML M250 P12 GCPL</v>
          </cell>
          <cell r="D4310">
            <v>0</v>
          </cell>
          <cell r="E4310">
            <v>0</v>
          </cell>
          <cell r="F4310">
            <v>0</v>
          </cell>
        </row>
        <row r="4311">
          <cell r="B4311">
            <v>40058693</v>
          </cell>
          <cell r="C4311" t="str">
            <v>PA DISCOVER MEGA 220 ML M350P72 GCPL</v>
          </cell>
          <cell r="D4311">
            <v>0</v>
          </cell>
          <cell r="E4311">
            <v>0</v>
          </cell>
          <cell r="F4311">
            <v>0</v>
          </cell>
        </row>
        <row r="4312">
          <cell r="B4312">
            <v>40041722</v>
          </cell>
          <cell r="C4312" t="str">
            <v>PA Sig.Coll.Discover 150ml M250 P72 GCPL</v>
          </cell>
          <cell r="D4312">
            <v>0</v>
          </cell>
          <cell r="E4312">
            <v>0</v>
          </cell>
          <cell r="F4312">
            <v>0</v>
          </cell>
        </row>
        <row r="4313">
          <cell r="B4313">
            <v>40043185</v>
          </cell>
          <cell r="C4313" t="str">
            <v>PA SIG. DISCOVER AER 150ML M250 P24 GCPL</v>
          </cell>
          <cell r="D4313">
            <v>0</v>
          </cell>
          <cell r="E4313">
            <v>0</v>
          </cell>
          <cell r="F4313">
            <v>0</v>
          </cell>
        </row>
        <row r="4314">
          <cell r="B4314">
            <v>40059317</v>
          </cell>
          <cell r="C4314" t="str">
            <v>PA SIG. DISCVR AER 150ML (PO3) M250 P48</v>
          </cell>
          <cell r="D4314">
            <v>0</v>
          </cell>
          <cell r="E4314">
            <v>0</v>
          </cell>
          <cell r="F4314">
            <v>0</v>
          </cell>
        </row>
        <row r="4315">
          <cell r="B4315">
            <v>40040590</v>
          </cell>
          <cell r="C4315" t="str">
            <v>PA Perf Elevate 100g(MRP235) RLP72</v>
          </cell>
          <cell r="D4315">
            <v>0</v>
          </cell>
          <cell r="E4315">
            <v>0</v>
          </cell>
          <cell r="F4315">
            <v>0</v>
          </cell>
        </row>
        <row r="4316">
          <cell r="B4316">
            <v>40040617</v>
          </cell>
          <cell r="C4316" t="str">
            <v>PA Perf Elevate 50g(MRP145) RLP72</v>
          </cell>
          <cell r="D4316">
            <v>0</v>
          </cell>
          <cell r="E4316">
            <v>0</v>
          </cell>
          <cell r="F4316">
            <v>0</v>
          </cell>
        </row>
        <row r="4317">
          <cell r="B4317">
            <v>40041072</v>
          </cell>
          <cell r="C4317" t="str">
            <v>PA GM Mega 220 ml(BOGO) Rs.360Â P36</v>
          </cell>
          <cell r="D4317">
            <v>0</v>
          </cell>
          <cell r="E4317">
            <v>0</v>
          </cell>
          <cell r="F4317">
            <v>0</v>
          </cell>
        </row>
        <row r="4318">
          <cell r="B4318">
            <v>40043177</v>
          </cell>
          <cell r="C4318" t="str">
            <v>PA GM PO2 AER 150ML M450 P12 GCPL</v>
          </cell>
          <cell r="D4318">
            <v>0</v>
          </cell>
          <cell r="E4318">
            <v>0</v>
          </cell>
          <cell r="F4318">
            <v>0</v>
          </cell>
        </row>
        <row r="4319">
          <cell r="B4319">
            <v>40040935</v>
          </cell>
          <cell r="C4319" t="str">
            <v>PA GM+Storm+CB 150 ml Aero(MRP 450)P24</v>
          </cell>
          <cell r="D4319">
            <v>0</v>
          </cell>
          <cell r="E4319">
            <v>0</v>
          </cell>
          <cell r="F4319">
            <v>0</v>
          </cell>
        </row>
        <row r="4320">
          <cell r="B4320">
            <v>40041883</v>
          </cell>
          <cell r="C4320" t="str">
            <v>PA GM+Storm+CB 150ml Aero M450 P24 GCPL</v>
          </cell>
          <cell r="D4320">
            <v>0</v>
          </cell>
          <cell r="E4320">
            <v>0</v>
          </cell>
          <cell r="F4320">
            <v>0</v>
          </cell>
        </row>
        <row r="4321">
          <cell r="B4321">
            <v>40043123</v>
          </cell>
          <cell r="C4321" t="str">
            <v>PA GM +CB + STORM AER 150ML M450 P8 GCPL</v>
          </cell>
          <cell r="D4321">
            <v>0</v>
          </cell>
          <cell r="E4321">
            <v>0</v>
          </cell>
          <cell r="F4321">
            <v>0</v>
          </cell>
        </row>
        <row r="4322">
          <cell r="B4322">
            <v>40062002</v>
          </cell>
          <cell r="C4322" t="str">
            <v>PA GM +CB + STRM AER 150ML M450 P16 GCPL</v>
          </cell>
          <cell r="D4322">
            <v>0</v>
          </cell>
          <cell r="E4322">
            <v>0</v>
          </cell>
          <cell r="F4322">
            <v>0</v>
          </cell>
        </row>
        <row r="4323">
          <cell r="B4323">
            <v>40040934</v>
          </cell>
          <cell r="C4323" t="str">
            <v>PA 2GM 1Storm 150 ml Aero(MRP 450)P24</v>
          </cell>
          <cell r="D4323">
            <v>0</v>
          </cell>
          <cell r="E4323">
            <v>0</v>
          </cell>
          <cell r="F4323">
            <v>0</v>
          </cell>
        </row>
        <row r="4324">
          <cell r="B4324">
            <v>40041884</v>
          </cell>
          <cell r="C4324" t="str">
            <v>PA 2GM 1Storm 150ml Aero M450 P24 GCPL</v>
          </cell>
          <cell r="D4324">
            <v>0</v>
          </cell>
          <cell r="E4324">
            <v>0</v>
          </cell>
          <cell r="F4324">
            <v>0</v>
          </cell>
        </row>
        <row r="4325">
          <cell r="B4325">
            <v>40041080</v>
          </cell>
          <cell r="C4325" t="str">
            <v>PA Good MorningMega 220ml (Rs360)P/SP72</v>
          </cell>
          <cell r="D4325">
            <v>0</v>
          </cell>
          <cell r="E4325">
            <v>0</v>
          </cell>
          <cell r="F4325">
            <v>0</v>
          </cell>
        </row>
        <row r="4326">
          <cell r="B4326">
            <v>40041596</v>
          </cell>
          <cell r="C4326" t="str">
            <v>PA GOODMORNMEGA 220ML M360P72 GCPL</v>
          </cell>
          <cell r="D4326">
            <v>0</v>
          </cell>
          <cell r="E4326">
            <v>0</v>
          </cell>
          <cell r="F4326">
            <v>0</v>
          </cell>
        </row>
        <row r="4327">
          <cell r="B4327">
            <v>40050211</v>
          </cell>
          <cell r="C4327" t="str">
            <v>PA GoodMornMega 220ml Rs360 P/SP72 GCPL</v>
          </cell>
          <cell r="D4327">
            <v>0</v>
          </cell>
          <cell r="E4327">
            <v>0</v>
          </cell>
          <cell r="F4327">
            <v>0</v>
          </cell>
        </row>
        <row r="4328">
          <cell r="B4328">
            <v>40059645</v>
          </cell>
          <cell r="C4328" t="str">
            <v>PA GOODMORNMEGA 220ML M350 P72 GCPL</v>
          </cell>
          <cell r="D4328">
            <v>0</v>
          </cell>
          <cell r="E4328">
            <v>0</v>
          </cell>
          <cell r="F4328">
            <v>0</v>
          </cell>
        </row>
        <row r="4329">
          <cell r="B4329">
            <v>40063272</v>
          </cell>
          <cell r="C4329" t="str">
            <v>PA GOODMORNMEGA 220ML M299 P72 GCPL</v>
          </cell>
          <cell r="D4329">
            <v>0</v>
          </cell>
          <cell r="E4329">
            <v>0</v>
          </cell>
          <cell r="F4329">
            <v>0</v>
          </cell>
        </row>
        <row r="4330">
          <cell r="B4330">
            <v>40063541</v>
          </cell>
          <cell r="C4330" t="str">
            <v>PA GM NEW AER 190ML M299 P72</v>
          </cell>
          <cell r="D4330">
            <v>0</v>
          </cell>
          <cell r="E4330">
            <v>0</v>
          </cell>
          <cell r="F4330">
            <v>0</v>
          </cell>
        </row>
        <row r="4331">
          <cell r="B4331">
            <v>40060744</v>
          </cell>
          <cell r="C4331" t="str">
            <v>PA GM PO3 MEGA 220ML M1050 P24 ECOM</v>
          </cell>
          <cell r="D4331">
            <v>0</v>
          </cell>
          <cell r="E4331">
            <v>0</v>
          </cell>
          <cell r="F4331">
            <v>0</v>
          </cell>
        </row>
        <row r="4332">
          <cell r="B4332">
            <v>40063908</v>
          </cell>
          <cell r="C4332" t="str">
            <v>PA GM PO3 MEGA 190ML M897 P24 ECOM</v>
          </cell>
          <cell r="D4332">
            <v>0</v>
          </cell>
          <cell r="E4332">
            <v>0</v>
          </cell>
          <cell r="F4332">
            <v>0</v>
          </cell>
        </row>
        <row r="4333">
          <cell r="B4333">
            <v>40040534</v>
          </cell>
          <cell r="C4333" t="str">
            <v>PA BD GM 100gm LB (MRP199) 72cp RLP72</v>
          </cell>
          <cell r="D4333">
            <v>0</v>
          </cell>
          <cell r="E4333">
            <v>0</v>
          </cell>
          <cell r="F4333">
            <v>0</v>
          </cell>
        </row>
        <row r="4334">
          <cell r="B4334">
            <v>40040848</v>
          </cell>
          <cell r="C4334" t="str">
            <v>PA GM Aerosol 150 ml (MRP 210)P72</v>
          </cell>
          <cell r="D4334">
            <v>0</v>
          </cell>
          <cell r="E4334">
            <v>0</v>
          </cell>
          <cell r="F4334">
            <v>0</v>
          </cell>
        </row>
        <row r="4335">
          <cell r="B4335">
            <v>40040931</v>
          </cell>
          <cell r="C4335" t="str">
            <v>PA GM Aerosol 150 ml (MRP 225)P72</v>
          </cell>
          <cell r="D4335">
            <v>0</v>
          </cell>
          <cell r="E4335">
            <v>0</v>
          </cell>
          <cell r="F4335">
            <v>0</v>
          </cell>
        </row>
        <row r="4336">
          <cell r="B4336">
            <v>40041570</v>
          </cell>
          <cell r="C4336" t="str">
            <v>PA GM Aerosol 150ml M225 P/SP72 GCPL</v>
          </cell>
          <cell r="D4336">
            <v>0</v>
          </cell>
          <cell r="E4336">
            <v>0</v>
          </cell>
          <cell r="F4336">
            <v>0</v>
          </cell>
        </row>
        <row r="4337">
          <cell r="B4337">
            <v>40043158</v>
          </cell>
          <cell r="C4337" t="str">
            <v>PA GM AER 150ML M225 P24 GCPL</v>
          </cell>
          <cell r="D4337">
            <v>0</v>
          </cell>
          <cell r="E4337">
            <v>0</v>
          </cell>
          <cell r="F4337">
            <v>0</v>
          </cell>
        </row>
        <row r="4338">
          <cell r="B4338">
            <v>40059259</v>
          </cell>
          <cell r="C4338" t="str">
            <v>PA GM AER 150ML (PO3 TO) M225 P48GCPL</v>
          </cell>
          <cell r="D4338">
            <v>0</v>
          </cell>
          <cell r="E4338">
            <v>0</v>
          </cell>
          <cell r="F4338">
            <v>0</v>
          </cell>
        </row>
        <row r="4339">
          <cell r="B4339">
            <v>40043950</v>
          </cell>
          <cell r="C4339" t="str">
            <v>PA GM AER 150ML M225 P72 CSD GCPL</v>
          </cell>
          <cell r="D4339">
            <v>0</v>
          </cell>
          <cell r="E4339">
            <v>0</v>
          </cell>
          <cell r="F4339">
            <v>0</v>
          </cell>
        </row>
        <row r="4340">
          <cell r="B4340">
            <v>40041125</v>
          </cell>
          <cell r="C4340" t="str">
            <v>PA Aerosol GM 75ml (MRP 150)P96</v>
          </cell>
          <cell r="D4340">
            <v>0</v>
          </cell>
          <cell r="E4340">
            <v>0</v>
          </cell>
          <cell r="F4340">
            <v>0</v>
          </cell>
        </row>
        <row r="4341">
          <cell r="B4341">
            <v>40056731</v>
          </cell>
          <cell r="C4341" t="str">
            <v>PA AEROSOL GM 75ML (M150)P96LIQ</v>
          </cell>
          <cell r="D4341">
            <v>0</v>
          </cell>
          <cell r="E4341">
            <v>0</v>
          </cell>
          <cell r="F4341">
            <v>0</v>
          </cell>
        </row>
        <row r="4342">
          <cell r="B4342">
            <v>40041096</v>
          </cell>
          <cell r="C4342" t="str">
            <v>PA NaturelCollecMistyTrail150ml RS349P72</v>
          </cell>
          <cell r="D4342">
            <v>0</v>
          </cell>
          <cell r="E4342">
            <v>0</v>
          </cell>
          <cell r="F4342">
            <v>0</v>
          </cell>
        </row>
        <row r="4343">
          <cell r="B4343">
            <v>40040884</v>
          </cell>
          <cell r="C4343" t="str">
            <v>PA Neo Pack of 2 Aero 150 ml (Rs.500)P36</v>
          </cell>
          <cell r="D4343">
            <v>0</v>
          </cell>
          <cell r="E4343">
            <v>0</v>
          </cell>
          <cell r="F4343">
            <v>0</v>
          </cell>
        </row>
        <row r="4344">
          <cell r="B4344">
            <v>40043486</v>
          </cell>
          <cell r="C4344" t="str">
            <v>PA NEO B1G1 AER 150ML M250 P36 GCPL</v>
          </cell>
          <cell r="D4344">
            <v>0</v>
          </cell>
          <cell r="E4344">
            <v>0</v>
          </cell>
          <cell r="F4344">
            <v>0</v>
          </cell>
        </row>
        <row r="4345">
          <cell r="B4345">
            <v>40060745</v>
          </cell>
          <cell r="C4345" t="str">
            <v>PA NEO AER 150ML B1G1 M250 P24 GCPL</v>
          </cell>
          <cell r="D4345">
            <v>0</v>
          </cell>
          <cell r="E4345">
            <v>0</v>
          </cell>
          <cell r="F4345">
            <v>0</v>
          </cell>
        </row>
        <row r="4346">
          <cell r="B4346">
            <v>40041156</v>
          </cell>
          <cell r="C4346" t="str">
            <v>PA NEO MEGA 220 ML (RS.390)P72</v>
          </cell>
          <cell r="D4346">
            <v>0</v>
          </cell>
          <cell r="E4346">
            <v>0</v>
          </cell>
          <cell r="F4346">
            <v>0</v>
          </cell>
        </row>
        <row r="4347">
          <cell r="B4347">
            <v>40041571</v>
          </cell>
          <cell r="C4347" t="str">
            <v>PA NEO MEGA 220 ML (RS.390)P72 GCPL</v>
          </cell>
          <cell r="D4347">
            <v>0</v>
          </cell>
          <cell r="E4347">
            <v>0</v>
          </cell>
          <cell r="F4347">
            <v>0</v>
          </cell>
        </row>
        <row r="4348">
          <cell r="B4348">
            <v>40043394</v>
          </cell>
          <cell r="C4348" t="str">
            <v>PA Deo-Sign Neo 220ml B1G1 P72 M390 Main</v>
          </cell>
          <cell r="D4348">
            <v>0</v>
          </cell>
          <cell r="E4348">
            <v>0</v>
          </cell>
          <cell r="F4348">
            <v>0</v>
          </cell>
        </row>
        <row r="4349">
          <cell r="B4349">
            <v>40058267</v>
          </cell>
          <cell r="C4349" t="str">
            <v>PA NEO MEGA 220 ML M350 P72 GCPL</v>
          </cell>
          <cell r="D4349">
            <v>0</v>
          </cell>
          <cell r="E4349">
            <v>0</v>
          </cell>
          <cell r="F4349">
            <v>0</v>
          </cell>
        </row>
        <row r="4350">
          <cell r="B4350">
            <v>40063270</v>
          </cell>
          <cell r="C4350" t="str">
            <v>PA NEO MEGA 220 ML M299 P72 GCPL</v>
          </cell>
          <cell r="D4350">
            <v>0</v>
          </cell>
          <cell r="E4350">
            <v>0</v>
          </cell>
          <cell r="F4350">
            <v>0</v>
          </cell>
        </row>
        <row r="4351">
          <cell r="B4351">
            <v>40064102</v>
          </cell>
          <cell r="C4351" t="str">
            <v>PA NEO NEW AER FS 190ML M299 P72</v>
          </cell>
          <cell r="D4351">
            <v>0</v>
          </cell>
          <cell r="E4351">
            <v>0</v>
          </cell>
          <cell r="F4351">
            <v>0</v>
          </cell>
        </row>
        <row r="4352">
          <cell r="B4352">
            <v>40063910</v>
          </cell>
          <cell r="C4352" t="str">
            <v>PA NEO PO3 AER 220ML M897 P24 ECOM</v>
          </cell>
          <cell r="D4352">
            <v>0</v>
          </cell>
          <cell r="E4352">
            <v>0</v>
          </cell>
          <cell r="F4352">
            <v>0</v>
          </cell>
        </row>
        <row r="4353">
          <cell r="B4353">
            <v>40040852</v>
          </cell>
          <cell r="C4353" t="str">
            <v>PA Neo Aerosol 150 ml (MRP 250)P72</v>
          </cell>
          <cell r="D4353">
            <v>0</v>
          </cell>
          <cell r="E4353">
            <v>0</v>
          </cell>
          <cell r="F4353">
            <v>0</v>
          </cell>
        </row>
        <row r="4354">
          <cell r="B4354">
            <v>40041077</v>
          </cell>
          <cell r="C4354" t="str">
            <v>PA Neo Aerosol 150 ml (MRP 250) P/SP72</v>
          </cell>
          <cell r="D4354">
            <v>0</v>
          </cell>
          <cell r="E4354">
            <v>0</v>
          </cell>
          <cell r="F4354">
            <v>0</v>
          </cell>
        </row>
        <row r="4355">
          <cell r="B4355">
            <v>40041830</v>
          </cell>
          <cell r="C4355" t="str">
            <v>PA Neo Aerosol 150ml M250 P72 GCPL</v>
          </cell>
          <cell r="D4355">
            <v>0</v>
          </cell>
          <cell r="E4355">
            <v>0</v>
          </cell>
          <cell r="F4355">
            <v>0</v>
          </cell>
        </row>
        <row r="4356">
          <cell r="B4356">
            <v>40043167</v>
          </cell>
          <cell r="C4356" t="str">
            <v>PA NEO AER 150ML M250 P24 GCPL</v>
          </cell>
          <cell r="D4356">
            <v>0</v>
          </cell>
          <cell r="E4356">
            <v>0</v>
          </cell>
          <cell r="F4356">
            <v>0</v>
          </cell>
        </row>
        <row r="4357">
          <cell r="B4357">
            <v>40041119</v>
          </cell>
          <cell r="C4357" t="str">
            <v>PA Sportz Power 150ml  (Rs.250)P72</v>
          </cell>
          <cell r="D4357">
            <v>0</v>
          </cell>
          <cell r="E4357">
            <v>0</v>
          </cell>
          <cell r="F4357">
            <v>0</v>
          </cell>
        </row>
        <row r="4358">
          <cell r="B4358">
            <v>40041121</v>
          </cell>
          <cell r="C4358" t="str">
            <v>PA Sportz Force 150ml (Rs.250)P72</v>
          </cell>
          <cell r="D4358">
            <v>0</v>
          </cell>
          <cell r="E4358">
            <v>0</v>
          </cell>
          <cell r="F4358">
            <v>0</v>
          </cell>
        </row>
        <row r="4359">
          <cell r="B4359">
            <v>40040938</v>
          </cell>
          <cell r="C4359" t="str">
            <v>PA StorMPack of 2Aero 150ml(Rs.450)P36</v>
          </cell>
          <cell r="D4359">
            <v>0</v>
          </cell>
          <cell r="E4359">
            <v>0</v>
          </cell>
          <cell r="F4359">
            <v>0</v>
          </cell>
        </row>
        <row r="4360">
          <cell r="B4360">
            <v>40041081</v>
          </cell>
          <cell r="C4360" t="str">
            <v>PA Storm Mega 220 ml (Rs 360) P/SP72</v>
          </cell>
          <cell r="D4360">
            <v>0</v>
          </cell>
          <cell r="E4360">
            <v>0</v>
          </cell>
          <cell r="F4360">
            <v>0</v>
          </cell>
        </row>
        <row r="4361">
          <cell r="B4361">
            <v>40041598</v>
          </cell>
          <cell r="C4361" t="str">
            <v>PA Storm Mega 220 ml M360 P/S P72 GCPL</v>
          </cell>
          <cell r="D4361">
            <v>0</v>
          </cell>
          <cell r="E4361">
            <v>0</v>
          </cell>
          <cell r="F4361">
            <v>0</v>
          </cell>
        </row>
        <row r="4362">
          <cell r="B4362">
            <v>40040850</v>
          </cell>
          <cell r="C4362" t="str">
            <v>PA Storm Aerosol 150 ml (MRP 210)P72</v>
          </cell>
          <cell r="D4362">
            <v>0</v>
          </cell>
          <cell r="E4362">
            <v>0</v>
          </cell>
          <cell r="F4362">
            <v>0</v>
          </cell>
        </row>
        <row r="4363">
          <cell r="B4363">
            <v>40040933</v>
          </cell>
          <cell r="C4363" t="str">
            <v>PA Storm Aerosol 150 ml (MRP 225)P72</v>
          </cell>
          <cell r="D4363">
            <v>0</v>
          </cell>
          <cell r="E4363">
            <v>0</v>
          </cell>
          <cell r="F4363">
            <v>0</v>
          </cell>
        </row>
        <row r="4364">
          <cell r="B4364">
            <v>40041075</v>
          </cell>
          <cell r="C4364" t="str">
            <v>PA Storm Aerosol 150 ml (MRP 225) P/SP72</v>
          </cell>
          <cell r="D4364">
            <v>0</v>
          </cell>
          <cell r="E4364">
            <v>0</v>
          </cell>
          <cell r="F4364">
            <v>0</v>
          </cell>
        </row>
        <row r="4365">
          <cell r="B4365">
            <v>40042160</v>
          </cell>
          <cell r="C4365" t="str">
            <v>PA STORM AEROSOL 150 ML MRP 225 P/SP72</v>
          </cell>
          <cell r="D4365">
            <v>0</v>
          </cell>
          <cell r="E4365">
            <v>0</v>
          </cell>
          <cell r="F4365">
            <v>0</v>
          </cell>
        </row>
        <row r="4366">
          <cell r="B4366">
            <v>40043175</v>
          </cell>
          <cell r="C4366" t="str">
            <v>PA STORM AER 150ML M225 P24 GCPL</v>
          </cell>
          <cell r="D4366">
            <v>0</v>
          </cell>
          <cell r="E4366">
            <v>0</v>
          </cell>
          <cell r="F4366">
            <v>0</v>
          </cell>
        </row>
        <row r="4367">
          <cell r="B4367">
            <v>40064521</v>
          </cell>
          <cell r="C4367" t="str">
            <v>PA STORM AER 150ML M225 P48 NAW</v>
          </cell>
          <cell r="D4367">
            <v>0</v>
          </cell>
          <cell r="E4367">
            <v>0</v>
          </cell>
          <cell r="F4367">
            <v>0</v>
          </cell>
        </row>
        <row r="4368">
          <cell r="B4368">
            <v>40041097</v>
          </cell>
          <cell r="C4368" t="str">
            <v>PA NaturelCollecSpiceTrail150ml Rs349P72</v>
          </cell>
          <cell r="D4368">
            <v>0</v>
          </cell>
          <cell r="E4368">
            <v>0</v>
          </cell>
          <cell r="F4368">
            <v>0</v>
          </cell>
        </row>
        <row r="4369">
          <cell r="B4369">
            <v>40041122</v>
          </cell>
          <cell r="C4369" t="str">
            <v>PA Sportz Style 150ml (Rs.250P72</v>
          </cell>
          <cell r="D4369">
            <v>0</v>
          </cell>
          <cell r="E4369">
            <v>0</v>
          </cell>
          <cell r="F4369">
            <v>0</v>
          </cell>
        </row>
        <row r="4370">
          <cell r="B4370">
            <v>40041697</v>
          </cell>
          <cell r="C4370" t="str">
            <v>PA BD Tranquil 100g M199 P72 CSD</v>
          </cell>
          <cell r="D4370">
            <v>0</v>
          </cell>
          <cell r="E4370">
            <v>0</v>
          </cell>
          <cell r="F4370">
            <v>0</v>
          </cell>
        </row>
        <row r="4371">
          <cell r="B4371">
            <v>40040940</v>
          </cell>
          <cell r="C4371" t="str">
            <v>PA Vogue Aerosol 150 ml (Rs.225)P72</v>
          </cell>
          <cell r="D4371">
            <v>0</v>
          </cell>
          <cell r="E4371">
            <v>0</v>
          </cell>
          <cell r="F4371">
            <v>0</v>
          </cell>
        </row>
        <row r="4372">
          <cell r="B4372">
            <v>40040337</v>
          </cell>
          <cell r="C4372" t="str">
            <v>PA Premium Body Spray Sig. B2G1 150mlP24</v>
          </cell>
          <cell r="D4372">
            <v>0</v>
          </cell>
          <cell r="E4372">
            <v>0</v>
          </cell>
          <cell r="F4372">
            <v>0</v>
          </cell>
        </row>
        <row r="4373">
          <cell r="B4373">
            <v>40040856</v>
          </cell>
          <cell r="C4373" t="str">
            <v>PA B2 Voy G1 Neo 150 ml Aero(MRP 500)P24</v>
          </cell>
          <cell r="D4373">
            <v>0</v>
          </cell>
          <cell r="E4373">
            <v>0</v>
          </cell>
          <cell r="F4373">
            <v>0</v>
          </cell>
        </row>
        <row r="4374">
          <cell r="B4374">
            <v>40043171</v>
          </cell>
          <cell r="C4374" t="str">
            <v>PA 2VOY 1 NEO AER 150ML M500 P8 GCPL</v>
          </cell>
          <cell r="D4374">
            <v>0</v>
          </cell>
          <cell r="E4374">
            <v>0</v>
          </cell>
          <cell r="F4374">
            <v>0</v>
          </cell>
        </row>
        <row r="4375">
          <cell r="B4375">
            <v>40061718</v>
          </cell>
          <cell r="C4375" t="str">
            <v>PA 2VOY 1 NEO AER 150ML M500 P16 GCPL</v>
          </cell>
          <cell r="D4375">
            <v>0</v>
          </cell>
          <cell r="E4375">
            <v>0</v>
          </cell>
          <cell r="F4375">
            <v>0</v>
          </cell>
        </row>
        <row r="4376">
          <cell r="B4376">
            <v>40041083</v>
          </cell>
          <cell r="C4376" t="str">
            <v>PA Voyage Mega 220 ml (Rs.375) P/SP72</v>
          </cell>
          <cell r="D4376">
            <v>0</v>
          </cell>
          <cell r="E4376">
            <v>0</v>
          </cell>
          <cell r="F4376">
            <v>0</v>
          </cell>
        </row>
        <row r="4377">
          <cell r="B4377">
            <v>40041702</v>
          </cell>
          <cell r="C4377" t="str">
            <v>PA VOYAGE MEGA 220 ML M390P72 GCPL</v>
          </cell>
          <cell r="D4377">
            <v>0</v>
          </cell>
          <cell r="E4377">
            <v>0</v>
          </cell>
          <cell r="F4377">
            <v>0</v>
          </cell>
        </row>
        <row r="4378">
          <cell r="B4378">
            <v>40043219</v>
          </cell>
          <cell r="C4378" t="str">
            <v>PA VOYAGE AER 220ML M390 P24 GCPL</v>
          </cell>
          <cell r="D4378">
            <v>0</v>
          </cell>
          <cell r="E4378">
            <v>0</v>
          </cell>
          <cell r="F4378">
            <v>0</v>
          </cell>
        </row>
        <row r="4379">
          <cell r="B4379">
            <v>40058268</v>
          </cell>
          <cell r="C4379" t="str">
            <v>PA VOYAGE MEGA 220 ML M350P72 GCPL</v>
          </cell>
          <cell r="D4379">
            <v>0</v>
          </cell>
          <cell r="E4379">
            <v>0</v>
          </cell>
          <cell r="F4379">
            <v>0</v>
          </cell>
        </row>
        <row r="4380">
          <cell r="B4380">
            <v>40059235</v>
          </cell>
          <cell r="C4380" t="str">
            <v>PA VOYAGE MEGA 220 ML M390P72 GCPL</v>
          </cell>
          <cell r="D4380">
            <v>0</v>
          </cell>
          <cell r="E4380">
            <v>0</v>
          </cell>
          <cell r="F4380">
            <v>0</v>
          </cell>
        </row>
        <row r="4381">
          <cell r="B4381">
            <v>40063271</v>
          </cell>
          <cell r="C4381" t="str">
            <v>PA VOYAGE MEGA 220 ML M299P72 GCPL</v>
          </cell>
          <cell r="D4381">
            <v>0</v>
          </cell>
          <cell r="E4381">
            <v>0</v>
          </cell>
          <cell r="F4381">
            <v>0</v>
          </cell>
        </row>
        <row r="4382">
          <cell r="B4382">
            <v>40050784</v>
          </cell>
          <cell r="C4382" t="str">
            <v>PA VOYAGE 220ML M1170 P24 RPK EMIZAPO3</v>
          </cell>
          <cell r="D4382">
            <v>0</v>
          </cell>
          <cell r="E4382">
            <v>0</v>
          </cell>
          <cell r="F4382">
            <v>0</v>
          </cell>
        </row>
        <row r="4383">
          <cell r="B4383">
            <v>40041076</v>
          </cell>
          <cell r="C4383" t="str">
            <v>PA Voyage Aerosol 150 ml (M 250) P/SP72</v>
          </cell>
          <cell r="D4383">
            <v>0</v>
          </cell>
          <cell r="E4383">
            <v>0</v>
          </cell>
          <cell r="F4383">
            <v>0</v>
          </cell>
        </row>
        <row r="4384">
          <cell r="B4384">
            <v>40042159</v>
          </cell>
          <cell r="C4384" t="str">
            <v>PA VOYAGE AEROSOL 150 ML M 250 P/SP72</v>
          </cell>
          <cell r="D4384">
            <v>0</v>
          </cell>
          <cell r="E4384">
            <v>0</v>
          </cell>
          <cell r="F4384">
            <v>0</v>
          </cell>
        </row>
        <row r="4385">
          <cell r="B4385">
            <v>40059119</v>
          </cell>
          <cell r="C4385" t="str">
            <v>PA VOYAGE AER 150 ML/107G M250 P24 GCPL</v>
          </cell>
          <cell r="D4385">
            <v>0</v>
          </cell>
          <cell r="E4385">
            <v>0</v>
          </cell>
          <cell r="F4385">
            <v>0</v>
          </cell>
        </row>
        <row r="4386">
          <cell r="B4386">
            <v>40059325</v>
          </cell>
          <cell r="C4386" t="str">
            <v>PA VOYAGE AER 150 ML (PO3) M250 P48 GCPL</v>
          </cell>
          <cell r="D4386">
            <v>0</v>
          </cell>
          <cell r="E4386">
            <v>0</v>
          </cell>
          <cell r="F4386">
            <v>0</v>
          </cell>
        </row>
        <row r="4387">
          <cell r="B4387">
            <v>40041126</v>
          </cell>
          <cell r="C4387" t="str">
            <v>PA Aerosol Voyage 75ml (MRP 160)P96</v>
          </cell>
          <cell r="D4387">
            <v>0</v>
          </cell>
          <cell r="E4387">
            <v>0</v>
          </cell>
          <cell r="F4387">
            <v>0</v>
          </cell>
        </row>
        <row r="4388">
          <cell r="B4388">
            <v>40056321</v>
          </cell>
          <cell r="C4388" t="str">
            <v>PA EDP TWIN COMBO PACK M1499 P10</v>
          </cell>
          <cell r="D4388">
            <v>0</v>
          </cell>
          <cell r="E4388">
            <v>0</v>
          </cell>
          <cell r="F4388">
            <v>0</v>
          </cell>
        </row>
        <row r="4389">
          <cell r="B4389">
            <v>40062871</v>
          </cell>
          <cell r="C4389" t="str">
            <v>PA EDP TWINPCK EUPHORIA+CONQUER M1599P10</v>
          </cell>
          <cell r="D4389">
            <v>0</v>
          </cell>
          <cell r="E4389">
            <v>0</v>
          </cell>
          <cell r="F4389">
            <v>0</v>
          </cell>
        </row>
        <row r="4390">
          <cell r="B4390">
            <v>40043199</v>
          </cell>
          <cell r="C4390" t="str">
            <v>PA EDP CONQUER 10ML TESTERSP216(1+1)FRW</v>
          </cell>
          <cell r="D4390">
            <v>0</v>
          </cell>
          <cell r="E4390">
            <v>0</v>
          </cell>
          <cell r="F4390">
            <v>0</v>
          </cell>
        </row>
        <row r="4391">
          <cell r="B4391">
            <v>40064556</v>
          </cell>
          <cell r="C4391" t="str">
            <v>PA EDP ECH 3X24 10 ML TESTERM0P72</v>
          </cell>
          <cell r="D4391">
            <v>0</v>
          </cell>
          <cell r="E4391">
            <v>0</v>
          </cell>
          <cell r="F4391">
            <v>0</v>
          </cell>
        </row>
        <row r="4392">
          <cell r="B4392">
            <v>40064557</v>
          </cell>
          <cell r="C4392" t="str">
            <v>PA EDP KSO 3X24 10 ML TESTERM0P72</v>
          </cell>
          <cell r="D4392">
            <v>0</v>
          </cell>
          <cell r="E4392">
            <v>0</v>
          </cell>
          <cell r="F4392">
            <v>0</v>
          </cell>
        </row>
        <row r="4393">
          <cell r="B4393">
            <v>40040436</v>
          </cell>
          <cell r="C4393" t="str">
            <v>PA EDP Conquer 100 ml (MRP 699) NewP18</v>
          </cell>
          <cell r="D4393">
            <v>0</v>
          </cell>
          <cell r="E4393">
            <v>0</v>
          </cell>
          <cell r="F4393">
            <v>0</v>
          </cell>
        </row>
        <row r="4394">
          <cell r="B4394">
            <v>40040814</v>
          </cell>
          <cell r="C4394" t="str">
            <v>PA EDP Conquer 100 ml (Rs.749)P18</v>
          </cell>
          <cell r="D4394">
            <v>0</v>
          </cell>
          <cell r="E4394">
            <v>0</v>
          </cell>
          <cell r="F4394">
            <v>0</v>
          </cell>
        </row>
        <row r="4395">
          <cell r="B4395">
            <v>40050077</v>
          </cell>
          <cell r="C4395" t="str">
            <v>PA EDP CONQUER 100ML G M799 P18</v>
          </cell>
          <cell r="D4395">
            <v>0</v>
          </cell>
          <cell r="E4395">
            <v>0</v>
          </cell>
          <cell r="F4395">
            <v>0</v>
          </cell>
        </row>
        <row r="4396">
          <cell r="B4396">
            <v>40059571</v>
          </cell>
          <cell r="C4396" t="str">
            <v>PA EDP CONQUER 100ML(3+1)GT TSTR M599P6</v>
          </cell>
          <cell r="D4396">
            <v>0</v>
          </cell>
          <cell r="E4396">
            <v>0</v>
          </cell>
          <cell r="F4396">
            <v>0</v>
          </cell>
        </row>
        <row r="4397">
          <cell r="B4397">
            <v>40042896</v>
          </cell>
          <cell r="C4397" t="str">
            <v>PA EDP CONQUER50ML W10MLTESTER M449 P36</v>
          </cell>
          <cell r="D4397">
            <v>0</v>
          </cell>
          <cell r="E4397">
            <v>0</v>
          </cell>
          <cell r="F4397">
            <v>0</v>
          </cell>
        </row>
        <row r="4398">
          <cell r="B4398">
            <v>40056582</v>
          </cell>
          <cell r="C4398" t="str">
            <v>PA EDP CONQUER 50ML+10MLTSTR M399P12FC</v>
          </cell>
          <cell r="D4398">
            <v>0</v>
          </cell>
          <cell r="E4398">
            <v>0</v>
          </cell>
          <cell r="F4398">
            <v>0</v>
          </cell>
        </row>
        <row r="4399">
          <cell r="B4399">
            <v>40059618</v>
          </cell>
          <cell r="C4399" t="str">
            <v>PA EDP DISCOVERER 100ML M799 P6 -  MT</v>
          </cell>
          <cell r="D4399">
            <v>0</v>
          </cell>
          <cell r="E4399">
            <v>0</v>
          </cell>
          <cell r="F4399">
            <v>0</v>
          </cell>
        </row>
        <row r="4400">
          <cell r="B4400">
            <v>40059732</v>
          </cell>
          <cell r="C4400" t="str">
            <v>PA FEM EDP ALLURE 100ML M799 P6-C</v>
          </cell>
          <cell r="D4400">
            <v>0</v>
          </cell>
          <cell r="E4400">
            <v>0</v>
          </cell>
          <cell r="F4400">
            <v>0</v>
          </cell>
        </row>
        <row r="4401">
          <cell r="B4401">
            <v>40059716</v>
          </cell>
          <cell r="C4401" t="str">
            <v>PA FEM EDP GRACE 100ML M799 P6-C</v>
          </cell>
          <cell r="D4401">
            <v>0</v>
          </cell>
          <cell r="E4401">
            <v>0</v>
          </cell>
          <cell r="F4401">
            <v>0</v>
          </cell>
        </row>
        <row r="4402">
          <cell r="B4402">
            <v>40063390</v>
          </cell>
          <cell r="C4402" t="str">
            <v>PA FEDPGRACE 100ML(5+1)+3*10MLM599P5 GT</v>
          </cell>
          <cell r="D4402">
            <v>0</v>
          </cell>
          <cell r="E4402">
            <v>0</v>
          </cell>
          <cell r="F4402">
            <v>0</v>
          </cell>
        </row>
        <row r="4403">
          <cell r="B4403">
            <v>40059731</v>
          </cell>
          <cell r="C4403" t="str">
            <v>PA FEM EDP VERVE 100ML M799 P6-C</v>
          </cell>
          <cell r="D4403">
            <v>0</v>
          </cell>
          <cell r="E4403">
            <v>0</v>
          </cell>
          <cell r="F4403">
            <v>0</v>
          </cell>
        </row>
        <row r="4404">
          <cell r="B4404">
            <v>40062829</v>
          </cell>
          <cell r="C4404" t="str">
            <v>PA FEDP TWIN ALLURE+GRACE 100ML M1599P10</v>
          </cell>
          <cell r="D4404">
            <v>0</v>
          </cell>
          <cell r="E4404">
            <v>0</v>
          </cell>
          <cell r="F4404">
            <v>0</v>
          </cell>
        </row>
        <row r="4405">
          <cell r="B4405">
            <v>40041091</v>
          </cell>
          <cell r="C4405" t="str">
            <v>PA EDP Dyanmo 100ml (Rs 1200)P24</v>
          </cell>
          <cell r="D4405">
            <v>0</v>
          </cell>
          <cell r="E4405">
            <v>0</v>
          </cell>
          <cell r="F4405">
            <v>0</v>
          </cell>
        </row>
        <row r="4406">
          <cell r="B4406">
            <v>40040813</v>
          </cell>
          <cell r="C4406" t="str">
            <v>PA EDP Euphoria 100 ml (Rs.749)P18</v>
          </cell>
          <cell r="D4406">
            <v>0</v>
          </cell>
          <cell r="E4406">
            <v>0</v>
          </cell>
          <cell r="F4406">
            <v>0</v>
          </cell>
        </row>
        <row r="4407">
          <cell r="B4407">
            <v>40042908</v>
          </cell>
          <cell r="C4407" t="str">
            <v>PA EDP EUPHORIA 100ML W10MLTSTR M749 P18</v>
          </cell>
          <cell r="D4407">
            <v>0</v>
          </cell>
          <cell r="E4407">
            <v>0</v>
          </cell>
          <cell r="F4407">
            <v>0</v>
          </cell>
        </row>
        <row r="4408">
          <cell r="B4408">
            <v>40050068</v>
          </cell>
          <cell r="C4408" t="str">
            <v>PA EDP EUPHORIA 100ML G M799 P18</v>
          </cell>
          <cell r="D4408">
            <v>0</v>
          </cell>
          <cell r="E4408">
            <v>0</v>
          </cell>
          <cell r="F4408">
            <v>0</v>
          </cell>
        </row>
        <row r="4409">
          <cell r="B4409">
            <v>40056811</v>
          </cell>
          <cell r="C4409" t="str">
            <v>PA EDP EUPHORIA 100ML GT TSTR M599 P6</v>
          </cell>
          <cell r="D4409">
            <v>0</v>
          </cell>
          <cell r="E4409">
            <v>0</v>
          </cell>
          <cell r="F4409">
            <v>0</v>
          </cell>
        </row>
        <row r="4410">
          <cell r="B4410">
            <v>40059412</v>
          </cell>
          <cell r="C4410" t="str">
            <v>PA EDP EUPHORIA100ML(3+1) GT TST M599P6</v>
          </cell>
          <cell r="D4410">
            <v>0</v>
          </cell>
          <cell r="E4410">
            <v>0</v>
          </cell>
          <cell r="F4410">
            <v>0</v>
          </cell>
        </row>
        <row r="4411">
          <cell r="B4411">
            <v>40063277</v>
          </cell>
          <cell r="C4411" t="str">
            <v>PA EDP EUPH 100ML(10+2)M599 P10 GT NEWAW</v>
          </cell>
          <cell r="D4411">
            <v>0</v>
          </cell>
          <cell r="E4411">
            <v>0</v>
          </cell>
          <cell r="F4411">
            <v>0</v>
          </cell>
        </row>
        <row r="4412">
          <cell r="B4412">
            <v>40040810</v>
          </cell>
          <cell r="C4412" t="str">
            <v>PA EDP Euphoria 50 ml (Rs.449)P36</v>
          </cell>
          <cell r="D4412">
            <v>0</v>
          </cell>
          <cell r="E4412">
            <v>0</v>
          </cell>
          <cell r="F4412">
            <v>0</v>
          </cell>
        </row>
        <row r="4413">
          <cell r="B4413">
            <v>40042883</v>
          </cell>
          <cell r="C4413" t="str">
            <v>PA EDP EUPHORIA50ML W10MLTESTER M449 P36</v>
          </cell>
          <cell r="D4413">
            <v>0</v>
          </cell>
          <cell r="E4413">
            <v>0</v>
          </cell>
          <cell r="F4413">
            <v>0</v>
          </cell>
        </row>
        <row r="4414">
          <cell r="B4414">
            <v>40043004</v>
          </cell>
          <cell r="C4414" t="str">
            <v>PA EDP EUPHORIA50ML W10MLTESTER M399P36</v>
          </cell>
          <cell r="D4414">
            <v>0</v>
          </cell>
          <cell r="E4414">
            <v>0</v>
          </cell>
          <cell r="F4414">
            <v>0</v>
          </cell>
        </row>
        <row r="4415">
          <cell r="B4415">
            <v>40057242</v>
          </cell>
          <cell r="C4415" t="str">
            <v>PA EDP EUPHORIA50ML W10MLTESTER M399P12</v>
          </cell>
          <cell r="D4415">
            <v>0</v>
          </cell>
          <cell r="E4415">
            <v>0</v>
          </cell>
          <cell r="F4415">
            <v>0</v>
          </cell>
        </row>
        <row r="4416">
          <cell r="B4416">
            <v>40061169</v>
          </cell>
          <cell r="C4416" t="str">
            <v>PA EDP EUPHORIA50ML W10MLTST M399P36-LIQ</v>
          </cell>
          <cell r="D4416">
            <v>0</v>
          </cell>
          <cell r="E4416">
            <v>0</v>
          </cell>
          <cell r="F4416">
            <v>0</v>
          </cell>
        </row>
        <row r="4417">
          <cell r="B4417">
            <v>40056589</v>
          </cell>
          <cell r="C4417" t="str">
            <v>PA EDP EUPHORIA50ML M399P12 FC- MT</v>
          </cell>
          <cell r="D4417">
            <v>0</v>
          </cell>
          <cell r="E4417">
            <v>0</v>
          </cell>
          <cell r="F4417">
            <v>0</v>
          </cell>
        </row>
        <row r="4418">
          <cell r="B4418">
            <v>40064505</v>
          </cell>
          <cell r="C4418" t="str">
            <v>PA EDP EUPHORIA50ML M399P12 REFRESH</v>
          </cell>
          <cell r="D4418">
            <v>0</v>
          </cell>
          <cell r="E4418">
            <v>0</v>
          </cell>
          <cell r="F4418">
            <v>0</v>
          </cell>
        </row>
        <row r="4419">
          <cell r="B4419">
            <v>40042751</v>
          </cell>
          <cell r="C4419" t="str">
            <v>PA EDP EUPHORIA 25ML TESTER P36 (1+1)FRW</v>
          </cell>
          <cell r="D4419">
            <v>0</v>
          </cell>
          <cell r="E4419">
            <v>0</v>
          </cell>
          <cell r="F4419">
            <v>0</v>
          </cell>
        </row>
        <row r="4420">
          <cell r="B4420">
            <v>40041094</v>
          </cell>
          <cell r="C4420" t="str">
            <v>PA EDP Founder 100ml (Rs 1200)P24</v>
          </cell>
          <cell r="D4420">
            <v>0</v>
          </cell>
          <cell r="E4420">
            <v>0</v>
          </cell>
          <cell r="F4420">
            <v>0</v>
          </cell>
        </row>
        <row r="4421">
          <cell r="B4421">
            <v>40062378</v>
          </cell>
          <cell r="C4421" t="str">
            <v>PA EDP 2X20ML EUPHORIA+CONQUER M799 P24</v>
          </cell>
          <cell r="D4421">
            <v>0</v>
          </cell>
          <cell r="E4421">
            <v>0</v>
          </cell>
          <cell r="F4421">
            <v>0</v>
          </cell>
        </row>
        <row r="4422">
          <cell r="B4422">
            <v>40059567</v>
          </cell>
          <cell r="C4422" t="str">
            <v>PA FEDP 4X20ML GIFT SET M849 P12 (WKIT)</v>
          </cell>
          <cell r="D4422">
            <v>0</v>
          </cell>
          <cell r="E4422">
            <v>0</v>
          </cell>
          <cell r="F4422">
            <v>0</v>
          </cell>
        </row>
        <row r="4423">
          <cell r="B4423">
            <v>40050688</v>
          </cell>
          <cell r="C4423" t="str">
            <v>PA EDP 4X20ML GIFT SET M649 P24</v>
          </cell>
          <cell r="D4423">
            <v>0</v>
          </cell>
          <cell r="E4423">
            <v>0</v>
          </cell>
          <cell r="F4423">
            <v>0</v>
          </cell>
        </row>
        <row r="4424">
          <cell r="B4424">
            <v>40056587</v>
          </cell>
          <cell r="C4424" t="str">
            <v>PA EDP 4X20ML WIN GFT SET M649P12 TT</v>
          </cell>
          <cell r="D4424">
            <v>0</v>
          </cell>
          <cell r="E4424">
            <v>0</v>
          </cell>
          <cell r="F4424">
            <v>0</v>
          </cell>
        </row>
        <row r="4425">
          <cell r="B4425">
            <v>40056855</v>
          </cell>
          <cell r="C4425" t="str">
            <v>PA EDP 4X20ML WIN GFT SET M649P12</v>
          </cell>
          <cell r="D4425">
            <v>0</v>
          </cell>
          <cell r="E4425">
            <v>0</v>
          </cell>
          <cell r="F4425">
            <v>0</v>
          </cell>
        </row>
        <row r="4426">
          <cell r="B4426">
            <v>40064705</v>
          </cell>
          <cell r="C4426" t="str">
            <v>PA EDP 4X20ML GIFT SET M849 P24 (ECHO)</v>
          </cell>
          <cell r="D4426">
            <v>0</v>
          </cell>
          <cell r="E4426">
            <v>0</v>
          </cell>
          <cell r="F4426">
            <v>0</v>
          </cell>
        </row>
        <row r="4427">
          <cell r="B4427">
            <v>40059565</v>
          </cell>
          <cell r="C4427" t="str">
            <v>PA FEDP 4X20ML GIFT SET M849 P24 (OKIT)</v>
          </cell>
          <cell r="D4427">
            <v>0</v>
          </cell>
          <cell r="E4427">
            <v>0</v>
          </cell>
          <cell r="F4427">
            <v>0</v>
          </cell>
        </row>
        <row r="4428">
          <cell r="B4428">
            <v>40063471</v>
          </cell>
          <cell r="C4428" t="str">
            <v>PA FEDP 4X20ML GIFT SET M649 P12 (WKIT)</v>
          </cell>
          <cell r="D4428">
            <v>0</v>
          </cell>
          <cell r="E4428">
            <v>0</v>
          </cell>
          <cell r="F4428">
            <v>0</v>
          </cell>
        </row>
        <row r="4429">
          <cell r="B4429">
            <v>40041046</v>
          </cell>
          <cell r="C4429" t="str">
            <v>PA EDP Good Morning 25 mlP36</v>
          </cell>
          <cell r="D4429">
            <v>0</v>
          </cell>
          <cell r="E4429">
            <v>0</v>
          </cell>
          <cell r="F4429">
            <v>0</v>
          </cell>
        </row>
        <row r="4430">
          <cell r="B4430">
            <v>40040816</v>
          </cell>
          <cell r="C4430" t="str">
            <v>PA EDP Good Morning 50 ml (Rs.349)P36</v>
          </cell>
          <cell r="D4430">
            <v>0</v>
          </cell>
          <cell r="E4430">
            <v>0</v>
          </cell>
          <cell r="F4430">
            <v>0</v>
          </cell>
        </row>
        <row r="4431">
          <cell r="B4431">
            <v>40043905</v>
          </cell>
          <cell r="C4431" t="str">
            <v>PA EDP GOOD MORNING 50ML G M399 P36</v>
          </cell>
          <cell r="D4431">
            <v>0</v>
          </cell>
          <cell r="E4431">
            <v>0</v>
          </cell>
          <cell r="F4431">
            <v>0</v>
          </cell>
        </row>
        <row r="4432">
          <cell r="B4432">
            <v>40042712</v>
          </cell>
          <cell r="C4432" t="str">
            <v>PA EDP HARMONY 100ML G M749 P18</v>
          </cell>
          <cell r="D4432">
            <v>0</v>
          </cell>
          <cell r="E4432">
            <v>0</v>
          </cell>
          <cell r="F4432">
            <v>0</v>
          </cell>
        </row>
        <row r="4433">
          <cell r="B4433">
            <v>40050069</v>
          </cell>
          <cell r="C4433" t="str">
            <v>PA EDP HARMONY 100ML G M799 P18</v>
          </cell>
          <cell r="D4433">
            <v>0</v>
          </cell>
          <cell r="E4433">
            <v>0</v>
          </cell>
          <cell r="F4433">
            <v>0</v>
          </cell>
        </row>
        <row r="4434">
          <cell r="B4434">
            <v>40056809</v>
          </cell>
          <cell r="C4434" t="str">
            <v>PA EDP HARMONY 100ML GT TSTR M599 P6</v>
          </cell>
          <cell r="D4434">
            <v>0</v>
          </cell>
          <cell r="E4434">
            <v>0</v>
          </cell>
          <cell r="F4434">
            <v>0</v>
          </cell>
        </row>
        <row r="4435">
          <cell r="B4435">
            <v>40040812</v>
          </cell>
          <cell r="C4435" t="str">
            <v>PA EDP Harmony 50 ml (Rs.449)P36</v>
          </cell>
          <cell r="D4435">
            <v>0</v>
          </cell>
          <cell r="E4435">
            <v>0</v>
          </cell>
          <cell r="F4435">
            <v>0</v>
          </cell>
        </row>
        <row r="4436">
          <cell r="B4436">
            <v>40042330</v>
          </cell>
          <cell r="C4436" t="str">
            <v>PA EDP HARMONY 50ML M449 P36</v>
          </cell>
          <cell r="D4436">
            <v>0</v>
          </cell>
          <cell r="E4436">
            <v>0</v>
          </cell>
          <cell r="F4436">
            <v>0</v>
          </cell>
        </row>
        <row r="4437">
          <cell r="B4437">
            <v>40042895</v>
          </cell>
          <cell r="C4437" t="str">
            <v>PA EDP HARMONY50ML W10MLTESTER M449 P36</v>
          </cell>
          <cell r="D4437">
            <v>0</v>
          </cell>
          <cell r="E4437">
            <v>0</v>
          </cell>
          <cell r="F4437">
            <v>0</v>
          </cell>
        </row>
        <row r="4438">
          <cell r="B4438">
            <v>40056573</v>
          </cell>
          <cell r="C4438" t="str">
            <v>PA EDP HARMONY 50ML+10MLTSTR M399P12FC</v>
          </cell>
          <cell r="D4438">
            <v>0</v>
          </cell>
          <cell r="E4438">
            <v>0</v>
          </cell>
          <cell r="F4438">
            <v>0</v>
          </cell>
        </row>
        <row r="4439">
          <cell r="B4439">
            <v>40057277</v>
          </cell>
          <cell r="C4439" t="str">
            <v>PA EDP HARMONY 50ML M399P12 - MT</v>
          </cell>
          <cell r="D4439">
            <v>0</v>
          </cell>
          <cell r="E4439">
            <v>0</v>
          </cell>
          <cell r="F4439">
            <v>0</v>
          </cell>
        </row>
        <row r="4440">
          <cell r="B4440">
            <v>40042760</v>
          </cell>
          <cell r="C4440" t="str">
            <v>PA EDP HARMONY 25ML TESTER P36 (1+1)FRW</v>
          </cell>
          <cell r="D4440">
            <v>0</v>
          </cell>
          <cell r="E4440">
            <v>0</v>
          </cell>
          <cell r="F4440">
            <v>0</v>
          </cell>
        </row>
        <row r="4441">
          <cell r="B4441">
            <v>40041109</v>
          </cell>
          <cell r="C4441" t="str">
            <v>PA EDP Knight 100ml MRP 499P24</v>
          </cell>
          <cell r="D4441">
            <v>0</v>
          </cell>
          <cell r="E4441">
            <v>0</v>
          </cell>
          <cell r="F4441">
            <v>0</v>
          </cell>
        </row>
        <row r="4442">
          <cell r="B4442">
            <v>40050146</v>
          </cell>
          <cell r="C4442" t="str">
            <v>PA EDP KNIGHT 100ML G M499 P12</v>
          </cell>
          <cell r="D4442">
            <v>0</v>
          </cell>
          <cell r="E4442">
            <v>0</v>
          </cell>
          <cell r="F4442">
            <v>0</v>
          </cell>
        </row>
        <row r="4443">
          <cell r="B4443">
            <v>40056524</v>
          </cell>
          <cell r="C4443" t="str">
            <v>PA EDP KNIGHT 100ML G M499 P12 (INC RM)</v>
          </cell>
          <cell r="D4443">
            <v>0</v>
          </cell>
          <cell r="E4443">
            <v>0</v>
          </cell>
          <cell r="F4443">
            <v>0</v>
          </cell>
        </row>
        <row r="4444">
          <cell r="B4444">
            <v>40057131</v>
          </cell>
          <cell r="C4444" t="str">
            <v>PA EDP OUD 100ML M999 P12 ECOM</v>
          </cell>
          <cell r="D4444">
            <v>0</v>
          </cell>
          <cell r="E4444">
            <v>0</v>
          </cell>
          <cell r="F4444">
            <v>0</v>
          </cell>
        </row>
        <row r="4445">
          <cell r="B4445">
            <v>40059407</v>
          </cell>
          <cell r="C4445" t="str">
            <v>PA EDP OUD 100ML M399 P12 GT</v>
          </cell>
          <cell r="D4445">
            <v>0</v>
          </cell>
          <cell r="E4445">
            <v>0</v>
          </cell>
          <cell r="F4445">
            <v>0</v>
          </cell>
        </row>
        <row r="4446">
          <cell r="B4446">
            <v>40065715</v>
          </cell>
          <cell r="C4446" t="str">
            <v>EDP OUD100ML M399 P12 STICKER</v>
          </cell>
          <cell r="D4446">
            <v>0</v>
          </cell>
          <cell r="E4446">
            <v>0</v>
          </cell>
          <cell r="F4446">
            <v>0</v>
          </cell>
        </row>
        <row r="4447">
          <cell r="B4447">
            <v>40062477</v>
          </cell>
          <cell r="C4447" t="str">
            <v>PA EDP OUD 100ML(5+1 TESTER) M499 P12 GT</v>
          </cell>
          <cell r="D4447">
            <v>0</v>
          </cell>
          <cell r="E4447">
            <v>0</v>
          </cell>
          <cell r="F4447">
            <v>0</v>
          </cell>
        </row>
        <row r="4448">
          <cell r="B4448">
            <v>40041085</v>
          </cell>
          <cell r="C4448" t="str">
            <v>PA EDP Samurai 75ml MRP 499P24</v>
          </cell>
          <cell r="D4448">
            <v>0</v>
          </cell>
          <cell r="E4448">
            <v>0</v>
          </cell>
          <cell r="F4448">
            <v>0</v>
          </cell>
        </row>
        <row r="4449">
          <cell r="B4449">
            <v>40041110</v>
          </cell>
          <cell r="C4449" t="str">
            <v>PA EDP Samurai 100ml MRP 499P24</v>
          </cell>
          <cell r="D4449">
            <v>0</v>
          </cell>
          <cell r="E4449">
            <v>0</v>
          </cell>
          <cell r="F4449">
            <v>0</v>
          </cell>
        </row>
        <row r="4450">
          <cell r="B4450">
            <v>40043151</v>
          </cell>
          <cell r="C4450" t="str">
            <v>PA EDP SAMURAI 100ML G M499 P24</v>
          </cell>
          <cell r="D4450">
            <v>0</v>
          </cell>
          <cell r="E4450">
            <v>0</v>
          </cell>
          <cell r="F4450">
            <v>0</v>
          </cell>
        </row>
        <row r="4451">
          <cell r="B4451">
            <v>40050149</v>
          </cell>
          <cell r="C4451" t="str">
            <v>PA EDP SAMURAI 100ML G M499 P12</v>
          </cell>
          <cell r="D4451">
            <v>0</v>
          </cell>
          <cell r="E4451">
            <v>0</v>
          </cell>
          <cell r="F4451">
            <v>0</v>
          </cell>
        </row>
        <row r="4452">
          <cell r="B4452">
            <v>40056459</v>
          </cell>
          <cell r="C4452" t="str">
            <v>PA EDP SAMURAI 100ML G M499 P24 (INC RM)</v>
          </cell>
          <cell r="D4452">
            <v>0</v>
          </cell>
          <cell r="E4452">
            <v>0</v>
          </cell>
          <cell r="F4452">
            <v>0</v>
          </cell>
        </row>
        <row r="4453">
          <cell r="B4453">
            <v>40057848</v>
          </cell>
          <cell r="C4453" t="str">
            <v>PA EDP SAMURAI 100ML G M599 P12</v>
          </cell>
          <cell r="D4453">
            <v>0</v>
          </cell>
          <cell r="E4453">
            <v>0</v>
          </cell>
          <cell r="F4453">
            <v>0</v>
          </cell>
        </row>
        <row r="4454">
          <cell r="B4454">
            <v>40042740</v>
          </cell>
          <cell r="C4454" t="str">
            <v>PA EDP VOYAGE 50ML G M399 P36</v>
          </cell>
          <cell r="D4454">
            <v>0</v>
          </cell>
          <cell r="E4454">
            <v>0</v>
          </cell>
          <cell r="F4454">
            <v>0</v>
          </cell>
        </row>
        <row r="4455">
          <cell r="B4455">
            <v>40050107</v>
          </cell>
          <cell r="C4455" t="str">
            <v>PA EDP VOYAGE 50ML G M399 P12</v>
          </cell>
          <cell r="D4455">
            <v>0</v>
          </cell>
          <cell r="E4455">
            <v>0</v>
          </cell>
          <cell r="F4455">
            <v>0</v>
          </cell>
        </row>
        <row r="4456">
          <cell r="B4456">
            <v>40060218</v>
          </cell>
          <cell r="C4456" t="str">
            <v>PA EDP VOYAGE 50ML G M399 P12 KITTING</v>
          </cell>
          <cell r="D4456">
            <v>0</v>
          </cell>
          <cell r="E4456">
            <v>0</v>
          </cell>
          <cell r="F4456">
            <v>0</v>
          </cell>
        </row>
        <row r="4457">
          <cell r="B4457">
            <v>40041124</v>
          </cell>
          <cell r="C4457" t="str">
            <v>KS SparkAer150ml+SprkMist135ml(Rs450)P28</v>
          </cell>
          <cell r="D4457">
            <v>0</v>
          </cell>
          <cell r="E4457">
            <v>0</v>
          </cell>
          <cell r="F4457">
            <v>0</v>
          </cell>
        </row>
        <row r="4458">
          <cell r="B4458">
            <v>40040838</v>
          </cell>
          <cell r="C4458" t="str">
            <v>KS Spark PowSeries 135ml (Rs.220)P48</v>
          </cell>
          <cell r="D4458">
            <v>0</v>
          </cell>
          <cell r="E4458">
            <v>0</v>
          </cell>
          <cell r="F4458">
            <v>0</v>
          </cell>
        </row>
        <row r="4459">
          <cell r="B4459">
            <v>40041163</v>
          </cell>
          <cell r="C4459" t="str">
            <v>KS SPARK POWSERIES 135ML (RS.240)P48</v>
          </cell>
          <cell r="D4459">
            <v>0</v>
          </cell>
          <cell r="E4459">
            <v>0</v>
          </cell>
          <cell r="F4459">
            <v>0</v>
          </cell>
        </row>
        <row r="4460">
          <cell r="B4460">
            <v>40041701</v>
          </cell>
          <cell r="C4460" t="str">
            <v>KS SPARK POWSERIES 135ML M240 P48 GCPL</v>
          </cell>
          <cell r="D4460">
            <v>0</v>
          </cell>
          <cell r="E4460">
            <v>0</v>
          </cell>
          <cell r="F4460">
            <v>0</v>
          </cell>
        </row>
        <row r="4461">
          <cell r="B4461">
            <v>40043806</v>
          </cell>
          <cell r="C4461" t="str">
            <v>KS Spark PowSeries 135ml (Rs.220)P48Liq</v>
          </cell>
          <cell r="D4461">
            <v>0</v>
          </cell>
          <cell r="E4461">
            <v>0</v>
          </cell>
          <cell r="F4461">
            <v>0</v>
          </cell>
        </row>
        <row r="4462">
          <cell r="B4462">
            <v>40050622</v>
          </cell>
          <cell r="C4462" t="str">
            <v>KS URGE POWSERIES 135ML M240.00 P24 GCPL</v>
          </cell>
          <cell r="D4462">
            <v>0</v>
          </cell>
          <cell r="E4462">
            <v>0</v>
          </cell>
          <cell r="F4462">
            <v>0</v>
          </cell>
        </row>
        <row r="4463">
          <cell r="B4463">
            <v>40040095</v>
          </cell>
          <cell r="C4463" t="str">
            <v>PA Pure collection Fiesta 135ml(M210)P36</v>
          </cell>
          <cell r="D4463">
            <v>0</v>
          </cell>
          <cell r="E4463">
            <v>0</v>
          </cell>
          <cell r="F4463">
            <v>0</v>
          </cell>
        </row>
        <row r="4464">
          <cell r="B4464">
            <v>40040804</v>
          </cell>
          <cell r="C4464" t="str">
            <v>PA Fiesta Mist 135ml (Rs.220)P36</v>
          </cell>
          <cell r="D4464">
            <v>0</v>
          </cell>
          <cell r="E4464">
            <v>0</v>
          </cell>
          <cell r="F4464">
            <v>0</v>
          </cell>
        </row>
        <row r="4465">
          <cell r="B4465">
            <v>40062550</v>
          </cell>
          <cell r="C4465" t="str">
            <v>PA TRANCE B1G1  MIST 135ML M199 P12 GCPL</v>
          </cell>
          <cell r="D4465">
            <v>0</v>
          </cell>
          <cell r="E4465">
            <v>0</v>
          </cell>
          <cell r="F4465">
            <v>0</v>
          </cell>
        </row>
        <row r="4466">
          <cell r="B4466">
            <v>40041799</v>
          </cell>
          <cell r="C4466" t="str">
            <v>PA TRANCE MIST 135ML (RS.220)P36 GCPL</v>
          </cell>
          <cell r="D4466">
            <v>0</v>
          </cell>
          <cell r="E4466">
            <v>0</v>
          </cell>
          <cell r="F4466">
            <v>0</v>
          </cell>
        </row>
        <row r="4467">
          <cell r="B4467">
            <v>40043225</v>
          </cell>
          <cell r="C4467" t="str">
            <v>PA TRANCE MIST 135ML M220 P24 GCPL</v>
          </cell>
          <cell r="D4467">
            <v>0</v>
          </cell>
          <cell r="E4467">
            <v>0</v>
          </cell>
          <cell r="F4467">
            <v>0</v>
          </cell>
        </row>
        <row r="4468">
          <cell r="B4468">
            <v>40040803</v>
          </cell>
          <cell r="C4468" t="str">
            <v>PA  Zouk Mist 135ml (Rs.220)P36</v>
          </cell>
          <cell r="D4468">
            <v>0</v>
          </cell>
          <cell r="E4468">
            <v>0</v>
          </cell>
          <cell r="F4468">
            <v>0</v>
          </cell>
        </row>
        <row r="4469">
          <cell r="B4469">
            <v>40056775</v>
          </cell>
          <cell r="C4469" t="str">
            <v>KSDarePktPack18mlM65*6Hang(144)P144LIQ</v>
          </cell>
          <cell r="D4469">
            <v>0</v>
          </cell>
          <cell r="E4469">
            <v>0</v>
          </cell>
          <cell r="F4469">
            <v>0</v>
          </cell>
        </row>
        <row r="4470">
          <cell r="B4470">
            <v>40040926</v>
          </cell>
          <cell r="C4470" t="str">
            <v>KS Sp PocketPack18ml M65*10Hang(150)P150</v>
          </cell>
          <cell r="D4470">
            <v>0</v>
          </cell>
          <cell r="E4470">
            <v>0</v>
          </cell>
          <cell r="F4470">
            <v>0</v>
          </cell>
        </row>
        <row r="4471">
          <cell r="B4471">
            <v>40043423</v>
          </cell>
          <cell r="C4471" t="str">
            <v>KS SPARK POCKET 18ML M70 P80 GCPL</v>
          </cell>
          <cell r="D4471">
            <v>0</v>
          </cell>
          <cell r="E4471">
            <v>0</v>
          </cell>
          <cell r="F4471">
            <v>0</v>
          </cell>
        </row>
        <row r="4472">
          <cell r="B4472">
            <v>40063907</v>
          </cell>
          <cell r="C4472" t="str">
            <v>KS SPARK POCKET 18ML M70 P160 GCPL TT</v>
          </cell>
          <cell r="D4472">
            <v>0</v>
          </cell>
          <cell r="E4472">
            <v>0</v>
          </cell>
          <cell r="F4472">
            <v>0</v>
          </cell>
        </row>
        <row r="4473">
          <cell r="B4473">
            <v>40040754</v>
          </cell>
          <cell r="C4473" t="str">
            <v>KS UrgePocketPack18ml M65-Hang(144)P144</v>
          </cell>
          <cell r="D4473">
            <v>0</v>
          </cell>
          <cell r="E4473">
            <v>0</v>
          </cell>
          <cell r="F4473">
            <v>0</v>
          </cell>
        </row>
        <row r="4474">
          <cell r="B4474">
            <v>40050581</v>
          </cell>
          <cell r="C4474" t="str">
            <v>KS URGE POCKET 18ML M70.00 P80 GCPL</v>
          </cell>
          <cell r="D4474">
            <v>0</v>
          </cell>
          <cell r="E4474">
            <v>0</v>
          </cell>
          <cell r="F4474">
            <v>0</v>
          </cell>
        </row>
        <row r="4475">
          <cell r="B4475">
            <v>40059649</v>
          </cell>
          <cell r="C4475" t="str">
            <v>KS URGE POCKET 18ML M70 P160 GCPL</v>
          </cell>
          <cell r="D4475">
            <v>0</v>
          </cell>
          <cell r="E4475">
            <v>0</v>
          </cell>
          <cell r="F4475">
            <v>0</v>
          </cell>
        </row>
        <row r="4476">
          <cell r="B4476">
            <v>40041246</v>
          </cell>
          <cell r="C4476" t="str">
            <v>PA GM POCKET18ML 6HNGRB4G2 P24 M280-GCPL</v>
          </cell>
          <cell r="D4476">
            <v>0</v>
          </cell>
          <cell r="E4476">
            <v>0</v>
          </cell>
          <cell r="F4476">
            <v>0</v>
          </cell>
        </row>
        <row r="4477">
          <cell r="B4477">
            <v>40041626</v>
          </cell>
          <cell r="C4477" t="str">
            <v>PA GM POCKET18ML6HNGR B4G2 P24 M280-GCPL</v>
          </cell>
          <cell r="D4477">
            <v>0</v>
          </cell>
          <cell r="E4477">
            <v>0</v>
          </cell>
          <cell r="F4477">
            <v>0</v>
          </cell>
        </row>
        <row r="4478">
          <cell r="B4478">
            <v>40043460</v>
          </cell>
          <cell r="C4478" t="str">
            <v>PA GM POCKET 18ML M560 P10 GCPL</v>
          </cell>
          <cell r="D4478">
            <v>0</v>
          </cell>
          <cell r="E4478">
            <v>0</v>
          </cell>
          <cell r="F4478">
            <v>0</v>
          </cell>
        </row>
        <row r="4479">
          <cell r="B4479">
            <v>40059693</v>
          </cell>
          <cell r="C4479" t="str">
            <v>PA GM POCKET 18ML M70 P20GCPL</v>
          </cell>
          <cell r="D4479">
            <v>0</v>
          </cell>
          <cell r="E4479">
            <v>0</v>
          </cell>
          <cell r="F4479">
            <v>0</v>
          </cell>
        </row>
        <row r="4480">
          <cell r="B4480">
            <v>40041178</v>
          </cell>
          <cell r="C4480" t="str">
            <v>PA VOYAGE PREMPOCKET 18ML B4G2 RS 300P24</v>
          </cell>
          <cell r="D4480">
            <v>0</v>
          </cell>
          <cell r="E4480">
            <v>0</v>
          </cell>
          <cell r="F4480">
            <v>0</v>
          </cell>
        </row>
        <row r="4481">
          <cell r="B4481">
            <v>40042172</v>
          </cell>
          <cell r="C4481" t="str">
            <v>PA VOYAGE PREMPOCKET 18ML B4G2 M 300 P24</v>
          </cell>
          <cell r="D4481">
            <v>0</v>
          </cell>
          <cell r="E4481">
            <v>0</v>
          </cell>
          <cell r="F4481">
            <v>0</v>
          </cell>
        </row>
        <row r="4482">
          <cell r="B4482">
            <v>40050620</v>
          </cell>
          <cell r="C4482" t="str">
            <v>PA VOYAGE POCKET 18ML M70 P80 GCPL</v>
          </cell>
          <cell r="D4482">
            <v>0</v>
          </cell>
          <cell r="E4482">
            <v>0</v>
          </cell>
          <cell r="F4482">
            <v>0</v>
          </cell>
        </row>
        <row r="4483">
          <cell r="B4483">
            <v>40041573</v>
          </cell>
          <cell r="C4483" t="str">
            <v>KS Spark 45ml Deo shot (Rs.80)P72 GCPL</v>
          </cell>
          <cell r="D4483">
            <v>0</v>
          </cell>
          <cell r="E4483">
            <v>0</v>
          </cell>
          <cell r="F4483">
            <v>0</v>
          </cell>
        </row>
        <row r="4484">
          <cell r="B4484">
            <v>40056659</v>
          </cell>
          <cell r="C4484" t="str">
            <v>KS Spark 45ml Deo shot (M80)P72LIQ</v>
          </cell>
          <cell r="D4484">
            <v>0</v>
          </cell>
          <cell r="E4484">
            <v>0</v>
          </cell>
          <cell r="F4484">
            <v>0</v>
          </cell>
        </row>
        <row r="4485">
          <cell r="B4485">
            <v>40062605</v>
          </cell>
          <cell r="C4485" t="str">
            <v>KS SPARK 45ML DEO SHOT M80P72 GCPL NFR</v>
          </cell>
          <cell r="D4485">
            <v>0</v>
          </cell>
          <cell r="E4485">
            <v>0</v>
          </cell>
          <cell r="F4485">
            <v>0</v>
          </cell>
        </row>
        <row r="4486">
          <cell r="B4486">
            <v>40059074</v>
          </cell>
          <cell r="C4486" t="str">
            <v>KS SPARK 45ML DEO SHOT M60P72 GCPL</v>
          </cell>
          <cell r="D4486">
            <v>0</v>
          </cell>
          <cell r="E4486">
            <v>0</v>
          </cell>
          <cell r="F4486">
            <v>0</v>
          </cell>
        </row>
        <row r="4487">
          <cell r="B4487">
            <v>40061212</v>
          </cell>
          <cell r="C4487" t="str">
            <v>KS SPARK 45ML DEO SHOT M60 P144 GCPL</v>
          </cell>
          <cell r="D4487">
            <v>0</v>
          </cell>
          <cell r="E4487">
            <v>0</v>
          </cell>
          <cell r="F4487">
            <v>0</v>
          </cell>
        </row>
        <row r="4488">
          <cell r="B4488">
            <v>40062001</v>
          </cell>
          <cell r="C4488" t="str">
            <v>KS SPARK 45ML DEO SHOT M60 P144 GCPL NFR</v>
          </cell>
          <cell r="D4488">
            <v>0</v>
          </cell>
          <cell r="E4488">
            <v>0</v>
          </cell>
          <cell r="F4488">
            <v>0</v>
          </cell>
        </row>
        <row r="4489">
          <cell r="B4489">
            <v>40040977</v>
          </cell>
          <cell r="C4489" t="str">
            <v>KS Urge 45ml Deo shot (Rs.80)P72</v>
          </cell>
          <cell r="D4489">
            <v>0</v>
          </cell>
          <cell r="E4489">
            <v>0</v>
          </cell>
          <cell r="F4489">
            <v>0</v>
          </cell>
        </row>
        <row r="4490">
          <cell r="B4490">
            <v>40056754</v>
          </cell>
          <cell r="C4490" t="str">
            <v>KS Urge 45ml Deo shot (M80)P72LIQ</v>
          </cell>
          <cell r="D4490">
            <v>0</v>
          </cell>
          <cell r="E4490">
            <v>0</v>
          </cell>
          <cell r="F4490">
            <v>0</v>
          </cell>
        </row>
        <row r="4491">
          <cell r="B4491">
            <v>40040596</v>
          </cell>
          <cell r="C4491" t="str">
            <v>GOOD MORNINGDEO SHOT27GM(HNGR12UNITS)P12</v>
          </cell>
          <cell r="D4491">
            <v>0</v>
          </cell>
          <cell r="E4491">
            <v>0</v>
          </cell>
          <cell r="F4491">
            <v>0</v>
          </cell>
        </row>
        <row r="4492">
          <cell r="B4492">
            <v>40040983</v>
          </cell>
          <cell r="C4492" t="str">
            <v>PA GMDeoshot 9+3(Sing Rs 80)with hangP12</v>
          </cell>
          <cell r="D4492">
            <v>0</v>
          </cell>
          <cell r="E4492">
            <v>0</v>
          </cell>
          <cell r="F4492">
            <v>0</v>
          </cell>
        </row>
        <row r="4493">
          <cell r="B4493">
            <v>40042693</v>
          </cell>
          <cell r="C4493" t="str">
            <v>PA GMDEOSHOT HANGER(9+3) M720  P12</v>
          </cell>
          <cell r="D4493">
            <v>0</v>
          </cell>
          <cell r="E4493">
            <v>0</v>
          </cell>
          <cell r="F4493">
            <v>0</v>
          </cell>
        </row>
        <row r="4494">
          <cell r="B4494">
            <v>40057657</v>
          </cell>
          <cell r="C4494" t="str">
            <v>PA GM DEOSHOT 40ML HANG M80 P72</v>
          </cell>
          <cell r="D4494">
            <v>0</v>
          </cell>
          <cell r="E4494">
            <v>0</v>
          </cell>
          <cell r="F4494">
            <v>0</v>
          </cell>
        </row>
        <row r="4495">
          <cell r="B4495">
            <v>40065802</v>
          </cell>
          <cell r="C4495" t="str">
            <v>PA GM DEOSHOT 40ML HANG M90 P144</v>
          </cell>
          <cell r="D4495">
            <v>0</v>
          </cell>
          <cell r="E4495">
            <v>0</v>
          </cell>
          <cell r="F4495">
            <v>0</v>
          </cell>
        </row>
        <row r="4496">
          <cell r="B4496">
            <v>40040901</v>
          </cell>
          <cell r="C4496" t="str">
            <v>KS Excite Regular Liquid 150ml MRP275P48</v>
          </cell>
          <cell r="D4496">
            <v>0</v>
          </cell>
          <cell r="E4496">
            <v>0</v>
          </cell>
          <cell r="F4496">
            <v>0</v>
          </cell>
        </row>
        <row r="4497">
          <cell r="B4497">
            <v>40040900</v>
          </cell>
          <cell r="C4497" t="str">
            <v>KS Passion Regular Liquid 150ml M275P48</v>
          </cell>
          <cell r="D4497">
            <v>0</v>
          </cell>
          <cell r="E4497">
            <v>0</v>
          </cell>
          <cell r="F4497">
            <v>0</v>
          </cell>
        </row>
        <row r="4498">
          <cell r="B4498">
            <v>40040945</v>
          </cell>
          <cell r="C4498" t="str">
            <v>KS Passion 2X 130ml (Rs 225)P48</v>
          </cell>
          <cell r="D4498">
            <v>0</v>
          </cell>
          <cell r="E4498">
            <v>0</v>
          </cell>
          <cell r="F4498">
            <v>0</v>
          </cell>
        </row>
        <row r="4499">
          <cell r="B4499">
            <v>40041170</v>
          </cell>
          <cell r="C4499" t="str">
            <v>KS TEMPT 2X 130ML Rs225 41+7 TesterP41</v>
          </cell>
          <cell r="D4499">
            <v>0</v>
          </cell>
          <cell r="E4499">
            <v>0</v>
          </cell>
          <cell r="F4499">
            <v>0</v>
          </cell>
        </row>
        <row r="4500">
          <cell r="B4500">
            <v>40040948</v>
          </cell>
          <cell r="C4500" t="str">
            <v>PA 2XÂ  B2G1 (2Alex+Mar)130ml(Rs 450)P16</v>
          </cell>
          <cell r="D4500">
            <v>0</v>
          </cell>
          <cell r="E4500">
            <v>0</v>
          </cell>
          <cell r="F4500">
            <v>0</v>
          </cell>
        </row>
        <row r="4501">
          <cell r="B4501">
            <v>40040941</v>
          </cell>
          <cell r="C4501" t="str">
            <v>PA 2XÂ  Alexander 130ml(Rs 225)P48</v>
          </cell>
          <cell r="D4501">
            <v>0</v>
          </cell>
          <cell r="E4501">
            <v>0</v>
          </cell>
          <cell r="F4501">
            <v>0</v>
          </cell>
        </row>
        <row r="4502">
          <cell r="B4502">
            <v>40041132</v>
          </cell>
          <cell r="C4502" t="str">
            <v>PA 2X ALEXANDER 120ml(Rs 225)P48</v>
          </cell>
          <cell r="D4502">
            <v>0</v>
          </cell>
          <cell r="E4502">
            <v>0</v>
          </cell>
          <cell r="F4502">
            <v>0</v>
          </cell>
        </row>
        <row r="4503">
          <cell r="B4503">
            <v>40040947</v>
          </cell>
          <cell r="C4503" t="str">
            <v>PA 2X EPIC 120ml(Rs 225)P48</v>
          </cell>
          <cell r="D4503">
            <v>0</v>
          </cell>
          <cell r="E4503">
            <v>0</v>
          </cell>
          <cell r="F4503">
            <v>0</v>
          </cell>
        </row>
        <row r="4504">
          <cell r="B4504">
            <v>40040949</v>
          </cell>
          <cell r="C4504" t="str">
            <v>PA 2X B2G1 (2GMInt+Epic)130ml (Rs450)P16</v>
          </cell>
          <cell r="D4504">
            <v>0</v>
          </cell>
          <cell r="E4504">
            <v>0</v>
          </cell>
          <cell r="F4504">
            <v>0</v>
          </cell>
        </row>
        <row r="4505">
          <cell r="B4505">
            <v>40040541</v>
          </cell>
          <cell r="C4505" t="str">
            <v>PA GM Intense 130 ml (MRP210) RLP48</v>
          </cell>
          <cell r="D4505">
            <v>0</v>
          </cell>
          <cell r="E4505">
            <v>0</v>
          </cell>
          <cell r="F4505">
            <v>0</v>
          </cell>
        </row>
        <row r="4506">
          <cell r="B4506">
            <v>40040942</v>
          </cell>
          <cell r="C4506" t="str">
            <v>PA 2X GM Intense 130 ml (Rs 225)P48</v>
          </cell>
          <cell r="D4506">
            <v>0</v>
          </cell>
          <cell r="E4506">
            <v>0</v>
          </cell>
          <cell r="F4506">
            <v>0</v>
          </cell>
        </row>
        <row r="4507">
          <cell r="B4507">
            <v>40041134</v>
          </cell>
          <cell r="C4507" t="str">
            <v>PA 2X GM INTENSE 120ml(Rs 225)P48</v>
          </cell>
          <cell r="D4507">
            <v>0</v>
          </cell>
          <cell r="E4507">
            <v>0</v>
          </cell>
          <cell r="F4507">
            <v>0</v>
          </cell>
        </row>
        <row r="4508">
          <cell r="B4508">
            <v>40040093</v>
          </cell>
          <cell r="C4508" t="str">
            <v>PA BD Fragrance Marcus 150 ml (M199)P48</v>
          </cell>
          <cell r="D4508">
            <v>0</v>
          </cell>
          <cell r="E4508">
            <v>0</v>
          </cell>
          <cell r="F4508">
            <v>0</v>
          </cell>
        </row>
        <row r="4509">
          <cell r="B4509">
            <v>40040623</v>
          </cell>
          <cell r="C4509" t="str">
            <v>PA BD Fragrance Marcus 130 ml M199 RLP48</v>
          </cell>
          <cell r="D4509">
            <v>0</v>
          </cell>
          <cell r="E4509">
            <v>0</v>
          </cell>
          <cell r="F4509">
            <v>0</v>
          </cell>
        </row>
        <row r="4510">
          <cell r="B4510">
            <v>40041133</v>
          </cell>
          <cell r="C4510" t="str">
            <v>PA 2X MARCUS 120ml(Rs 225)P48</v>
          </cell>
          <cell r="D4510">
            <v>0</v>
          </cell>
          <cell r="E4510">
            <v>0</v>
          </cell>
          <cell r="F4510">
            <v>0</v>
          </cell>
        </row>
        <row r="4511">
          <cell r="B4511">
            <v>40062084</v>
          </cell>
          <cell r="C4511" t="str">
            <v>PA CB AER 150ML M225 P72 CSD GCPL-LIQ</v>
          </cell>
          <cell r="D4511">
            <v>0</v>
          </cell>
          <cell r="E4511">
            <v>0</v>
          </cell>
          <cell r="F4511">
            <v>0</v>
          </cell>
        </row>
        <row r="4512">
          <cell r="B4512">
            <v>40061105</v>
          </cell>
          <cell r="C4512" t="str">
            <v>PA GM AER 150ML M225 P24 GCPL-LIQ</v>
          </cell>
          <cell r="D4512">
            <v>0</v>
          </cell>
          <cell r="E4512">
            <v>0</v>
          </cell>
          <cell r="F4512">
            <v>0</v>
          </cell>
        </row>
        <row r="4513">
          <cell r="B4513">
            <v>40061224</v>
          </cell>
          <cell r="C4513" t="str">
            <v>PA 2VOY 1 NEO AER 150ML M500 P8 GCPL-LIQ</v>
          </cell>
          <cell r="D4513">
            <v>0</v>
          </cell>
          <cell r="E4513">
            <v>0</v>
          </cell>
          <cell r="F4513">
            <v>0</v>
          </cell>
        </row>
        <row r="4514">
          <cell r="B4514">
            <v>40061861</v>
          </cell>
          <cell r="C4514" t="str">
            <v>KS SPARK POCKET 18ML M70 P80 GCPL-LIQ</v>
          </cell>
          <cell r="D4514">
            <v>0</v>
          </cell>
          <cell r="E4514">
            <v>0</v>
          </cell>
          <cell r="F4514">
            <v>0</v>
          </cell>
        </row>
        <row r="4515">
          <cell r="B4515">
            <v>40061235</v>
          </cell>
          <cell r="C4515" t="str">
            <v>PA GM POCKET18ML6HNGR B4G2 P24 M280-LIQ</v>
          </cell>
          <cell r="D4515">
            <v>0</v>
          </cell>
          <cell r="E4515">
            <v>0</v>
          </cell>
          <cell r="F4515">
            <v>0</v>
          </cell>
        </row>
        <row r="4516">
          <cell r="B4516">
            <v>40061237</v>
          </cell>
          <cell r="C4516" t="str">
            <v>PA GM POCKET 18ML M560 P10 GCPL-LIQ</v>
          </cell>
          <cell r="D4516">
            <v>0</v>
          </cell>
          <cell r="E4516">
            <v>0</v>
          </cell>
          <cell r="F4516">
            <v>0</v>
          </cell>
        </row>
        <row r="4517">
          <cell r="B4517">
            <v>40061215</v>
          </cell>
          <cell r="C4517" t="str">
            <v>PA AMAZONWOODS 120ML M349 P24 GCPL-LIQ</v>
          </cell>
          <cell r="D4517">
            <v>0</v>
          </cell>
          <cell r="E4517">
            <v>0</v>
          </cell>
          <cell r="F4517">
            <v>0</v>
          </cell>
        </row>
        <row r="4518">
          <cell r="B4518">
            <v>40061392</v>
          </cell>
          <cell r="C4518" t="str">
            <v>PA REGAL 4X 130 ML M299 P18 GCPL-LIQ</v>
          </cell>
          <cell r="D4518">
            <v>0</v>
          </cell>
          <cell r="E4518">
            <v>0</v>
          </cell>
          <cell r="F4518">
            <v>0</v>
          </cell>
        </row>
        <row r="4519">
          <cell r="B4519">
            <v>40061398</v>
          </cell>
          <cell r="C4519" t="str">
            <v>PA ICON 4X 130 ML M299 P18 GCPL-LIQ</v>
          </cell>
          <cell r="D4519">
            <v>0</v>
          </cell>
          <cell r="E4519">
            <v>0</v>
          </cell>
          <cell r="F4519">
            <v>0</v>
          </cell>
        </row>
        <row r="4520">
          <cell r="B4520">
            <v>40061851</v>
          </cell>
          <cell r="C4520" t="str">
            <v>PA VOYAGE AMAZON WOODS 120MLM349 P24-LIQ</v>
          </cell>
          <cell r="D4520">
            <v>0</v>
          </cell>
          <cell r="E4520">
            <v>0</v>
          </cell>
          <cell r="F4520">
            <v>0</v>
          </cell>
        </row>
        <row r="4521">
          <cell r="B4521">
            <v>40062033</v>
          </cell>
          <cell r="C4521" t="str">
            <v>PAVOYAGEAMAZONWOODS120ML(M349)P24_LIQ_CH</v>
          </cell>
          <cell r="D4521">
            <v>0</v>
          </cell>
          <cell r="E4521">
            <v>0</v>
          </cell>
          <cell r="F4521">
            <v>0</v>
          </cell>
        </row>
        <row r="4522">
          <cell r="B4522">
            <v>40061159</v>
          </cell>
          <cell r="C4522" t="str">
            <v>PA GM+STORM+CB 150ML AERO M450 P24-LIQ</v>
          </cell>
          <cell r="D4522">
            <v>0</v>
          </cell>
          <cell r="E4522">
            <v>0</v>
          </cell>
          <cell r="F4522">
            <v>0</v>
          </cell>
        </row>
        <row r="4523">
          <cell r="B4523">
            <v>40061247</v>
          </cell>
          <cell r="C4523" t="str">
            <v>PA 2GM 1STORM AER 150ML M450 P8 GCPL-LIQ</v>
          </cell>
          <cell r="D4523">
            <v>0</v>
          </cell>
          <cell r="E4523">
            <v>0</v>
          </cell>
          <cell r="F4523">
            <v>0</v>
          </cell>
        </row>
        <row r="4524">
          <cell r="B4524">
            <v>40061311</v>
          </cell>
          <cell r="C4524" t="str">
            <v>PA GOODMORNMEGA 220ML M360P72 GCPL-LIQ</v>
          </cell>
          <cell r="D4524">
            <v>0</v>
          </cell>
          <cell r="E4524">
            <v>0</v>
          </cell>
          <cell r="F4524">
            <v>0</v>
          </cell>
        </row>
        <row r="4525">
          <cell r="B4525">
            <v>40061741</v>
          </cell>
          <cell r="C4525" t="str">
            <v>PA PERF ELEVATE 100G M235 RL P72-LIQ</v>
          </cell>
          <cell r="D4525">
            <v>0</v>
          </cell>
          <cell r="E4525">
            <v>0</v>
          </cell>
          <cell r="F4525">
            <v>0</v>
          </cell>
        </row>
        <row r="4526">
          <cell r="B4526">
            <v>40062142</v>
          </cell>
          <cell r="C4526" t="str">
            <v>PAGM+CB+STORM AER 150MLM450P8GCPL_LIQ_CH</v>
          </cell>
          <cell r="D4526">
            <v>0</v>
          </cell>
          <cell r="E4526">
            <v>0</v>
          </cell>
          <cell r="F4526">
            <v>0</v>
          </cell>
        </row>
        <row r="4527">
          <cell r="B4527">
            <v>40061085</v>
          </cell>
          <cell r="C4527" t="str">
            <v>PA EDP HARMONY 100 ML (RS.749)P18-LIQ</v>
          </cell>
          <cell r="D4527">
            <v>0</v>
          </cell>
          <cell r="E4527">
            <v>0</v>
          </cell>
          <cell r="F4527">
            <v>0</v>
          </cell>
        </row>
        <row r="4528">
          <cell r="B4528">
            <v>40061092</v>
          </cell>
          <cell r="C4528" t="str">
            <v>PA EDP EUPHORIA 100ML G M749 P18-LIQ</v>
          </cell>
          <cell r="D4528">
            <v>0</v>
          </cell>
          <cell r="E4528">
            <v>0</v>
          </cell>
          <cell r="F4528">
            <v>0</v>
          </cell>
        </row>
        <row r="4529">
          <cell r="B4529">
            <v>40061173</v>
          </cell>
          <cell r="C4529" t="str">
            <v>PA EDP HARMONY 100ML G M749 P18-LIQ</v>
          </cell>
          <cell r="D4529">
            <v>0</v>
          </cell>
          <cell r="E4529">
            <v>0</v>
          </cell>
          <cell r="F4529">
            <v>0</v>
          </cell>
        </row>
        <row r="4530">
          <cell r="B4530">
            <v>40061210</v>
          </cell>
          <cell r="C4530" t="str">
            <v>PA EDP VOYAGE 50ML G M399 P36-LIQ</v>
          </cell>
          <cell r="D4530">
            <v>0</v>
          </cell>
          <cell r="E4530">
            <v>0</v>
          </cell>
          <cell r="F4530">
            <v>0</v>
          </cell>
        </row>
        <row r="4531">
          <cell r="B4531">
            <v>40061241</v>
          </cell>
          <cell r="C4531" t="str">
            <v>PA EDP TWIN COMBO PACK M1499 P10-LIQ</v>
          </cell>
          <cell r="D4531">
            <v>0</v>
          </cell>
          <cell r="E4531">
            <v>0</v>
          </cell>
          <cell r="F4531">
            <v>0</v>
          </cell>
        </row>
        <row r="4532">
          <cell r="B4532">
            <v>40061509</v>
          </cell>
          <cell r="C4532" t="str">
            <v>PA EDP HARMONY 10ML TSTSP216(1+1)FRW-LIQ</v>
          </cell>
          <cell r="D4532">
            <v>0</v>
          </cell>
          <cell r="E4532">
            <v>0</v>
          </cell>
          <cell r="F4532">
            <v>0</v>
          </cell>
        </row>
        <row r="4533">
          <cell r="B4533">
            <v>40061881</v>
          </cell>
          <cell r="C4533" t="str">
            <v>PA EDP SAMURAI 100ML G M499 P12-LIQ</v>
          </cell>
          <cell r="D4533">
            <v>0</v>
          </cell>
          <cell r="E4533">
            <v>0</v>
          </cell>
          <cell r="F4533">
            <v>0</v>
          </cell>
        </row>
        <row r="4534">
          <cell r="B4534">
            <v>40061890</v>
          </cell>
          <cell r="C4534" t="str">
            <v>PA EDP VOYAGE 50ML G M399 P12-LIQ</v>
          </cell>
          <cell r="D4534">
            <v>0</v>
          </cell>
          <cell r="E4534">
            <v>0</v>
          </cell>
          <cell r="F4534">
            <v>0</v>
          </cell>
        </row>
        <row r="4535">
          <cell r="B4535">
            <v>40061899</v>
          </cell>
          <cell r="C4535" t="str">
            <v>PA EDP CONQUER 10 ML TESTERSP240-LIQ</v>
          </cell>
          <cell r="D4535">
            <v>0</v>
          </cell>
          <cell r="E4535">
            <v>0</v>
          </cell>
          <cell r="F4535">
            <v>0</v>
          </cell>
        </row>
        <row r="4536">
          <cell r="B4536">
            <v>40062078</v>
          </cell>
          <cell r="C4536" t="str">
            <v>PA EDPKNIGHT100MLGM499 P12(INCRM)_LIQ_CH</v>
          </cell>
          <cell r="D4536">
            <v>0</v>
          </cell>
          <cell r="E4536">
            <v>0</v>
          </cell>
          <cell r="F4536">
            <v>0</v>
          </cell>
        </row>
        <row r="4537">
          <cell r="B4537">
            <v>40062079</v>
          </cell>
          <cell r="C4537" t="str">
            <v>PAEDPSAMURAI100MLGM499P12(INC RM)_LIQ_CH</v>
          </cell>
          <cell r="D4537">
            <v>0</v>
          </cell>
          <cell r="E4537">
            <v>0</v>
          </cell>
          <cell r="F4537">
            <v>0</v>
          </cell>
        </row>
        <row r="4538">
          <cell r="B4538">
            <v>40062180</v>
          </cell>
          <cell r="C4538" t="str">
            <v>PA EDP SAMURAI100MLG M499P24 (INCRM)_LIQ</v>
          </cell>
          <cell r="D4538">
            <v>0</v>
          </cell>
          <cell r="E4538">
            <v>0</v>
          </cell>
          <cell r="F4538">
            <v>0</v>
          </cell>
        </row>
        <row r="4539">
          <cell r="B4539">
            <v>40064490</v>
          </cell>
          <cell r="C4539" t="str">
            <v>PA EDP DISCOVERER 100ML M799 P6 - MT_LIQ</v>
          </cell>
          <cell r="D4539">
            <v>0</v>
          </cell>
          <cell r="E4539">
            <v>0</v>
          </cell>
          <cell r="F4539">
            <v>0</v>
          </cell>
        </row>
        <row r="4540">
          <cell r="B4540">
            <v>40064657</v>
          </cell>
          <cell r="C4540" t="str">
            <v>PA EDP ETERNITY 100ML G M399 P12_LIQ</v>
          </cell>
          <cell r="D4540">
            <v>0</v>
          </cell>
          <cell r="E4540">
            <v>0</v>
          </cell>
          <cell r="F4540">
            <v>0</v>
          </cell>
        </row>
        <row r="4541">
          <cell r="B4541">
            <v>40065036</v>
          </cell>
          <cell r="C4541" t="str">
            <v>PA EDP CONQUER 100MLG M799 P6 -LIQ</v>
          </cell>
          <cell r="D4541">
            <v>0</v>
          </cell>
          <cell r="E4541">
            <v>0</v>
          </cell>
          <cell r="F4541">
            <v>0</v>
          </cell>
        </row>
        <row r="4542">
          <cell r="B4542">
            <v>40065037</v>
          </cell>
          <cell r="C4542" t="str">
            <v>PA EDP HARMONY 100MLG M799 P6-LIQ</v>
          </cell>
          <cell r="D4542">
            <v>0</v>
          </cell>
          <cell r="E4542">
            <v>0</v>
          </cell>
          <cell r="F4542">
            <v>0</v>
          </cell>
        </row>
        <row r="4543">
          <cell r="B4543">
            <v>40066155</v>
          </cell>
          <cell r="C4543" t="str">
            <v>PA FEDP 4X20ML GIFT SET M849 P12 LIQ</v>
          </cell>
          <cell r="D4543">
            <v>0</v>
          </cell>
          <cell r="E4543">
            <v>0</v>
          </cell>
          <cell r="F4543">
            <v>0</v>
          </cell>
        </row>
        <row r="4544">
          <cell r="B4544">
            <v>40061729</v>
          </cell>
          <cell r="C4544" t="str">
            <v>PA 2X ALEXANDER 120ML M225 P24 GCPL-LIQ</v>
          </cell>
          <cell r="D4544">
            <v>0</v>
          </cell>
          <cell r="E4544">
            <v>0</v>
          </cell>
          <cell r="F4544">
            <v>0</v>
          </cell>
        </row>
        <row r="4545">
          <cell r="B4545">
            <v>40061860</v>
          </cell>
          <cell r="C4545" t="str">
            <v>KSSPRK PWSRIES 135ML M240P48 CSD CDE-LIQ</v>
          </cell>
          <cell r="D4545">
            <v>0</v>
          </cell>
          <cell r="E4545">
            <v>0</v>
          </cell>
          <cell r="F4545">
            <v>0</v>
          </cell>
        </row>
        <row r="4546">
          <cell r="B4546">
            <v>40061158</v>
          </cell>
          <cell r="C4546" t="str">
            <v>KS SPARK MEGA 220ML M370 P72 GCPL-LIQ</v>
          </cell>
          <cell r="D4546">
            <v>0</v>
          </cell>
          <cell r="E4546">
            <v>0</v>
          </cell>
          <cell r="F4546">
            <v>0</v>
          </cell>
        </row>
        <row r="4547">
          <cell r="B4547">
            <v>40061163</v>
          </cell>
          <cell r="C4547" t="str">
            <v>KS SPARK 150ML (RS. 690,PACK*3)P16-LIQ</v>
          </cell>
          <cell r="D4547">
            <v>0</v>
          </cell>
          <cell r="E4547">
            <v>0</v>
          </cell>
          <cell r="F4547">
            <v>0</v>
          </cell>
        </row>
        <row r="4548">
          <cell r="B4548">
            <v>40061185</v>
          </cell>
          <cell r="C4548" t="str">
            <v>KS RUSH AER 150ML M230 P24 GCPL-LIQ</v>
          </cell>
          <cell r="D4548">
            <v>0</v>
          </cell>
          <cell r="E4548">
            <v>0</v>
          </cell>
          <cell r="F4548">
            <v>0</v>
          </cell>
        </row>
        <row r="4549">
          <cell r="B4549">
            <v>40061187</v>
          </cell>
          <cell r="C4549" t="str">
            <v>KS DARE AER 150ML M230.00 P24 GCPL-LIQ</v>
          </cell>
          <cell r="D4549">
            <v>0</v>
          </cell>
          <cell r="E4549">
            <v>0</v>
          </cell>
          <cell r="F4549">
            <v>0</v>
          </cell>
        </row>
        <row r="4550">
          <cell r="B4550">
            <v>40061333</v>
          </cell>
          <cell r="C4550" t="str">
            <v>KS SPARK AEROSOL 150 ML (MRP 230)P48-LIQ</v>
          </cell>
          <cell r="D4550">
            <v>0</v>
          </cell>
          <cell r="E4550">
            <v>0</v>
          </cell>
          <cell r="F4550">
            <v>0</v>
          </cell>
        </row>
        <row r="4551">
          <cell r="B4551">
            <v>40061421</v>
          </cell>
          <cell r="C4551" t="str">
            <v>KS 2 SPARK+ 1URG B2G1 150ML M460 P8-LIQ</v>
          </cell>
          <cell r="D4551">
            <v>0</v>
          </cell>
          <cell r="E4551">
            <v>0</v>
          </cell>
          <cell r="F4551">
            <v>0</v>
          </cell>
        </row>
        <row r="4552">
          <cell r="B4552">
            <v>40061921</v>
          </cell>
          <cell r="C4552" t="str">
            <v>KS SPRK 75ML+URGE75ML AERO RS250P24-LIQ</v>
          </cell>
          <cell r="D4552">
            <v>0</v>
          </cell>
          <cell r="E4552">
            <v>0</v>
          </cell>
          <cell r="F4552">
            <v>0</v>
          </cell>
        </row>
        <row r="4553">
          <cell r="B4553">
            <v>40062164</v>
          </cell>
          <cell r="C4553" t="str">
            <v>KS DEOBASESPRK 220MLB1G1 P72M370 MN-LIQ</v>
          </cell>
          <cell r="D4553">
            <v>0</v>
          </cell>
          <cell r="E4553">
            <v>0</v>
          </cell>
          <cell r="F4553">
            <v>0</v>
          </cell>
        </row>
        <row r="4554">
          <cell r="B4554">
            <v>40062166</v>
          </cell>
          <cell r="C4554" t="str">
            <v>KS DEOBASESPRK220MLB1G1 P72M370 FREE-LIQ</v>
          </cell>
          <cell r="D4554">
            <v>0</v>
          </cell>
          <cell r="E4554">
            <v>0</v>
          </cell>
          <cell r="F4554">
            <v>0</v>
          </cell>
        </row>
        <row r="4555">
          <cell r="B4555">
            <v>40061091</v>
          </cell>
          <cell r="C4555" t="str">
            <v>KS SPARK 45ML DEO SHOT (RS.80)P72-LIQ</v>
          </cell>
          <cell r="D4555">
            <v>0</v>
          </cell>
          <cell r="E4555">
            <v>0</v>
          </cell>
          <cell r="F4555">
            <v>0</v>
          </cell>
        </row>
        <row r="4556">
          <cell r="B4556">
            <v>40061209</v>
          </cell>
          <cell r="C4556" t="str">
            <v>PA NEO AER 220ML M390 P24 GCPL-LIQ</v>
          </cell>
          <cell r="D4556">
            <v>0</v>
          </cell>
          <cell r="E4556">
            <v>0</v>
          </cell>
          <cell r="F4556">
            <v>0</v>
          </cell>
        </row>
        <row r="4557">
          <cell r="B4557">
            <v>40061222</v>
          </cell>
          <cell r="C4557" t="str">
            <v>PA ALTER EGO AER 150ML M250 P24 GCPL-LIQ</v>
          </cell>
          <cell r="D4557">
            <v>0</v>
          </cell>
          <cell r="E4557">
            <v>0</v>
          </cell>
          <cell r="F4557">
            <v>0</v>
          </cell>
        </row>
        <row r="4558">
          <cell r="B4558">
            <v>40061225</v>
          </cell>
          <cell r="C4558" t="str">
            <v>PA VOYAGE MEGA 220 ML M390P72 GCPL-LIQ</v>
          </cell>
          <cell r="D4558">
            <v>0</v>
          </cell>
          <cell r="E4558">
            <v>0</v>
          </cell>
          <cell r="F4558">
            <v>0</v>
          </cell>
        </row>
        <row r="4559">
          <cell r="B4559">
            <v>40061231</v>
          </cell>
          <cell r="C4559" t="str">
            <v>PA NEO B1G1 AER 150ML M250 P12 GCPL-LIQ</v>
          </cell>
          <cell r="D4559">
            <v>0</v>
          </cell>
          <cell r="E4559">
            <v>0</v>
          </cell>
          <cell r="F4559">
            <v>0</v>
          </cell>
        </row>
        <row r="4560">
          <cell r="B4560">
            <v>40061238</v>
          </cell>
          <cell r="C4560" t="str">
            <v>PA VOYAGE AER 220ML M390 P24 GCPL-LIQ</v>
          </cell>
          <cell r="D4560">
            <v>0</v>
          </cell>
          <cell r="E4560">
            <v>0</v>
          </cell>
          <cell r="F4560">
            <v>0</v>
          </cell>
        </row>
        <row r="4561">
          <cell r="B4561">
            <v>40061291</v>
          </cell>
          <cell r="C4561" t="str">
            <v>PA VOYAGE AER 150 ML M250 P72 CSD-LIQ</v>
          </cell>
          <cell r="D4561">
            <v>0</v>
          </cell>
          <cell r="E4561">
            <v>0</v>
          </cell>
          <cell r="F4561">
            <v>0</v>
          </cell>
        </row>
        <row r="4562">
          <cell r="B4562">
            <v>40061336</v>
          </cell>
          <cell r="C4562" t="str">
            <v>PA NEO MEGA 220 ML (RS.390)P72 GCPL-LIQ</v>
          </cell>
          <cell r="D4562">
            <v>0</v>
          </cell>
          <cell r="E4562">
            <v>0</v>
          </cell>
          <cell r="F4562">
            <v>0</v>
          </cell>
        </row>
        <row r="4563">
          <cell r="B4563">
            <v>40061573</v>
          </cell>
          <cell r="C4563" t="str">
            <v>PA DISCOVER B1G1 AER 150ML M250 P12-LIQ</v>
          </cell>
          <cell r="D4563">
            <v>0</v>
          </cell>
          <cell r="E4563">
            <v>0</v>
          </cell>
          <cell r="F4563">
            <v>0</v>
          </cell>
        </row>
        <row r="4564">
          <cell r="B4564">
            <v>40061983</v>
          </cell>
          <cell r="C4564" t="str">
            <v>PA ALTER EGO AERSL 150 ML MRP250P72-LIQ</v>
          </cell>
          <cell r="D4564">
            <v>0</v>
          </cell>
          <cell r="E4564">
            <v>0</v>
          </cell>
          <cell r="F4564">
            <v>0</v>
          </cell>
        </row>
        <row r="4565">
          <cell r="B4565">
            <v>40062087</v>
          </cell>
          <cell r="C4565" t="str">
            <v>PA EDP HRMNY 100ML W10MLTSTR M749P18-LIQ</v>
          </cell>
          <cell r="D4565">
            <v>0</v>
          </cell>
          <cell r="E4565">
            <v>0</v>
          </cell>
          <cell r="F4565">
            <v>0</v>
          </cell>
        </row>
        <row r="4566">
          <cell r="B4566">
            <v>40058396</v>
          </cell>
          <cell r="C4566" t="str">
            <v>PA 4X CORSICA COOL 120ML M349P24GCPL BD</v>
          </cell>
          <cell r="D4566">
            <v>0</v>
          </cell>
          <cell r="E4566">
            <v>0</v>
          </cell>
          <cell r="F4566">
            <v>0</v>
          </cell>
        </row>
        <row r="4567">
          <cell r="B4567">
            <v>40042245</v>
          </cell>
          <cell r="C4567" t="str">
            <v>PA VOYAGE AMAZONWOODS 120 ML M349P24-NPL</v>
          </cell>
          <cell r="D4567">
            <v>0</v>
          </cell>
          <cell r="E4567">
            <v>0</v>
          </cell>
          <cell r="F4567">
            <v>0</v>
          </cell>
        </row>
        <row r="4568">
          <cell r="B4568">
            <v>40058944</v>
          </cell>
          <cell r="C4568" t="str">
            <v>KS RUSH 120ML M99.00 P48 GCPL NEPAL</v>
          </cell>
          <cell r="D4568">
            <v>0</v>
          </cell>
          <cell r="E4568">
            <v>0</v>
          </cell>
          <cell r="F4568">
            <v>0</v>
          </cell>
        </row>
        <row r="4569">
          <cell r="B4569">
            <v>40058943</v>
          </cell>
          <cell r="C4569" t="str">
            <v>KS URGE 120ML M99.00 P48 GCPL NEPAL</v>
          </cell>
          <cell r="D4569">
            <v>0</v>
          </cell>
          <cell r="E4569">
            <v>0</v>
          </cell>
          <cell r="F4569">
            <v>0</v>
          </cell>
        </row>
        <row r="4570">
          <cell r="B4570">
            <v>40043473</v>
          </cell>
          <cell r="C4570" t="str">
            <v>PA ALTER EGO AER 150ML M250 P24 GCPL-BD</v>
          </cell>
          <cell r="D4570">
            <v>0</v>
          </cell>
          <cell r="E4570">
            <v>0</v>
          </cell>
          <cell r="F4570">
            <v>0</v>
          </cell>
        </row>
        <row r="4571">
          <cell r="B4571">
            <v>40061952</v>
          </cell>
          <cell r="C4571" t="str">
            <v>PA ALTER EGO AER 150ML M250 P48 GCPL BD</v>
          </cell>
          <cell r="D4571">
            <v>0</v>
          </cell>
          <cell r="E4571">
            <v>0</v>
          </cell>
          <cell r="F4571">
            <v>0</v>
          </cell>
        </row>
        <row r="4572">
          <cell r="B4572">
            <v>40061948</v>
          </cell>
          <cell r="C4572" t="str">
            <v>PA SIG.DISCVRAER 150ML (PO3) M250 P48 BD</v>
          </cell>
          <cell r="D4572">
            <v>0</v>
          </cell>
          <cell r="E4572">
            <v>0</v>
          </cell>
          <cell r="F4572">
            <v>0</v>
          </cell>
        </row>
        <row r="4573">
          <cell r="B4573">
            <v>40056511</v>
          </cell>
          <cell r="C4573" t="str">
            <v>PA GM AER 150ML M225 P24 GCPL NEPAL</v>
          </cell>
          <cell r="D4573">
            <v>0</v>
          </cell>
          <cell r="E4573">
            <v>0</v>
          </cell>
          <cell r="F4573">
            <v>0</v>
          </cell>
        </row>
        <row r="4574">
          <cell r="B4574">
            <v>40061795</v>
          </cell>
          <cell r="C4574" t="str">
            <v>PA NEO AER 150ML  M250 P48 GCPL BD</v>
          </cell>
          <cell r="D4574">
            <v>0</v>
          </cell>
          <cell r="E4574">
            <v>0</v>
          </cell>
          <cell r="F4574">
            <v>0</v>
          </cell>
        </row>
        <row r="4575">
          <cell r="B4575">
            <v>40064737</v>
          </cell>
          <cell r="C4575" t="str">
            <v>PA NEO AER150ML (PO3) M250 P48 GCPL  NPL</v>
          </cell>
          <cell r="D4575">
            <v>0</v>
          </cell>
          <cell r="E4575">
            <v>0</v>
          </cell>
          <cell r="F4575">
            <v>0</v>
          </cell>
        </row>
        <row r="4576">
          <cell r="B4576">
            <v>40061521</v>
          </cell>
          <cell r="C4576" t="str">
            <v>PA VOYAGE 220MLÂ P24 RPK EMIZAPO3 EXP</v>
          </cell>
          <cell r="D4576">
            <v>0</v>
          </cell>
          <cell r="E4576">
            <v>0</v>
          </cell>
          <cell r="F4576">
            <v>0</v>
          </cell>
        </row>
        <row r="4577">
          <cell r="B4577">
            <v>40061928</v>
          </cell>
          <cell r="C4577" t="str">
            <v>PA VOYAGE AER150 ML(PO3)M250P48 GCPL NPL</v>
          </cell>
          <cell r="D4577">
            <v>0</v>
          </cell>
          <cell r="E4577">
            <v>0</v>
          </cell>
          <cell r="F4577">
            <v>0</v>
          </cell>
        </row>
        <row r="4578">
          <cell r="B4578">
            <v>40061955</v>
          </cell>
          <cell r="C4578" t="str">
            <v>PA VOYAGE AER150 ML(PO3) M250P48 GCPL BD</v>
          </cell>
          <cell r="D4578">
            <v>0</v>
          </cell>
          <cell r="E4578">
            <v>0</v>
          </cell>
          <cell r="F4578">
            <v>0</v>
          </cell>
        </row>
        <row r="4579">
          <cell r="B4579">
            <v>40057345</v>
          </cell>
          <cell r="C4579" t="str">
            <v>PA EDP CONQUER 100ML G M799 P6 BD</v>
          </cell>
          <cell r="D4579">
            <v>0</v>
          </cell>
          <cell r="E4579">
            <v>0</v>
          </cell>
          <cell r="F4579">
            <v>0</v>
          </cell>
        </row>
        <row r="4580">
          <cell r="B4580">
            <v>40042607</v>
          </cell>
          <cell r="C4580" t="str">
            <v>PA EDP Conquer 50 ml-P36-W/O-MRP</v>
          </cell>
          <cell r="D4580">
            <v>0</v>
          </cell>
          <cell r="E4580">
            <v>0</v>
          </cell>
          <cell r="F4580">
            <v>0</v>
          </cell>
        </row>
        <row r="4581">
          <cell r="B4581">
            <v>40062371</v>
          </cell>
          <cell r="C4581" t="str">
            <v>PA EDP CONQUR 50ML+10MLTSTR M399P12FC BD</v>
          </cell>
          <cell r="D4581">
            <v>0</v>
          </cell>
          <cell r="E4581">
            <v>0</v>
          </cell>
          <cell r="F4581">
            <v>0</v>
          </cell>
        </row>
        <row r="4582">
          <cell r="B4582">
            <v>40061829</v>
          </cell>
          <cell r="C4582" t="str">
            <v>PA FEM EDP ALLURE 100ML M799 P6-C NPL</v>
          </cell>
          <cell r="D4582">
            <v>0</v>
          </cell>
          <cell r="E4582">
            <v>0</v>
          </cell>
          <cell r="F4582">
            <v>0</v>
          </cell>
        </row>
        <row r="4583">
          <cell r="B4583">
            <v>40061828</v>
          </cell>
          <cell r="C4583" t="str">
            <v>PA FEM EDP GRACE 100ML M799 P6-C NPL</v>
          </cell>
          <cell r="D4583">
            <v>0</v>
          </cell>
          <cell r="E4583">
            <v>0</v>
          </cell>
          <cell r="F4583">
            <v>0</v>
          </cell>
        </row>
        <row r="4584">
          <cell r="B4584">
            <v>40062896</v>
          </cell>
          <cell r="C4584" t="str">
            <v>PA FEM EDP GRACE 100ML M799 P6 BD</v>
          </cell>
          <cell r="D4584">
            <v>0</v>
          </cell>
          <cell r="E4584">
            <v>0</v>
          </cell>
          <cell r="F4584">
            <v>0</v>
          </cell>
        </row>
        <row r="4585">
          <cell r="B4585">
            <v>40061835</v>
          </cell>
          <cell r="C4585" t="str">
            <v>PA FEM EDP POISE 100ML M799 P6-C NPL</v>
          </cell>
          <cell r="D4585">
            <v>0</v>
          </cell>
          <cell r="E4585">
            <v>0</v>
          </cell>
          <cell r="F4585">
            <v>0</v>
          </cell>
        </row>
        <row r="4586">
          <cell r="B4586">
            <v>40062908</v>
          </cell>
          <cell r="C4586" t="str">
            <v>PA FEM EDP POISE 100ML M799 P6 BD</v>
          </cell>
          <cell r="D4586">
            <v>0</v>
          </cell>
          <cell r="E4586">
            <v>0</v>
          </cell>
          <cell r="F4586">
            <v>0</v>
          </cell>
        </row>
        <row r="4587">
          <cell r="B4587">
            <v>40064542</v>
          </cell>
          <cell r="C4587" t="str">
            <v>PA EDP EUPHORIA 100ML G P12 NEWAW SL</v>
          </cell>
          <cell r="D4587">
            <v>0</v>
          </cell>
          <cell r="E4587">
            <v>0</v>
          </cell>
          <cell r="F4587">
            <v>0</v>
          </cell>
        </row>
        <row r="4588">
          <cell r="B4588">
            <v>40064647</v>
          </cell>
          <cell r="C4588" t="str">
            <v>PA EDP EUPHORIA 100ML G P12 MT NEWAW BD</v>
          </cell>
          <cell r="D4588">
            <v>0</v>
          </cell>
          <cell r="E4588">
            <v>0</v>
          </cell>
          <cell r="F4588">
            <v>0</v>
          </cell>
        </row>
        <row r="4589">
          <cell r="B4589">
            <v>40062365</v>
          </cell>
          <cell r="C4589" t="str">
            <v>PA EDP EUPHORIA50ML+10MLTESTR M399P12 BD</v>
          </cell>
          <cell r="D4589">
            <v>0</v>
          </cell>
          <cell r="E4589">
            <v>0</v>
          </cell>
          <cell r="F4589">
            <v>0</v>
          </cell>
        </row>
        <row r="4590">
          <cell r="B4590">
            <v>40065507</v>
          </cell>
          <cell r="C4590" t="str">
            <v>PA EDP EUPHORIA50ML M399P12 REFRESH NPL</v>
          </cell>
          <cell r="D4590">
            <v>0</v>
          </cell>
          <cell r="E4590">
            <v>0</v>
          </cell>
          <cell r="F4590">
            <v>0</v>
          </cell>
        </row>
        <row r="4591">
          <cell r="B4591">
            <v>40063305</v>
          </cell>
          <cell r="C4591" t="str">
            <v>PA FEDP 4X20ML GIFTSET M699 P12(WKIT)NPL</v>
          </cell>
          <cell r="D4591">
            <v>0</v>
          </cell>
          <cell r="E4591">
            <v>0</v>
          </cell>
          <cell r="F4591">
            <v>0</v>
          </cell>
        </row>
        <row r="4592">
          <cell r="B4592">
            <v>40057347</v>
          </cell>
          <cell r="C4592" t="str">
            <v>PA EDP HARMONY 100ML G M799 P6 BD</v>
          </cell>
          <cell r="D4592">
            <v>0</v>
          </cell>
          <cell r="E4592">
            <v>0</v>
          </cell>
          <cell r="F4592">
            <v>0</v>
          </cell>
        </row>
        <row r="4593">
          <cell r="B4593">
            <v>40059148</v>
          </cell>
          <cell r="C4593" t="str">
            <v>PA EDP OUD 100ML M599 P12 NEPAL</v>
          </cell>
          <cell r="D4593">
            <v>0</v>
          </cell>
          <cell r="E4593">
            <v>0</v>
          </cell>
          <cell r="F4593">
            <v>0</v>
          </cell>
        </row>
        <row r="4594">
          <cell r="B4594">
            <v>40059797</v>
          </cell>
          <cell r="C4594" t="str">
            <v>PA EDP OUD 100ML M399 P12  BD</v>
          </cell>
          <cell r="D4594">
            <v>0</v>
          </cell>
          <cell r="E4594">
            <v>0</v>
          </cell>
          <cell r="F4594">
            <v>0</v>
          </cell>
        </row>
        <row r="4595">
          <cell r="B4595">
            <v>40059675</v>
          </cell>
          <cell r="C4595" t="str">
            <v>PA EDP VOYAGE 50ML P12 W/O M EXP</v>
          </cell>
          <cell r="D4595">
            <v>0</v>
          </cell>
          <cell r="E4595">
            <v>0</v>
          </cell>
          <cell r="F4595">
            <v>0</v>
          </cell>
        </row>
        <row r="4596">
          <cell r="B4596">
            <v>40059174</v>
          </cell>
          <cell r="C4596" t="str">
            <v>KS SPARK POCKET 18ML M60 P80 NEPAL</v>
          </cell>
          <cell r="D4596">
            <v>0</v>
          </cell>
          <cell r="E4596">
            <v>0</v>
          </cell>
          <cell r="F4596">
            <v>0</v>
          </cell>
        </row>
        <row r="4597">
          <cell r="B4597">
            <v>40062195</v>
          </cell>
          <cell r="C4597" t="str">
            <v>PA GM POCKET 18ML M60 P160 GCPL NPL</v>
          </cell>
          <cell r="D4597">
            <v>0</v>
          </cell>
          <cell r="E4597">
            <v>0</v>
          </cell>
          <cell r="F4597">
            <v>0</v>
          </cell>
        </row>
        <row r="4598">
          <cell r="B4598">
            <v>40062196</v>
          </cell>
          <cell r="C4598" t="str">
            <v>PA VOYAGE POCKET 18ML M60 P160 GCPL NPL</v>
          </cell>
          <cell r="D4598">
            <v>0</v>
          </cell>
          <cell r="E4598">
            <v>0</v>
          </cell>
          <cell r="F4598">
            <v>0</v>
          </cell>
        </row>
        <row r="4599">
          <cell r="B4599">
            <v>40063676</v>
          </cell>
          <cell r="C4599" t="str">
            <v>CIN LIME 125GPO3(BANDED) M135 P40 MT FRW</v>
          </cell>
          <cell r="D4599">
            <v>0</v>
          </cell>
          <cell r="E4599">
            <v>0</v>
          </cell>
          <cell r="F4599">
            <v>0</v>
          </cell>
        </row>
        <row r="4600">
          <cell r="B4600">
            <v>40041051</v>
          </cell>
          <cell r="C4600" t="str">
            <v>*PA Soap G2CoolBlue 4x125g PO4 M280P27</v>
          </cell>
          <cell r="D4600">
            <v>0</v>
          </cell>
          <cell r="E4600">
            <v>0</v>
          </cell>
          <cell r="F4600">
            <v>0</v>
          </cell>
        </row>
        <row r="4601">
          <cell r="B4601">
            <v>40042111</v>
          </cell>
          <cell r="C4601" t="str">
            <v>*PA Soap G2CoolBlue 4x125gPO4M280P27GCPL</v>
          </cell>
          <cell r="D4601">
            <v>0</v>
          </cell>
          <cell r="E4601">
            <v>0</v>
          </cell>
          <cell r="F4601">
            <v>0</v>
          </cell>
        </row>
        <row r="4602">
          <cell r="B4602">
            <v>40050628</v>
          </cell>
          <cell r="C4602" t="str">
            <v>*PA SOAP COOLBLUE 4X125GPO4M320.00 P27</v>
          </cell>
          <cell r="D4602">
            <v>0</v>
          </cell>
          <cell r="E4602">
            <v>0</v>
          </cell>
          <cell r="F4602">
            <v>0</v>
          </cell>
        </row>
        <row r="4603">
          <cell r="B4603">
            <v>40060347</v>
          </cell>
          <cell r="C4603" t="str">
            <v>PA SOAP COOLBLUE 4X125GPO4 M260 P27</v>
          </cell>
          <cell r="D4603">
            <v>0</v>
          </cell>
          <cell r="E4603">
            <v>0</v>
          </cell>
          <cell r="F4603">
            <v>0</v>
          </cell>
        </row>
        <row r="4604">
          <cell r="B4604">
            <v>40059960</v>
          </cell>
          <cell r="C4604" t="str">
            <v>*PA SOAP G2COOLBLUE 8X125GPO8M640P12ECOM</v>
          </cell>
          <cell r="D4604">
            <v>0</v>
          </cell>
          <cell r="E4604">
            <v>0</v>
          </cell>
          <cell r="F4604">
            <v>0</v>
          </cell>
        </row>
        <row r="4605">
          <cell r="B4605">
            <v>40042103</v>
          </cell>
          <cell r="C4605" t="str">
            <v>*PASoapCoolBlue125gB3G1₹210P27GCPL</v>
          </cell>
          <cell r="D4605">
            <v>0</v>
          </cell>
          <cell r="E4605">
            <v>0</v>
          </cell>
          <cell r="F4605">
            <v>0</v>
          </cell>
        </row>
        <row r="4606">
          <cell r="B4606">
            <v>40050863</v>
          </cell>
          <cell r="C4606" t="str">
            <v>*PASOAPCOOLBLUE125GB3G1M240P27GCPL</v>
          </cell>
          <cell r="D4606">
            <v>0</v>
          </cell>
          <cell r="E4606">
            <v>0</v>
          </cell>
          <cell r="F4606">
            <v>0</v>
          </cell>
        </row>
        <row r="4607">
          <cell r="B4607">
            <v>40059403</v>
          </cell>
          <cell r="C4607" t="str">
            <v>*PASOAPCOOLBLUE125GB3G1M200P27GCPL</v>
          </cell>
          <cell r="D4607">
            <v>0</v>
          </cell>
          <cell r="E4607">
            <v>0</v>
          </cell>
          <cell r="F4607">
            <v>0</v>
          </cell>
        </row>
        <row r="4608">
          <cell r="B4608">
            <v>40065139</v>
          </cell>
          <cell r="C4608" t="str">
            <v>PA SOAP COOL BLUE 125G B3G1 M240 P27GCPL</v>
          </cell>
          <cell r="D4608">
            <v>0</v>
          </cell>
          <cell r="E4608">
            <v>0</v>
          </cell>
          <cell r="F4608">
            <v>0</v>
          </cell>
        </row>
        <row r="4609">
          <cell r="B4609">
            <v>40040905</v>
          </cell>
          <cell r="C4609" t="str">
            <v>*PA Soap NEW Cool Blue 125g (MRP 70)P108</v>
          </cell>
          <cell r="D4609">
            <v>0</v>
          </cell>
          <cell r="E4609">
            <v>0</v>
          </cell>
          <cell r="F4609">
            <v>0</v>
          </cell>
        </row>
        <row r="4610">
          <cell r="B4610">
            <v>40042113</v>
          </cell>
          <cell r="C4610" t="str">
            <v>*PA SoapG2CoolBlue 125g(MRP 70)P108GCPL</v>
          </cell>
          <cell r="D4610">
            <v>0</v>
          </cell>
          <cell r="E4610">
            <v>0</v>
          </cell>
          <cell r="F4610">
            <v>0</v>
          </cell>
        </row>
        <row r="4611">
          <cell r="B4611">
            <v>40050630</v>
          </cell>
          <cell r="C4611" t="str">
            <v>*PA SOAP COOLBLUE 125GM 80.00 P108 GCPL</v>
          </cell>
          <cell r="D4611">
            <v>0</v>
          </cell>
          <cell r="E4611">
            <v>0</v>
          </cell>
          <cell r="F4611">
            <v>0</v>
          </cell>
        </row>
        <row r="4612">
          <cell r="B4612">
            <v>40041052</v>
          </cell>
          <cell r="C4612" t="str">
            <v>*PASoapG2GoodMrng4x125gPackOf4M280P27</v>
          </cell>
          <cell r="D4612">
            <v>0</v>
          </cell>
          <cell r="E4612">
            <v>0</v>
          </cell>
          <cell r="F4612">
            <v>0</v>
          </cell>
        </row>
        <row r="4613">
          <cell r="B4613">
            <v>40042110</v>
          </cell>
          <cell r="C4613" t="str">
            <v>*PA SoapG2 Good Mrng4x125gPO4M280P27GCPL</v>
          </cell>
          <cell r="D4613">
            <v>0</v>
          </cell>
          <cell r="E4613">
            <v>0</v>
          </cell>
          <cell r="F4613">
            <v>0</v>
          </cell>
        </row>
        <row r="4614">
          <cell r="B4614">
            <v>40050631</v>
          </cell>
          <cell r="C4614" t="str">
            <v>*PASOAPGOODMRNG4X125GPO4M320.00P27GCPL</v>
          </cell>
          <cell r="D4614">
            <v>0</v>
          </cell>
          <cell r="E4614">
            <v>0</v>
          </cell>
          <cell r="F4614">
            <v>0</v>
          </cell>
        </row>
        <row r="4615">
          <cell r="B4615">
            <v>40056893</v>
          </cell>
          <cell r="C4615" t="str">
            <v>*PA SOAPGOOD MRNG4X125GPO4M320 P27EMIZA</v>
          </cell>
          <cell r="D4615">
            <v>0</v>
          </cell>
          <cell r="E4615">
            <v>0</v>
          </cell>
          <cell r="F4615">
            <v>0</v>
          </cell>
        </row>
        <row r="4616">
          <cell r="B4616">
            <v>40060346</v>
          </cell>
          <cell r="C4616" t="str">
            <v>PA SOAPGOOD MRNG4X125GPO4M260 P27GCPL</v>
          </cell>
          <cell r="D4616">
            <v>0</v>
          </cell>
          <cell r="E4616">
            <v>0</v>
          </cell>
          <cell r="F4616">
            <v>0</v>
          </cell>
        </row>
        <row r="4617">
          <cell r="B4617">
            <v>40059962</v>
          </cell>
          <cell r="C4617" t="str">
            <v>*PA SOAP GOOD MRNG8X125GPO8M640P12ECOM</v>
          </cell>
          <cell r="D4617">
            <v>0</v>
          </cell>
          <cell r="E4617">
            <v>0</v>
          </cell>
          <cell r="F4617">
            <v>0</v>
          </cell>
        </row>
        <row r="4618">
          <cell r="B4618">
            <v>40042104</v>
          </cell>
          <cell r="C4618" t="str">
            <v>*PA Soap Gd Mrng 125g B3G1 ₹ 210P27 GCPL</v>
          </cell>
          <cell r="D4618">
            <v>0</v>
          </cell>
          <cell r="E4618">
            <v>0</v>
          </cell>
          <cell r="F4618">
            <v>0</v>
          </cell>
        </row>
        <row r="4619">
          <cell r="B4619">
            <v>40050613</v>
          </cell>
          <cell r="C4619" t="str">
            <v>*PASOAPGDMRNG125GB3G1₹240.00P27N</v>
          </cell>
          <cell r="D4619">
            <v>0</v>
          </cell>
          <cell r="E4619">
            <v>0</v>
          </cell>
          <cell r="F4619">
            <v>0</v>
          </cell>
        </row>
        <row r="4620">
          <cell r="B4620">
            <v>40059319</v>
          </cell>
          <cell r="C4620" t="str">
            <v>*PA SOAP GD MRNG 125G B3G1 M200 P27</v>
          </cell>
          <cell r="D4620">
            <v>0</v>
          </cell>
          <cell r="E4620">
            <v>0</v>
          </cell>
          <cell r="F4620">
            <v>0</v>
          </cell>
        </row>
        <row r="4621">
          <cell r="B4621">
            <v>40040876</v>
          </cell>
          <cell r="C4621" t="str">
            <v>*PASoapNEWGoodMorning125g(M60)P108</v>
          </cell>
          <cell r="D4621">
            <v>0</v>
          </cell>
          <cell r="E4621">
            <v>0</v>
          </cell>
          <cell r="F4621">
            <v>0</v>
          </cell>
        </row>
        <row r="4622">
          <cell r="B4622">
            <v>40042127</v>
          </cell>
          <cell r="C4622" t="str">
            <v>*PASoapG2GoodMorning125g(M70)P108GCPL</v>
          </cell>
          <cell r="D4622">
            <v>0</v>
          </cell>
          <cell r="E4622">
            <v>0</v>
          </cell>
          <cell r="F4622">
            <v>0</v>
          </cell>
        </row>
        <row r="4623">
          <cell r="B4623">
            <v>40041115</v>
          </cell>
          <cell r="C4623" t="str">
            <v>*PA NewGerMProtect soap PO4 125gMM340P27</v>
          </cell>
          <cell r="D4623">
            <v>0</v>
          </cell>
          <cell r="E4623">
            <v>0</v>
          </cell>
          <cell r="F4623">
            <v>0</v>
          </cell>
        </row>
        <row r="4624">
          <cell r="B4624">
            <v>40041050</v>
          </cell>
          <cell r="C4624" t="str">
            <v>*PASoapG2PurLuxury4x125gPackOf4M280P27</v>
          </cell>
          <cell r="D4624">
            <v>0</v>
          </cell>
          <cell r="E4624">
            <v>0</v>
          </cell>
          <cell r="F4624">
            <v>0</v>
          </cell>
        </row>
        <row r="4625">
          <cell r="B4625">
            <v>40042126</v>
          </cell>
          <cell r="C4625" t="str">
            <v>*PASoapG2PurLuxury4x125gPO4M280P27GCPL</v>
          </cell>
          <cell r="D4625">
            <v>0</v>
          </cell>
          <cell r="E4625">
            <v>0</v>
          </cell>
          <cell r="F4625">
            <v>0</v>
          </cell>
        </row>
        <row r="4626">
          <cell r="B4626">
            <v>40050796</v>
          </cell>
          <cell r="C4626" t="str">
            <v>*PASOAPPURELXRY4X125GPO4M320P27GCPL</v>
          </cell>
          <cell r="D4626">
            <v>0</v>
          </cell>
          <cell r="E4626">
            <v>0</v>
          </cell>
          <cell r="F4626">
            <v>0</v>
          </cell>
        </row>
        <row r="4627">
          <cell r="B4627">
            <v>40056892</v>
          </cell>
          <cell r="C4627" t="str">
            <v>*PASOAPPURELXRY4X125GPO4M320P27EMIZA</v>
          </cell>
          <cell r="D4627">
            <v>0</v>
          </cell>
          <cell r="E4627">
            <v>0</v>
          </cell>
          <cell r="F4627">
            <v>0</v>
          </cell>
        </row>
        <row r="4628">
          <cell r="B4628">
            <v>40060345</v>
          </cell>
          <cell r="C4628" t="str">
            <v>PA SOAP PURE LXRY 4X125GPO4 M260 P27GCPL</v>
          </cell>
          <cell r="D4628">
            <v>0</v>
          </cell>
          <cell r="E4628">
            <v>0</v>
          </cell>
          <cell r="F4628">
            <v>0</v>
          </cell>
        </row>
        <row r="4629">
          <cell r="B4629">
            <v>40059961</v>
          </cell>
          <cell r="C4629" t="str">
            <v>*PA SOAP PURLUXURY8X125GPO8 M640P12ECOM</v>
          </cell>
          <cell r="D4629">
            <v>0</v>
          </cell>
          <cell r="E4629">
            <v>0</v>
          </cell>
          <cell r="F4629">
            <v>0</v>
          </cell>
        </row>
        <row r="4630">
          <cell r="B4630">
            <v>40042112</v>
          </cell>
          <cell r="C4630" t="str">
            <v>*PASoapPureLuxury125gB3G1₹210P27GCPL</v>
          </cell>
          <cell r="D4630">
            <v>0</v>
          </cell>
          <cell r="E4630">
            <v>0</v>
          </cell>
          <cell r="F4630">
            <v>0</v>
          </cell>
        </row>
        <row r="4631">
          <cell r="B4631">
            <v>40050623</v>
          </cell>
          <cell r="C4631" t="str">
            <v>*PA SOAP PURE LXRY125GB3G1 ₹240.00 P27 N</v>
          </cell>
          <cell r="D4631">
            <v>0</v>
          </cell>
          <cell r="E4631">
            <v>0</v>
          </cell>
          <cell r="F4631">
            <v>0</v>
          </cell>
        </row>
        <row r="4632">
          <cell r="B4632">
            <v>40059316</v>
          </cell>
          <cell r="C4632" t="str">
            <v>*PA SOAP PURE LXRY125GB3G1 M200 P27 N</v>
          </cell>
          <cell r="D4632">
            <v>0</v>
          </cell>
          <cell r="E4632">
            <v>0</v>
          </cell>
          <cell r="F4632">
            <v>0</v>
          </cell>
        </row>
        <row r="4633">
          <cell r="B4633">
            <v>40061221</v>
          </cell>
          <cell r="C4633" t="str">
            <v>*PASOAPG2PURLUXURY4X125GPO4M280P27-LIQ</v>
          </cell>
          <cell r="D4633">
            <v>0</v>
          </cell>
          <cell r="E4633">
            <v>0</v>
          </cell>
          <cell r="F4633">
            <v>0</v>
          </cell>
        </row>
        <row r="4634">
          <cell r="B4634">
            <v>40061230</v>
          </cell>
          <cell r="C4634" t="str">
            <v>PA SOAP GD MRNG 125G B3G1 Â‚¹ 210P27-LIQ</v>
          </cell>
          <cell r="D4634">
            <v>0</v>
          </cell>
          <cell r="E4634">
            <v>0</v>
          </cell>
          <cell r="F4634">
            <v>0</v>
          </cell>
        </row>
        <row r="4635">
          <cell r="B4635">
            <v>40061246</v>
          </cell>
          <cell r="C4635" t="str">
            <v>*PASOAPPURELUXURY125GB3G1Â‚¹210P27-LIQ</v>
          </cell>
          <cell r="D4635">
            <v>0</v>
          </cell>
          <cell r="E4635">
            <v>0</v>
          </cell>
          <cell r="F4635">
            <v>0</v>
          </cell>
        </row>
        <row r="4636">
          <cell r="B4636">
            <v>40061284</v>
          </cell>
          <cell r="C4636" t="str">
            <v>*PASOAPG2LUXURY125G(MRP70)P108GCPL-LIQ</v>
          </cell>
          <cell r="D4636">
            <v>0</v>
          </cell>
          <cell r="E4636">
            <v>0</v>
          </cell>
          <cell r="F4636">
            <v>0</v>
          </cell>
        </row>
        <row r="4637">
          <cell r="B4637">
            <v>40061430</v>
          </cell>
          <cell r="C4637" t="str">
            <v>*PA SOAP  LUXURY 125G M 80.00 P108-LIQ</v>
          </cell>
          <cell r="D4637">
            <v>0</v>
          </cell>
          <cell r="E4637">
            <v>0</v>
          </cell>
          <cell r="F4637">
            <v>0</v>
          </cell>
        </row>
        <row r="4638">
          <cell r="B4638">
            <v>40061432</v>
          </cell>
          <cell r="C4638" t="str">
            <v>*PASOAPPURELXRY4X125GPO4M320P27EMIZA-LIQ</v>
          </cell>
          <cell r="D4638">
            <v>0</v>
          </cell>
          <cell r="E4638">
            <v>0</v>
          </cell>
          <cell r="F4638">
            <v>0</v>
          </cell>
        </row>
        <row r="4639">
          <cell r="B4639">
            <v>40061443</v>
          </cell>
          <cell r="C4639" t="str">
            <v>*PASOAPPURELXRY4X125GPO4M320P27GCPL-LIQ</v>
          </cell>
          <cell r="D4639">
            <v>0</v>
          </cell>
          <cell r="E4639">
            <v>0</v>
          </cell>
          <cell r="F4639">
            <v>0</v>
          </cell>
        </row>
        <row r="4640">
          <cell r="B4640">
            <v>40061467</v>
          </cell>
          <cell r="C4640" t="str">
            <v>*PA SOAP G2COOLBLUE 4X125GPO4M280P27-LIQ</v>
          </cell>
          <cell r="D4640">
            <v>0</v>
          </cell>
          <cell r="E4640">
            <v>0</v>
          </cell>
          <cell r="F4640">
            <v>0</v>
          </cell>
        </row>
        <row r="4641">
          <cell r="B4641">
            <v>40061852</v>
          </cell>
          <cell r="C4641" t="str">
            <v>PA SOAP CL BLUE 125GB3G1M240P27GCPL-LIQ</v>
          </cell>
          <cell r="D4641">
            <v>0</v>
          </cell>
          <cell r="E4641">
            <v>0</v>
          </cell>
          <cell r="F4641">
            <v>0</v>
          </cell>
        </row>
        <row r="4642">
          <cell r="B4642">
            <v>40061855</v>
          </cell>
          <cell r="C4642" t="str">
            <v>PA SP PURE LUX125GB3G1 M240.00 P27 N-LIQ</v>
          </cell>
          <cell r="D4642">
            <v>0</v>
          </cell>
          <cell r="E4642">
            <v>0</v>
          </cell>
          <cell r="F4642">
            <v>0</v>
          </cell>
        </row>
        <row r="4643">
          <cell r="B4643">
            <v>40061915</v>
          </cell>
          <cell r="C4643" t="str">
            <v>PA SOAP COOLBLUE 125GM 80.00 P108-LIQ</v>
          </cell>
          <cell r="D4643">
            <v>0</v>
          </cell>
          <cell r="E4643">
            <v>0</v>
          </cell>
          <cell r="F4643">
            <v>0</v>
          </cell>
        </row>
        <row r="4644">
          <cell r="B4644">
            <v>40058252</v>
          </cell>
          <cell r="C4644" t="str">
            <v>CIN COOL BDYWSH 800MLCOMBI(B+3R) M360P8</v>
          </cell>
          <cell r="D4644">
            <v>0</v>
          </cell>
          <cell r="E4644">
            <v>0</v>
          </cell>
          <cell r="F4644">
            <v>0</v>
          </cell>
        </row>
        <row r="4645">
          <cell r="B4645">
            <v>40063506</v>
          </cell>
          <cell r="C4645" t="str">
            <v>CIN SANDL BDWSH BTTLE 200ML M99P30 STKR</v>
          </cell>
          <cell r="D4645">
            <v>0</v>
          </cell>
          <cell r="E4645">
            <v>0</v>
          </cell>
          <cell r="F4645">
            <v>0</v>
          </cell>
        </row>
        <row r="4646">
          <cell r="B4646">
            <v>40050505</v>
          </cell>
          <cell r="C4646" t="str">
            <v>CIN COOL100G SINGLES M50 P150 NEW BHUTAN</v>
          </cell>
          <cell r="D4646">
            <v>0</v>
          </cell>
          <cell r="E4646">
            <v>0</v>
          </cell>
          <cell r="F4646">
            <v>0</v>
          </cell>
        </row>
        <row r="4647">
          <cell r="B4647">
            <v>40064267</v>
          </cell>
          <cell r="C4647" t="str">
            <v>CIN COOL 100G PO4M145 P36 NEW RSTRD NPL</v>
          </cell>
          <cell r="D4647">
            <v>0</v>
          </cell>
          <cell r="E4647">
            <v>0</v>
          </cell>
          <cell r="F4647">
            <v>0</v>
          </cell>
        </row>
        <row r="4648">
          <cell r="B4648">
            <v>40064270</v>
          </cell>
          <cell r="C4648" t="str">
            <v>CIN COOL 100G PO4M145 P36 NEW RSTRD BTN</v>
          </cell>
          <cell r="D4648">
            <v>0</v>
          </cell>
          <cell r="E4648">
            <v>0</v>
          </cell>
          <cell r="F4648">
            <v>0</v>
          </cell>
        </row>
        <row r="4649">
          <cell r="B4649">
            <v>40065248</v>
          </cell>
          <cell r="C4649" t="str">
            <v>CIN COOL 38G M10 P216 RSTRD BTN</v>
          </cell>
          <cell r="D4649">
            <v>0</v>
          </cell>
          <cell r="E4649">
            <v>0</v>
          </cell>
          <cell r="F4649">
            <v>0</v>
          </cell>
        </row>
        <row r="4650">
          <cell r="B4650">
            <v>40065226</v>
          </cell>
          <cell r="C4650" t="str">
            <v>CINLIME100G PO5P36BANDED MT RSTRD EXP CC</v>
          </cell>
          <cell r="D4650">
            <v>0</v>
          </cell>
          <cell r="E4650">
            <v>0</v>
          </cell>
          <cell r="F4650">
            <v>0</v>
          </cell>
        </row>
        <row r="4651">
          <cell r="B4651">
            <v>40063431</v>
          </cell>
          <cell r="C4651" t="str">
            <v>CIN HEALTH+ 100G PO3+1 P36 EXP-BOX PACK</v>
          </cell>
          <cell r="D4651">
            <v>0</v>
          </cell>
          <cell r="E4651">
            <v>0</v>
          </cell>
          <cell r="F4651">
            <v>0</v>
          </cell>
        </row>
        <row r="4652">
          <cell r="B4652">
            <v>40060676</v>
          </cell>
          <cell r="C4652" t="str">
            <v>CINTHOL LIME FRESH SOAP 125G 3+1 P18 EXP</v>
          </cell>
          <cell r="D4652">
            <v>0</v>
          </cell>
          <cell r="E4652">
            <v>0</v>
          </cell>
          <cell r="F4652">
            <v>0</v>
          </cell>
        </row>
        <row r="4653">
          <cell r="B4653">
            <v>40037407</v>
          </cell>
          <cell r="C4653" t="str">
            <v>No1Lime&amp;Alov100g Singles NPR45 -NPL P144</v>
          </cell>
          <cell r="D4653">
            <v>0</v>
          </cell>
          <cell r="E4653">
            <v>0</v>
          </cell>
          <cell r="F4653">
            <v>0</v>
          </cell>
        </row>
        <row r="4654">
          <cell r="B4654">
            <v>40043604</v>
          </cell>
          <cell r="C4654" t="str">
            <v>No1 Lime&amp;Aloevera100g PO4 P36 NPR160-NPL</v>
          </cell>
          <cell r="D4654">
            <v>0</v>
          </cell>
          <cell r="E4654">
            <v>0</v>
          </cell>
          <cell r="F4654">
            <v>0</v>
          </cell>
        </row>
        <row r="4655">
          <cell r="B4655">
            <v>40050514</v>
          </cell>
          <cell r="C4655" t="str">
            <v>NO1LIME&amp;ALOE100GPO5 M125 P36 ROIS40IBTN</v>
          </cell>
          <cell r="D4655">
            <v>0</v>
          </cell>
          <cell r="E4655">
            <v>0</v>
          </cell>
          <cell r="F4655">
            <v>0</v>
          </cell>
        </row>
        <row r="4656">
          <cell r="B4656">
            <v>40064650</v>
          </cell>
          <cell r="C4656" t="str">
            <v>NO1 LIME&amp;ALO100G PO4 P36 NPR160 70TFMNPL</v>
          </cell>
          <cell r="D4656">
            <v>0</v>
          </cell>
          <cell r="E4656">
            <v>0</v>
          </cell>
          <cell r="F4656">
            <v>0</v>
          </cell>
        </row>
        <row r="4657">
          <cell r="B4657">
            <v>40065501</v>
          </cell>
          <cell r="C4657" t="str">
            <v>NO1 LIME&amp;ALO100G PO4 P36 NPR190 70TFMNPL</v>
          </cell>
          <cell r="D4657">
            <v>0</v>
          </cell>
          <cell r="E4657">
            <v>0</v>
          </cell>
          <cell r="F4657">
            <v>0</v>
          </cell>
        </row>
        <row r="4658">
          <cell r="B4658">
            <v>40050859</v>
          </cell>
          <cell r="C4658" t="str">
            <v>NO1 LIM &amp;ALOE 75G PO4 M130 NPR P54 NEPAL</v>
          </cell>
          <cell r="D4658">
            <v>0</v>
          </cell>
          <cell r="E4658">
            <v>0</v>
          </cell>
          <cell r="F4658">
            <v>0</v>
          </cell>
        </row>
        <row r="4659">
          <cell r="B4659">
            <v>40065502</v>
          </cell>
          <cell r="C4659" t="str">
            <v>NO1 LIM &amp;ALOE 75G PO4 M145 NPR P54 NEPAL</v>
          </cell>
          <cell r="D4659">
            <v>0</v>
          </cell>
          <cell r="E4659">
            <v>0</v>
          </cell>
          <cell r="F4659">
            <v>0</v>
          </cell>
        </row>
        <row r="4660">
          <cell r="B4660">
            <v>40050573</v>
          </cell>
          <cell r="C4660" t="str">
            <v>NO1 LIME&amp;ALOE 50G M25NPR P216 POLY-NPL</v>
          </cell>
          <cell r="D4660">
            <v>0</v>
          </cell>
          <cell r="E4660">
            <v>0</v>
          </cell>
          <cell r="F4660">
            <v>0</v>
          </cell>
        </row>
        <row r="4661">
          <cell r="B4661">
            <v>40058856</v>
          </cell>
          <cell r="C4661" t="str">
            <v>NO1 LIME &amp; ALOE 43G M10 P216 SING ND BTN</v>
          </cell>
          <cell r="D4661">
            <v>0</v>
          </cell>
          <cell r="E4661">
            <v>0</v>
          </cell>
          <cell r="F4661">
            <v>0</v>
          </cell>
        </row>
        <row r="4662">
          <cell r="B4662">
            <v>40064148</v>
          </cell>
          <cell r="C4662" t="str">
            <v>NO1LIME&amp;ALOE 43G M10P216 PLY RSTRD NFBTN</v>
          </cell>
          <cell r="D4662">
            <v>0</v>
          </cell>
          <cell r="E4662">
            <v>0</v>
          </cell>
          <cell r="F4662">
            <v>0</v>
          </cell>
        </row>
        <row r="4663">
          <cell r="B4663">
            <v>40058865</v>
          </cell>
          <cell r="C4663" t="str">
            <v>NO1SANDAL&amp;TUR 43G M10 P216 POLYRSTRD BTN</v>
          </cell>
          <cell r="D4663">
            <v>0</v>
          </cell>
          <cell r="E4663">
            <v>0</v>
          </cell>
          <cell r="F4663">
            <v>0</v>
          </cell>
        </row>
        <row r="4664">
          <cell r="B4664">
            <v>40050445</v>
          </cell>
          <cell r="C4664" t="str">
            <v>NO1 SAN&amp;TUR100G PO5 M125 P36ROI S40 BTN</v>
          </cell>
          <cell r="D4664">
            <v>0</v>
          </cell>
          <cell r="E4664">
            <v>0</v>
          </cell>
          <cell r="F4664">
            <v>0</v>
          </cell>
        </row>
        <row r="4665">
          <cell r="B4665">
            <v>40065499</v>
          </cell>
          <cell r="C4665" t="str">
            <v>NO1SAN&amp;TURM 100GPO4 P36 NPR190-70 TFMNPL</v>
          </cell>
          <cell r="D4665">
            <v>0</v>
          </cell>
          <cell r="E4665">
            <v>0</v>
          </cell>
          <cell r="F4665">
            <v>0</v>
          </cell>
        </row>
        <row r="4666">
          <cell r="B4666">
            <v>40043608</v>
          </cell>
          <cell r="C4666" t="str">
            <v>No1Sandal&amp;Turmeric100gPO4 P36 NPR160-NPL</v>
          </cell>
          <cell r="D4666">
            <v>0</v>
          </cell>
          <cell r="E4666">
            <v>0</v>
          </cell>
          <cell r="F4666">
            <v>0</v>
          </cell>
        </row>
        <row r="4667">
          <cell r="B4667">
            <v>40037410</v>
          </cell>
          <cell r="C4667" t="str">
            <v>No1Rose&amp;Almon100g Singles NPR45-NPL P144</v>
          </cell>
          <cell r="D4667">
            <v>0</v>
          </cell>
          <cell r="E4667">
            <v>0</v>
          </cell>
          <cell r="F4667">
            <v>0</v>
          </cell>
        </row>
        <row r="4668">
          <cell r="B4668">
            <v>40043603</v>
          </cell>
          <cell r="C4668" t="str">
            <v>No1Rosewater&amp;Almond100gPO4P36 NPR160-NPL</v>
          </cell>
          <cell r="D4668">
            <v>0</v>
          </cell>
          <cell r="E4668">
            <v>0</v>
          </cell>
          <cell r="F4668">
            <v>0</v>
          </cell>
        </row>
        <row r="4669">
          <cell r="B4669">
            <v>40064080</v>
          </cell>
          <cell r="C4669" t="str">
            <v>NO1ROSWTR&amp;ALMND100GPO4P36NPR160 70TFMNPL</v>
          </cell>
          <cell r="D4669">
            <v>0</v>
          </cell>
          <cell r="E4669">
            <v>0</v>
          </cell>
          <cell r="F4669">
            <v>0</v>
          </cell>
        </row>
        <row r="4670">
          <cell r="B4670">
            <v>40065032</v>
          </cell>
          <cell r="C4670" t="str">
            <v>NO1RSWT&amp;ALD100GPO4P36NPR180 70TFMNPL-NF2</v>
          </cell>
          <cell r="D4670">
            <v>0</v>
          </cell>
          <cell r="E4670">
            <v>0</v>
          </cell>
          <cell r="F4670">
            <v>0</v>
          </cell>
        </row>
        <row r="4671">
          <cell r="B4671">
            <v>40065504</v>
          </cell>
          <cell r="C4671" t="str">
            <v>NO1ROSWTR&amp;ALMND100GPO4P36NPR190 70TFMNPL</v>
          </cell>
          <cell r="D4671">
            <v>0</v>
          </cell>
          <cell r="E4671">
            <v>0</v>
          </cell>
          <cell r="F4671">
            <v>0</v>
          </cell>
        </row>
        <row r="4672">
          <cell r="B4672">
            <v>40065966</v>
          </cell>
          <cell r="C4672" t="str">
            <v>NO1 RSEALMD100G PO5M130 P36 RSTRD NF BTN</v>
          </cell>
          <cell r="D4672">
            <v>0</v>
          </cell>
          <cell r="E4672">
            <v>0</v>
          </cell>
          <cell r="F4672">
            <v>0</v>
          </cell>
        </row>
        <row r="4673">
          <cell r="B4673">
            <v>40041361</v>
          </cell>
          <cell r="C4673" t="str">
            <v>NO1 Rose&amp;Alm 67g PO4 NPR115 P54 - NEPAL</v>
          </cell>
          <cell r="D4673">
            <v>0</v>
          </cell>
          <cell r="E4673">
            <v>0</v>
          </cell>
          <cell r="F4673">
            <v>0</v>
          </cell>
        </row>
        <row r="4674">
          <cell r="B4674">
            <v>40059023</v>
          </cell>
          <cell r="C4674" t="str">
            <v>NO1RSEWTRALMND43GSINGLP216NPR20 RSTRDNPL</v>
          </cell>
          <cell r="D4674">
            <v>0</v>
          </cell>
          <cell r="E4674">
            <v>0</v>
          </cell>
          <cell r="F4674">
            <v>0</v>
          </cell>
        </row>
        <row r="4675">
          <cell r="B4675">
            <v>40050735</v>
          </cell>
          <cell r="C4675" t="str">
            <v>NO1 RSWTR&amp;ALM 75G PO4 M130 NPR P54 NEPAL</v>
          </cell>
          <cell r="D4675">
            <v>0</v>
          </cell>
          <cell r="E4675">
            <v>0</v>
          </cell>
          <cell r="F4675">
            <v>0</v>
          </cell>
        </row>
        <row r="4676">
          <cell r="B4676">
            <v>40065796</v>
          </cell>
          <cell r="C4676" t="str">
            <v>NO1 RSWTR&amp;ALM 75G PO4 M145 NPR P54 NEPAL</v>
          </cell>
          <cell r="D4676">
            <v>0</v>
          </cell>
          <cell r="E4676">
            <v>0</v>
          </cell>
          <cell r="F4676">
            <v>0</v>
          </cell>
        </row>
        <row r="4677">
          <cell r="B4677">
            <v>40060309</v>
          </cell>
          <cell r="C4677" t="str">
            <v>CIN COOL BDYWASH BOTTLE 200MLM120P30 NPL</v>
          </cell>
          <cell r="D4677">
            <v>0</v>
          </cell>
          <cell r="E4677">
            <v>0</v>
          </cell>
          <cell r="F4677">
            <v>0</v>
          </cell>
        </row>
        <row r="4678">
          <cell r="B4678">
            <v>40060110</v>
          </cell>
          <cell r="C4678" t="str">
            <v>CIN COOLBDYWASH BOTTLE 750ML M330P12 NPL</v>
          </cell>
          <cell r="D4678">
            <v>0</v>
          </cell>
          <cell r="E4678">
            <v>0</v>
          </cell>
          <cell r="F4678">
            <v>0</v>
          </cell>
        </row>
        <row r="4679">
          <cell r="B4679">
            <v>40060101</v>
          </cell>
          <cell r="C4679" t="str">
            <v>CIN LIMEBDYWASH BOTTLE 750ML M330P12 NPL</v>
          </cell>
          <cell r="D4679">
            <v>0</v>
          </cell>
          <cell r="E4679">
            <v>0</v>
          </cell>
          <cell r="F4679">
            <v>0</v>
          </cell>
        </row>
        <row r="4680">
          <cell r="B4680">
            <v>40016976</v>
          </cell>
          <cell r="C4680" t="str">
            <v>BBLNT Prft Bal Cond 200GM400P12</v>
          </cell>
          <cell r="D4680">
            <v>0</v>
          </cell>
          <cell r="E4680">
            <v>0</v>
          </cell>
          <cell r="F4680">
            <v>0</v>
          </cell>
        </row>
        <row r="4681">
          <cell r="B4681">
            <v>40019066</v>
          </cell>
          <cell r="C4681" t="str">
            <v>BBLNT Prft Bal Cond 500GM PK6M1000</v>
          </cell>
          <cell r="D4681">
            <v>0</v>
          </cell>
          <cell r="E4681">
            <v>0</v>
          </cell>
          <cell r="F4681">
            <v>0</v>
          </cell>
        </row>
        <row r="4682">
          <cell r="B4682">
            <v>40020410</v>
          </cell>
          <cell r="C4682" t="str">
            <v>BBLNT BackToLifBeaplsDrShm125mlM550P48</v>
          </cell>
          <cell r="D4682">
            <v>0</v>
          </cell>
          <cell r="E4682">
            <v>0</v>
          </cell>
          <cell r="F4682">
            <v>0</v>
          </cell>
        </row>
        <row r="4683">
          <cell r="B4683">
            <v>40023420</v>
          </cell>
          <cell r="C4683" t="str">
            <v>BBLNT BckToLifRfshDrShm125mlM550P48NW</v>
          </cell>
          <cell r="D4683">
            <v>0</v>
          </cell>
          <cell r="E4683">
            <v>0</v>
          </cell>
          <cell r="F4683">
            <v>0</v>
          </cell>
        </row>
        <row r="4684">
          <cell r="B4684">
            <v>40012545</v>
          </cell>
          <cell r="C4684" t="str">
            <v>BBLNT BlwnAwyVolzngSpry150mlM550P12</v>
          </cell>
          <cell r="D4684">
            <v>0</v>
          </cell>
          <cell r="E4684">
            <v>0</v>
          </cell>
          <cell r="F4684">
            <v>0</v>
          </cell>
        </row>
        <row r="4685">
          <cell r="B4685">
            <v>40012544</v>
          </cell>
          <cell r="C4685" t="str">
            <v>BBLNT High Defn Curl 150G M550P12</v>
          </cell>
          <cell r="D4685">
            <v>0</v>
          </cell>
          <cell r="E4685">
            <v>0</v>
          </cell>
          <cell r="F4685">
            <v>0</v>
          </cell>
        </row>
        <row r="4686">
          <cell r="B4686">
            <v>40020781</v>
          </cell>
          <cell r="C4686" t="str">
            <v>BBLUNT Gel OhNatrlHoldGel 150ML M550P12</v>
          </cell>
          <cell r="D4686">
            <v>0</v>
          </cell>
          <cell r="E4686">
            <v>0</v>
          </cell>
          <cell r="F4686">
            <v>0</v>
          </cell>
        </row>
        <row r="4687">
          <cell r="B4687">
            <v>40020774</v>
          </cell>
          <cell r="C4687" t="str">
            <v>BBLUNT ClmCntAntiFrizLvInCrm150G M550P12</v>
          </cell>
          <cell r="D4687">
            <v>0</v>
          </cell>
          <cell r="E4687">
            <v>0</v>
          </cell>
          <cell r="F4687">
            <v>0</v>
          </cell>
        </row>
        <row r="4688">
          <cell r="B4688">
            <v>40014097</v>
          </cell>
          <cell r="C4688" t="str">
            <v>BBLNT ClmCntAntFrzCrmMINI50G M175P108N</v>
          </cell>
          <cell r="D4688">
            <v>0</v>
          </cell>
          <cell r="E4688">
            <v>0</v>
          </cell>
          <cell r="F4688">
            <v>0</v>
          </cell>
        </row>
        <row r="4689">
          <cell r="B4689">
            <v>40017187</v>
          </cell>
          <cell r="C4689" t="str">
            <v>BBLNT ClmCntAntFrzLvInCrm75GM250P24</v>
          </cell>
          <cell r="D4689">
            <v>0</v>
          </cell>
          <cell r="E4689">
            <v>0</v>
          </cell>
          <cell r="F4689">
            <v>0</v>
          </cell>
        </row>
        <row r="4690">
          <cell r="B4690">
            <v>40019006</v>
          </cell>
          <cell r="C4690" t="str">
            <v>BBLNT FOVolShmp 1.5Ltr PK6M2000</v>
          </cell>
          <cell r="D4690">
            <v>0</v>
          </cell>
          <cell r="E4690">
            <v>0</v>
          </cell>
          <cell r="F4690">
            <v>0</v>
          </cell>
        </row>
        <row r="4691">
          <cell r="B4691">
            <v>40016975</v>
          </cell>
          <cell r="C4691" t="str">
            <v>BBLNT FOVolShmp400ml MRP550PK12</v>
          </cell>
          <cell r="D4691">
            <v>0</v>
          </cell>
          <cell r="E4691">
            <v>0</v>
          </cell>
          <cell r="F4691">
            <v>0</v>
          </cell>
        </row>
        <row r="4692">
          <cell r="B4692">
            <v>40020409</v>
          </cell>
          <cell r="C4692" t="str">
            <v>BBLUNTIntsMostHairSerum75mlM500</v>
          </cell>
          <cell r="D4692">
            <v>0</v>
          </cell>
          <cell r="E4692">
            <v>0</v>
          </cell>
          <cell r="F4692">
            <v>0</v>
          </cell>
        </row>
        <row r="4693">
          <cell r="B4693">
            <v>40020792</v>
          </cell>
          <cell r="C4693" t="str">
            <v>BBLNT 400ml Shmp Int Mos  M675P12</v>
          </cell>
          <cell r="D4693">
            <v>0</v>
          </cell>
          <cell r="E4693">
            <v>0</v>
          </cell>
          <cell r="F4693">
            <v>0</v>
          </cell>
        </row>
        <row r="4694">
          <cell r="B4694">
            <v>40023049</v>
          </cell>
          <cell r="C4694" t="str">
            <v>BBLNT Int Mos MINIShmp40mlM100P108NW</v>
          </cell>
          <cell r="D4694">
            <v>0</v>
          </cell>
          <cell r="E4694">
            <v>0</v>
          </cell>
          <cell r="F4694">
            <v>0</v>
          </cell>
        </row>
        <row r="4695">
          <cell r="B4695">
            <v>40032040</v>
          </cell>
          <cell r="C4695" t="str">
            <v>BBLUNTIntMosMiniSh FRW SalonSec P108M100</v>
          </cell>
          <cell r="D4695">
            <v>0</v>
          </cell>
          <cell r="E4695">
            <v>0</v>
          </cell>
          <cell r="F4695">
            <v>0</v>
          </cell>
        </row>
        <row r="4696">
          <cell r="B4696">
            <v>40016972</v>
          </cell>
          <cell r="C4696" t="str">
            <v>BBLNT Prft BAL Shmp400ml M550 PK12</v>
          </cell>
          <cell r="D4696">
            <v>0</v>
          </cell>
          <cell r="E4696">
            <v>0</v>
          </cell>
          <cell r="F4696">
            <v>0</v>
          </cell>
        </row>
        <row r="4697">
          <cell r="B4697">
            <v>40033356</v>
          </cell>
          <cell r="C4697" t="str">
            <v>BBLNT 400ml Shmp RepairRemedy M699 PK12</v>
          </cell>
          <cell r="D4697">
            <v>0</v>
          </cell>
          <cell r="E4697">
            <v>0</v>
          </cell>
          <cell r="F4697">
            <v>0</v>
          </cell>
        </row>
        <row r="4698">
          <cell r="B4698">
            <v>40013072</v>
          </cell>
          <cell r="C4698" t="str">
            <v>BBLNT B Hiv Nat Brown M2000P12</v>
          </cell>
          <cell r="D4698">
            <v>0</v>
          </cell>
          <cell r="E4698">
            <v>0</v>
          </cell>
          <cell r="F4698">
            <v>0</v>
          </cell>
        </row>
        <row r="4699">
          <cell r="B4699">
            <v>40013069</v>
          </cell>
          <cell r="C4699" t="str">
            <v>BBLNT B Long Drk Brown M3300 P12</v>
          </cell>
          <cell r="D4699">
            <v>0</v>
          </cell>
          <cell r="E4699">
            <v>0</v>
          </cell>
          <cell r="F4699">
            <v>0</v>
          </cell>
        </row>
        <row r="4700">
          <cell r="B4700">
            <v>40064257</v>
          </cell>
          <cell r="C4700" t="str">
            <v>GP BOTOSMOOTH 120GM M2950P36 SP RATE</v>
          </cell>
          <cell r="D4700">
            <v>0</v>
          </cell>
          <cell r="E4700">
            <v>0</v>
          </cell>
          <cell r="F4700">
            <v>0</v>
          </cell>
        </row>
        <row r="4701">
          <cell r="B4701">
            <v>40060382</v>
          </cell>
          <cell r="C4701" t="str">
            <v>GPRECHARGESHAMPOO250ML M1050 P24</v>
          </cell>
          <cell r="D4701">
            <v>0</v>
          </cell>
          <cell r="E4701">
            <v>0</v>
          </cell>
          <cell r="F4701">
            <v>0</v>
          </cell>
        </row>
        <row r="4702">
          <cell r="B4702">
            <v>40049589</v>
          </cell>
          <cell r="C4702" t="str">
            <v>GP Developer 20Vol 1Ltr P9W/O MRP BD</v>
          </cell>
          <cell r="D4702">
            <v>0</v>
          </cell>
          <cell r="E4702">
            <v>0</v>
          </cell>
          <cell r="F4702">
            <v>0</v>
          </cell>
        </row>
        <row r="4703">
          <cell r="B4703">
            <v>40044051</v>
          </cell>
          <cell r="C4703" t="str">
            <v>GP NoAmo Shade 7.11 70g \ P24W/O MRP BD</v>
          </cell>
          <cell r="D4703">
            <v>0</v>
          </cell>
          <cell r="E4703">
            <v>0</v>
          </cell>
          <cell r="F4703">
            <v>0</v>
          </cell>
        </row>
        <row r="4704">
          <cell r="B4704">
            <v>40044036</v>
          </cell>
          <cell r="C4704" t="str">
            <v>GP NoAmo Shade 4G 70g  P24W/O MRP BD</v>
          </cell>
          <cell r="D4704">
            <v>0</v>
          </cell>
          <cell r="E4704">
            <v>0</v>
          </cell>
          <cell r="F4704">
            <v>0</v>
          </cell>
        </row>
        <row r="4705">
          <cell r="B4705">
            <v>40000547</v>
          </cell>
          <cell r="C4705" t="str">
            <v>CONTAINER FREE PS 144</v>
          </cell>
          <cell r="D4705">
            <v>0</v>
          </cell>
          <cell r="E4705">
            <v>0</v>
          </cell>
          <cell r="F4705">
            <v>0</v>
          </cell>
        </row>
        <row r="4706">
          <cell r="B4706">
            <v>40001275</v>
          </cell>
          <cell r="C4706" t="str">
            <v>KIWI SHOE SHINE BRUSH   FREE PS  48</v>
          </cell>
          <cell r="D4706">
            <v>0</v>
          </cell>
          <cell r="E4706">
            <v>0</v>
          </cell>
          <cell r="F4706">
            <v>0</v>
          </cell>
        </row>
        <row r="4707">
          <cell r="B4707">
            <v>40039612</v>
          </cell>
          <cell r="C4707" t="str">
            <v>KS12's Longlast Pleas MRP 140P4320</v>
          </cell>
          <cell r="D4707">
            <v>0</v>
          </cell>
          <cell r="E4707">
            <v>0</v>
          </cell>
          <cell r="F4707">
            <v>0</v>
          </cell>
        </row>
        <row r="4708">
          <cell r="B4708">
            <v>40039636</v>
          </cell>
          <cell r="C4708" t="str">
            <v>KS10's Strawberry Flv MRP 80P4320</v>
          </cell>
          <cell r="D4708">
            <v>0</v>
          </cell>
          <cell r="E4708">
            <v>0</v>
          </cell>
          <cell r="F4708">
            <v>0</v>
          </cell>
        </row>
        <row r="4709">
          <cell r="B4709">
            <v>40039639</v>
          </cell>
          <cell r="C4709" t="str">
            <v>KS10's Butterscotch Flv MRP 80P4320</v>
          </cell>
          <cell r="D4709">
            <v>0</v>
          </cell>
          <cell r="E4709">
            <v>0</v>
          </cell>
          <cell r="F4709">
            <v>0</v>
          </cell>
        </row>
        <row r="4710">
          <cell r="B4710">
            <v>40039640</v>
          </cell>
          <cell r="C4710" t="str">
            <v>KS10's Banana Flv MRP 80P4320</v>
          </cell>
          <cell r="D4710">
            <v>0</v>
          </cell>
          <cell r="E4710">
            <v>0</v>
          </cell>
          <cell r="F4710">
            <v>0</v>
          </cell>
        </row>
        <row r="4711">
          <cell r="B4711">
            <v>40039702</v>
          </cell>
          <cell r="C4711" t="str">
            <v>KS3's Chocolate Exotica MRP 30P4320</v>
          </cell>
          <cell r="D4711">
            <v>0</v>
          </cell>
          <cell r="E4711">
            <v>0</v>
          </cell>
          <cell r="F4711">
            <v>0</v>
          </cell>
        </row>
        <row r="4712">
          <cell r="B4712">
            <v>40040702</v>
          </cell>
          <cell r="C4712" t="str">
            <v>KS Aloe &amp; Vit.E Lube 50 ml M 250-newP24</v>
          </cell>
          <cell r="D4712">
            <v>0</v>
          </cell>
          <cell r="E4712">
            <v>0</v>
          </cell>
          <cell r="F4712">
            <v>0</v>
          </cell>
        </row>
        <row r="4713">
          <cell r="B4713">
            <v>40061399</v>
          </cell>
          <cell r="C4713" t="str">
            <v>KS12'S ULTRATHIN MRP 240P480-LIQ</v>
          </cell>
          <cell r="D4713">
            <v>0</v>
          </cell>
          <cell r="E4713">
            <v>0</v>
          </cell>
          <cell r="F4713">
            <v>0</v>
          </cell>
        </row>
        <row r="4714">
          <cell r="B4714">
            <v>40061541</v>
          </cell>
          <cell r="C4714" t="str">
            <v>KS12'S DTD DESIR MRP 120P4320-LIQ</v>
          </cell>
          <cell r="D4714">
            <v>0</v>
          </cell>
          <cell r="E4714">
            <v>0</v>
          </cell>
          <cell r="F4714">
            <v>0</v>
          </cell>
        </row>
        <row r="4715">
          <cell r="B4715">
            <v>40061543</v>
          </cell>
          <cell r="C4715" t="str">
            <v>KS12'S RIBBED DESIR MRP 120P1440-LIQ</v>
          </cell>
          <cell r="D4715">
            <v>0</v>
          </cell>
          <cell r="E4715">
            <v>0</v>
          </cell>
          <cell r="F4715">
            <v>0</v>
          </cell>
        </row>
        <row r="4716">
          <cell r="B4716">
            <v>40061600</v>
          </cell>
          <cell r="C4716" t="str">
            <v>KS20'S RIBBEDDESIR M200MT&amp;E COMP1440-LIQ</v>
          </cell>
          <cell r="D4716">
            <v>0</v>
          </cell>
          <cell r="E4716">
            <v>0</v>
          </cell>
          <cell r="F4716">
            <v>0</v>
          </cell>
        </row>
        <row r="4717">
          <cell r="B4717">
            <v>40061646</v>
          </cell>
          <cell r="C4717" t="str">
            <v>KS20'S RIBBED DESIR MRP 200P1440-LIQ</v>
          </cell>
          <cell r="D4717">
            <v>0</v>
          </cell>
          <cell r="E4717">
            <v>0</v>
          </cell>
          <cell r="F4717">
            <v>0</v>
          </cell>
        </row>
        <row r="4718">
          <cell r="B4718">
            <v>40061743</v>
          </cell>
          <cell r="C4718" t="str">
            <v>KS3'S DOTTED DESIR MRP 30P1440-LIQ</v>
          </cell>
          <cell r="D4718">
            <v>0</v>
          </cell>
          <cell r="E4718">
            <v>0</v>
          </cell>
          <cell r="F4718">
            <v>0</v>
          </cell>
        </row>
        <row r="4719">
          <cell r="B4719">
            <v>40062085</v>
          </cell>
          <cell r="C4719" t="str">
            <v>KS3'S DTTD MRP 30_CHNG ARTWORK P1440-LIQ</v>
          </cell>
          <cell r="D4719">
            <v>0</v>
          </cell>
          <cell r="E4719">
            <v>0</v>
          </cell>
          <cell r="F4719">
            <v>0</v>
          </cell>
        </row>
        <row r="4720">
          <cell r="B4720">
            <v>40062137</v>
          </cell>
          <cell r="C4720" t="str">
            <v>KS12'SDTTDDSRMRP120_1440CNGARTWRK_LIQ_CH</v>
          </cell>
          <cell r="D4720">
            <v>0</v>
          </cell>
          <cell r="E4720">
            <v>0</v>
          </cell>
          <cell r="F4720">
            <v>0</v>
          </cell>
        </row>
        <row r="4721">
          <cell r="B4721">
            <v>40062146</v>
          </cell>
          <cell r="C4721" t="str">
            <v>KS3'S DOTTED MRP 30P480 LIQ_CH</v>
          </cell>
          <cell r="D4721">
            <v>0</v>
          </cell>
          <cell r="E4721">
            <v>0</v>
          </cell>
          <cell r="F4721">
            <v>0</v>
          </cell>
        </row>
        <row r="4722">
          <cell r="B4722">
            <v>40061229</v>
          </cell>
          <cell r="C4722" t="str">
            <v>KS10'S EXTRA DOTTED MRP 150P480-LIQ</v>
          </cell>
          <cell r="D4722">
            <v>0</v>
          </cell>
          <cell r="E4722">
            <v>0</v>
          </cell>
          <cell r="F4722">
            <v>0</v>
          </cell>
        </row>
        <row r="4723">
          <cell r="B4723">
            <v>40061528</v>
          </cell>
          <cell r="C4723" t="str">
            <v>KS10'S SMTH PNKPASS M80 MT&amp;ECOMP1440-LIQ</v>
          </cell>
          <cell r="D4723">
            <v>0</v>
          </cell>
          <cell r="E4723">
            <v>0</v>
          </cell>
          <cell r="F4723">
            <v>0</v>
          </cell>
        </row>
        <row r="4724">
          <cell r="B4724">
            <v>40061750</v>
          </cell>
          <cell r="C4724" t="str">
            <v>KS3'S SMOOTH PNK PSON MRP 25P1440 - LIQ</v>
          </cell>
          <cell r="D4724">
            <v>0</v>
          </cell>
          <cell r="E4724">
            <v>0</v>
          </cell>
          <cell r="F4724">
            <v>0</v>
          </cell>
        </row>
        <row r="4725">
          <cell r="B4725">
            <v>40061260</v>
          </cell>
          <cell r="C4725" t="str">
            <v>KS20'S LONGLAST SYNC M360 P480 STKRD-LIQ</v>
          </cell>
          <cell r="D4725">
            <v>0</v>
          </cell>
          <cell r="E4725">
            <v>0</v>
          </cell>
          <cell r="F4725">
            <v>0</v>
          </cell>
        </row>
        <row r="4726">
          <cell r="B4726">
            <v>40061376</v>
          </cell>
          <cell r="C4726" t="str">
            <v>KS10'S ORGASMAX PLUS MRP 200P480-LIQ</v>
          </cell>
          <cell r="D4726">
            <v>0</v>
          </cell>
          <cell r="E4726">
            <v>0</v>
          </cell>
          <cell r="F4726">
            <v>0</v>
          </cell>
        </row>
        <row r="4727">
          <cell r="B4727">
            <v>40061433</v>
          </cell>
          <cell r="C4727" t="str">
            <v>KS20'S LONGLAST SYNC M400 P480-LIQ</v>
          </cell>
          <cell r="D4727">
            <v>0</v>
          </cell>
          <cell r="E4727">
            <v>0</v>
          </cell>
          <cell r="F4727">
            <v>0</v>
          </cell>
        </row>
        <row r="4728">
          <cell r="B4728">
            <v>40061466</v>
          </cell>
          <cell r="C4728" t="str">
            <v>KS12'S LONGLAST SYNC M240 P480-LIQ</v>
          </cell>
          <cell r="D4728">
            <v>0</v>
          </cell>
          <cell r="E4728">
            <v>0</v>
          </cell>
          <cell r="F4728">
            <v>0</v>
          </cell>
        </row>
        <row r="4729">
          <cell r="B4729">
            <v>40061594</v>
          </cell>
          <cell r="C4729" t="str">
            <v>KS10'S ORGASMAX PLUS MRP 200P1440-LIQ</v>
          </cell>
          <cell r="D4729">
            <v>0</v>
          </cell>
          <cell r="E4729">
            <v>0</v>
          </cell>
          <cell r="F4729">
            <v>0</v>
          </cell>
        </row>
        <row r="4730">
          <cell r="B4730">
            <v>40061778</v>
          </cell>
          <cell r="C4730" t="str">
            <v>KS20'S LONGLAST SYNC M360 P480-LIQ</v>
          </cell>
          <cell r="D4730">
            <v>0</v>
          </cell>
          <cell r="E4730">
            <v>0</v>
          </cell>
          <cell r="F4730">
            <v>0</v>
          </cell>
        </row>
        <row r="4731">
          <cell r="B4731">
            <v>40061331</v>
          </cell>
          <cell r="C4731" t="str">
            <v>KS10'S BERRY EXOTICA MRP 100P4320-LIQ</v>
          </cell>
          <cell r="D4731">
            <v>0</v>
          </cell>
          <cell r="E4731">
            <v>0</v>
          </cell>
          <cell r="F4731">
            <v>0</v>
          </cell>
        </row>
        <row r="4732">
          <cell r="B4732">
            <v>40061426</v>
          </cell>
          <cell r="C4732" t="str">
            <v>KS3'S STRAWBERRY EXOTICA MRP 30P4320-LIQ</v>
          </cell>
          <cell r="D4732">
            <v>0</v>
          </cell>
          <cell r="E4732">
            <v>0</v>
          </cell>
          <cell r="F4732">
            <v>0</v>
          </cell>
        </row>
        <row r="4733">
          <cell r="B4733">
            <v>40061455</v>
          </cell>
          <cell r="C4733" t="str">
            <v>KS10'S CHOCO 4 PLY MRP RS130 P1440-LIQ</v>
          </cell>
          <cell r="D4733">
            <v>0</v>
          </cell>
          <cell r="E4733">
            <v>0</v>
          </cell>
          <cell r="F4733">
            <v>0</v>
          </cell>
        </row>
        <row r="4734">
          <cell r="B4734">
            <v>40061546</v>
          </cell>
          <cell r="C4734" t="str">
            <v>KS10'S CHOCOLATE EXOTICA MRP120P1440-LIQ</v>
          </cell>
          <cell r="D4734">
            <v>0</v>
          </cell>
          <cell r="E4734">
            <v>0</v>
          </cell>
          <cell r="F4734">
            <v>0</v>
          </cell>
        </row>
        <row r="4735">
          <cell r="B4735">
            <v>40061547</v>
          </cell>
          <cell r="C4735" t="str">
            <v>KS3'S MANGO EXOTICA MRP 35P4320-LIQ</v>
          </cell>
          <cell r="D4735">
            <v>0</v>
          </cell>
          <cell r="E4735">
            <v>0</v>
          </cell>
          <cell r="F4735">
            <v>0</v>
          </cell>
        </row>
        <row r="4736">
          <cell r="B4736">
            <v>40061555</v>
          </cell>
          <cell r="C4736" t="str">
            <v>KS3'S CHOCOLATE EXOTICA MRP 35P4320-LIQ</v>
          </cell>
          <cell r="D4736">
            <v>0</v>
          </cell>
          <cell r="E4736">
            <v>0</v>
          </cell>
          <cell r="F4736">
            <v>0</v>
          </cell>
        </row>
        <row r="4737">
          <cell r="B4737">
            <v>40061563</v>
          </cell>
          <cell r="C4737" t="str">
            <v>KS10'S CHOCO EXOTICA MRP 120P4320-LIQ</v>
          </cell>
          <cell r="D4737">
            <v>0</v>
          </cell>
          <cell r="E4737">
            <v>0</v>
          </cell>
          <cell r="F4737">
            <v>0</v>
          </cell>
        </row>
        <row r="4738">
          <cell r="B4738">
            <v>40061564</v>
          </cell>
          <cell r="C4738" t="str">
            <v>KS10'SSUPERTHIN CHOCO MRP 150P4320-LIQ</v>
          </cell>
          <cell r="D4738">
            <v>0</v>
          </cell>
          <cell r="E4738">
            <v>0</v>
          </cell>
          <cell r="F4738">
            <v>0</v>
          </cell>
        </row>
        <row r="4739">
          <cell r="B4739">
            <v>40061566</v>
          </cell>
          <cell r="C4739" t="str">
            <v>KS3'S STRAWBERRY 4 PLY MRPRS40 P1440-LIQ</v>
          </cell>
          <cell r="D4739">
            <v>0</v>
          </cell>
          <cell r="E4739">
            <v>0</v>
          </cell>
          <cell r="F4739">
            <v>0</v>
          </cell>
        </row>
        <row r="4740">
          <cell r="B4740">
            <v>40061567</v>
          </cell>
          <cell r="C4740" t="str">
            <v>KS10'S BERRY EXOTICA MRP 120P1440-LIQ</v>
          </cell>
          <cell r="D4740">
            <v>0</v>
          </cell>
          <cell r="E4740">
            <v>0</v>
          </cell>
          <cell r="F4740">
            <v>0</v>
          </cell>
        </row>
        <row r="4741">
          <cell r="B4741">
            <v>40061568</v>
          </cell>
          <cell r="C4741" t="str">
            <v>KS3'S SUPERTHIN CHOCO MRP 50P4320-LIQ</v>
          </cell>
          <cell r="D4741">
            <v>0</v>
          </cell>
          <cell r="E4741">
            <v>0</v>
          </cell>
          <cell r="F4741">
            <v>0</v>
          </cell>
        </row>
        <row r="4742">
          <cell r="B4742">
            <v>40061585</v>
          </cell>
          <cell r="C4742" t="str">
            <v>KS3'S SUPERTHIN CHOCO MRP 50P1440-LIQ</v>
          </cell>
          <cell r="D4742">
            <v>0</v>
          </cell>
          <cell r="E4742">
            <v>0</v>
          </cell>
          <cell r="F4742">
            <v>0</v>
          </cell>
        </row>
        <row r="4743">
          <cell r="B4743">
            <v>40061592</v>
          </cell>
          <cell r="C4743" t="str">
            <v>KS3'S CHOCOLATE 4 PLY MRP RS40 P1440-LIQ</v>
          </cell>
          <cell r="D4743">
            <v>0</v>
          </cell>
          <cell r="E4743">
            <v>0</v>
          </cell>
          <cell r="F4743">
            <v>0</v>
          </cell>
        </row>
        <row r="4744">
          <cell r="B4744">
            <v>40061660</v>
          </cell>
          <cell r="C4744" t="str">
            <v>KS3'S STRAWBERRY EXOTICA MRP 35P1440-LIQ</v>
          </cell>
          <cell r="D4744">
            <v>0</v>
          </cell>
          <cell r="E4744">
            <v>0</v>
          </cell>
          <cell r="F4744">
            <v>0</v>
          </cell>
        </row>
        <row r="4745">
          <cell r="B4745">
            <v>40061697</v>
          </cell>
          <cell r="C4745" t="str">
            <v>KS10'S VANILLA FLV MRP 100P1440-LIQ</v>
          </cell>
          <cell r="D4745">
            <v>0</v>
          </cell>
          <cell r="E4745">
            <v>0</v>
          </cell>
          <cell r="F4745">
            <v>0</v>
          </cell>
        </row>
        <row r="4746">
          <cell r="B4746">
            <v>40061722</v>
          </cell>
          <cell r="C4746" t="str">
            <v>KS10'S STRBRY EXOTICA MRP 120P1440-LIQ</v>
          </cell>
          <cell r="D4746">
            <v>0</v>
          </cell>
          <cell r="E4746">
            <v>0</v>
          </cell>
          <cell r="F4746">
            <v>0</v>
          </cell>
        </row>
        <row r="4747">
          <cell r="B4747">
            <v>40061726</v>
          </cell>
          <cell r="C4747" t="str">
            <v>KS3'S STRAWBERRY EXOTICA MRP 35P4320-LIQ</v>
          </cell>
          <cell r="D4747">
            <v>0</v>
          </cell>
          <cell r="E4747">
            <v>0</v>
          </cell>
          <cell r="F4747">
            <v>0</v>
          </cell>
        </row>
        <row r="4748">
          <cell r="B4748">
            <v>40061730</v>
          </cell>
          <cell r="C4748" t="str">
            <v>KS10'S SUPERTHIN CHOCO MRP 150P1440-LIQ</v>
          </cell>
          <cell r="D4748">
            <v>0</v>
          </cell>
          <cell r="E4748">
            <v>0</v>
          </cell>
          <cell r="F4748">
            <v>0</v>
          </cell>
        </row>
        <row r="4749">
          <cell r="B4749">
            <v>40061262</v>
          </cell>
          <cell r="C4749" t="str">
            <v>KS3'S CHOCOLATE FLV MRP 30P1440-LIQ</v>
          </cell>
          <cell r="D4749">
            <v>0</v>
          </cell>
          <cell r="E4749">
            <v>0</v>
          </cell>
          <cell r="F4749">
            <v>0</v>
          </cell>
        </row>
        <row r="4750">
          <cell r="B4750">
            <v>40061270</v>
          </cell>
          <cell r="C4750" t="str">
            <v>KS3'S CHOCOLATE FLV M30 P480-LIQ</v>
          </cell>
          <cell r="D4750">
            <v>0</v>
          </cell>
          <cell r="E4750">
            <v>0</v>
          </cell>
          <cell r="F4750">
            <v>0</v>
          </cell>
        </row>
        <row r="4751">
          <cell r="B4751">
            <v>40061280</v>
          </cell>
          <cell r="C4751" t="str">
            <v>KS3'S STRAWBERRY FLV MRP 30P480-LIQ</v>
          </cell>
          <cell r="D4751">
            <v>0</v>
          </cell>
          <cell r="E4751">
            <v>0</v>
          </cell>
          <cell r="F4751">
            <v>0</v>
          </cell>
        </row>
        <row r="4752">
          <cell r="B4752">
            <v>40061285</v>
          </cell>
          <cell r="C4752" t="str">
            <v>KS10'S CHOCOLATE FLV M80 P423 CSD-LIQ</v>
          </cell>
          <cell r="D4752">
            <v>0</v>
          </cell>
          <cell r="E4752">
            <v>0</v>
          </cell>
          <cell r="F4752">
            <v>0</v>
          </cell>
        </row>
        <row r="4753">
          <cell r="B4753">
            <v>40061301</v>
          </cell>
          <cell r="C4753" t="str">
            <v>KS10'S MANGO FLV MRP 100P480-LIQ</v>
          </cell>
          <cell r="D4753">
            <v>0</v>
          </cell>
          <cell r="E4753">
            <v>0</v>
          </cell>
          <cell r="F4753">
            <v>0</v>
          </cell>
        </row>
        <row r="4754">
          <cell r="B4754">
            <v>40061339</v>
          </cell>
          <cell r="C4754" t="str">
            <v>KS10'S BANANA FLV MRP 100P480-LIQ</v>
          </cell>
          <cell r="D4754">
            <v>0</v>
          </cell>
          <cell r="E4754">
            <v>0</v>
          </cell>
          <cell r="F4754">
            <v>0</v>
          </cell>
        </row>
        <row r="4755">
          <cell r="B4755">
            <v>40061371</v>
          </cell>
          <cell r="C4755" t="str">
            <v>KS10'S STRAWBERRY FLV M100 P480-LIQ</v>
          </cell>
          <cell r="D4755">
            <v>0</v>
          </cell>
          <cell r="E4755">
            <v>0</v>
          </cell>
          <cell r="F4755">
            <v>0</v>
          </cell>
        </row>
        <row r="4756">
          <cell r="B4756">
            <v>40061377</v>
          </cell>
          <cell r="C4756" t="str">
            <v>KS10'S CHOCOLATE FLV MRP 100P480-LIQ</v>
          </cell>
          <cell r="D4756">
            <v>0</v>
          </cell>
          <cell r="E4756">
            <v>0</v>
          </cell>
          <cell r="F4756">
            <v>0</v>
          </cell>
        </row>
        <row r="4757">
          <cell r="B4757">
            <v>40061383</v>
          </cell>
          <cell r="C4757" t="str">
            <v>KS10'S STRAWBERRY FLV MRP 100P1440-LIQ</v>
          </cell>
          <cell r="D4757">
            <v>0</v>
          </cell>
          <cell r="E4757">
            <v>0</v>
          </cell>
          <cell r="F4757">
            <v>0</v>
          </cell>
        </row>
        <row r="4758">
          <cell r="B4758">
            <v>40061542</v>
          </cell>
          <cell r="C4758" t="str">
            <v>KS3'S MANGO FLV MRP 30P4320-LIQ</v>
          </cell>
          <cell r="D4758">
            <v>0</v>
          </cell>
          <cell r="E4758">
            <v>0</v>
          </cell>
          <cell r="F4758">
            <v>0</v>
          </cell>
        </row>
        <row r="4759">
          <cell r="B4759">
            <v>40061554</v>
          </cell>
          <cell r="C4759" t="str">
            <v>KS10'S GRAPE FLV MRP 100P1440-LIQ</v>
          </cell>
          <cell r="D4759">
            <v>0</v>
          </cell>
          <cell r="E4759">
            <v>0</v>
          </cell>
          <cell r="F4759">
            <v>0</v>
          </cell>
        </row>
        <row r="4760">
          <cell r="B4760">
            <v>40061576</v>
          </cell>
          <cell r="C4760" t="str">
            <v>KS10'S MANGO PLEASURE M150P480-LIQ</v>
          </cell>
          <cell r="D4760">
            <v>0</v>
          </cell>
          <cell r="E4760">
            <v>0</v>
          </cell>
          <cell r="F4760">
            <v>0</v>
          </cell>
        </row>
        <row r="4761">
          <cell r="B4761">
            <v>40061580</v>
          </cell>
          <cell r="C4761" t="str">
            <v>KS10'S COFFEE FLV MRP 100P1440-LIQ</v>
          </cell>
          <cell r="D4761">
            <v>0</v>
          </cell>
          <cell r="E4761">
            <v>0</v>
          </cell>
          <cell r="F4761">
            <v>0</v>
          </cell>
        </row>
        <row r="4762">
          <cell r="B4762">
            <v>40061595</v>
          </cell>
          <cell r="C4762" t="str">
            <v>KS10'S MANGO FLV MRP 100P1440-LIQ</v>
          </cell>
          <cell r="D4762">
            <v>0</v>
          </cell>
          <cell r="E4762">
            <v>0</v>
          </cell>
          <cell r="F4762">
            <v>0</v>
          </cell>
        </row>
        <row r="4763">
          <cell r="B4763">
            <v>40061606</v>
          </cell>
          <cell r="C4763" t="str">
            <v>KS10'S MANGO PLEASURE MRP 150P1440-LIQ</v>
          </cell>
          <cell r="D4763">
            <v>0</v>
          </cell>
          <cell r="E4763">
            <v>0</v>
          </cell>
          <cell r="F4763">
            <v>0</v>
          </cell>
        </row>
        <row r="4764">
          <cell r="B4764">
            <v>40061629</v>
          </cell>
          <cell r="C4764" t="str">
            <v>KS10'S PNPPLE FLV M 80MT &amp; ECOMP1440-LIQ</v>
          </cell>
          <cell r="D4764">
            <v>0</v>
          </cell>
          <cell r="E4764">
            <v>0</v>
          </cell>
          <cell r="F4764">
            <v>0</v>
          </cell>
        </row>
        <row r="4765">
          <cell r="B4765">
            <v>40061643</v>
          </cell>
          <cell r="C4765" t="str">
            <v>KS10'S CHOCO FLV M80 MT &amp; E COMP1440-LIQ</v>
          </cell>
          <cell r="D4765">
            <v>0</v>
          </cell>
          <cell r="E4765">
            <v>0</v>
          </cell>
          <cell r="F4765">
            <v>0</v>
          </cell>
        </row>
        <row r="4766">
          <cell r="B4766">
            <v>40061649</v>
          </cell>
          <cell r="C4766" t="str">
            <v>KS10'S CHOCOLATE FLV MRP 100P1440-LIQ</v>
          </cell>
          <cell r="D4766">
            <v>0</v>
          </cell>
          <cell r="E4766">
            <v>0</v>
          </cell>
          <cell r="F4766">
            <v>0</v>
          </cell>
        </row>
        <row r="4767">
          <cell r="B4767">
            <v>40061746</v>
          </cell>
          <cell r="C4767" t="str">
            <v>KS10'S COFFEE FLV MRP80 MT&amp;ECOMP1440-LIQ</v>
          </cell>
          <cell r="D4767">
            <v>0</v>
          </cell>
          <cell r="E4767">
            <v>0</v>
          </cell>
          <cell r="F4767">
            <v>0</v>
          </cell>
        </row>
        <row r="4768">
          <cell r="B4768">
            <v>40061756</v>
          </cell>
          <cell r="C4768" t="str">
            <v>KS10'S BANANA FLV MRP 100P1440-LIQ</v>
          </cell>
          <cell r="D4768">
            <v>0</v>
          </cell>
          <cell r="E4768">
            <v>0</v>
          </cell>
          <cell r="F4768">
            <v>0</v>
          </cell>
        </row>
        <row r="4769">
          <cell r="B4769">
            <v>40061762</v>
          </cell>
          <cell r="C4769" t="str">
            <v>KS10'S STRAWBERRY FLV MRP 100P4320-LIQ</v>
          </cell>
          <cell r="D4769">
            <v>0</v>
          </cell>
          <cell r="E4769">
            <v>0</v>
          </cell>
          <cell r="F4769">
            <v>0</v>
          </cell>
        </row>
        <row r="4770">
          <cell r="B4770">
            <v>40062136</v>
          </cell>
          <cell r="C4770" t="str">
            <v>KS3'S BANANA FLV MRP 30P480_LIQ_CH</v>
          </cell>
          <cell r="D4770">
            <v>0</v>
          </cell>
          <cell r="E4770">
            <v>0</v>
          </cell>
          <cell r="F4770">
            <v>0</v>
          </cell>
        </row>
        <row r="4771">
          <cell r="B4771">
            <v>40061381</v>
          </cell>
          <cell r="C4771" t="str">
            <v>KS10'S SKINFEEL MRP 270P1440-LIQ</v>
          </cell>
          <cell r="D4771">
            <v>0</v>
          </cell>
          <cell r="E4771">
            <v>0</v>
          </cell>
          <cell r="F4771">
            <v>0</v>
          </cell>
        </row>
        <row r="4772">
          <cell r="B4772">
            <v>40061435</v>
          </cell>
          <cell r="C4772" t="str">
            <v>KS10'S SKINFEEL MRP 270P480-LIQ</v>
          </cell>
          <cell r="D4772">
            <v>0</v>
          </cell>
          <cell r="E4772">
            <v>0</v>
          </cell>
          <cell r="F4772">
            <v>0</v>
          </cell>
        </row>
        <row r="4773">
          <cell r="B4773">
            <v>40061470</v>
          </cell>
          <cell r="C4773" t="str">
            <v>KS20'S ULTRA DELAY M400P480-LIQ</v>
          </cell>
          <cell r="D4773">
            <v>0</v>
          </cell>
          <cell r="E4773">
            <v>0</v>
          </cell>
          <cell r="F4773">
            <v>0</v>
          </cell>
        </row>
        <row r="4774">
          <cell r="B4774">
            <v>40061484</v>
          </cell>
          <cell r="C4774" t="str">
            <v>KS10'S SKINFEEL M270.00P4320_LIQCH-LIQ</v>
          </cell>
          <cell r="D4774">
            <v>0</v>
          </cell>
          <cell r="E4774">
            <v>0</v>
          </cell>
          <cell r="F4774">
            <v>0</v>
          </cell>
        </row>
        <row r="4775">
          <cell r="B4775">
            <v>40061529</v>
          </cell>
          <cell r="C4775" t="str">
            <v>KS20'S SPRTHIN MRP250 ECOM &amp; MTP1440-LIQ</v>
          </cell>
          <cell r="D4775">
            <v>0</v>
          </cell>
          <cell r="E4775">
            <v>0</v>
          </cell>
          <cell r="F4775">
            <v>0</v>
          </cell>
        </row>
        <row r="4776">
          <cell r="B4776">
            <v>40061539</v>
          </cell>
          <cell r="C4776" t="str">
            <v>KS12'S SPRTHIN MRP140_COMMON SBP4320-LIQ</v>
          </cell>
          <cell r="D4776">
            <v>0</v>
          </cell>
          <cell r="E4776">
            <v>0</v>
          </cell>
          <cell r="F4776">
            <v>0</v>
          </cell>
        </row>
        <row r="4777">
          <cell r="B4777">
            <v>40061548</v>
          </cell>
          <cell r="C4777" t="str">
            <v>KS3'S ULTRATHIN MRP 65P4320-LIQ</v>
          </cell>
          <cell r="D4777">
            <v>0</v>
          </cell>
          <cell r="E4777">
            <v>0</v>
          </cell>
          <cell r="F4777">
            <v>0</v>
          </cell>
        </row>
        <row r="4778">
          <cell r="B4778">
            <v>40061565</v>
          </cell>
          <cell r="C4778" t="str">
            <v>KS6'S ULTRATHIN  MRP 120P4320-LIQ</v>
          </cell>
          <cell r="D4778">
            <v>0</v>
          </cell>
          <cell r="E4778">
            <v>0</v>
          </cell>
          <cell r="F4778">
            <v>0</v>
          </cell>
        </row>
        <row r="4779">
          <cell r="B4779">
            <v>40061630</v>
          </cell>
          <cell r="C4779" t="str">
            <v>KS12'S SPRTHN  M150_CHNG ARTWRKP1440-LIQ</v>
          </cell>
          <cell r="D4779">
            <v>0</v>
          </cell>
          <cell r="E4779">
            <v>0</v>
          </cell>
          <cell r="F4779">
            <v>0</v>
          </cell>
        </row>
        <row r="4780">
          <cell r="B4780">
            <v>40061687</v>
          </cell>
          <cell r="C4780" t="str">
            <v>KS10'S ULTRATHIN PLUS M250P1440-LIQ</v>
          </cell>
          <cell r="D4780">
            <v>0</v>
          </cell>
          <cell r="E4780">
            <v>0</v>
          </cell>
          <cell r="F4780">
            <v>0</v>
          </cell>
        </row>
        <row r="4781">
          <cell r="B4781">
            <v>40061727</v>
          </cell>
          <cell r="C4781" t="str">
            <v>KS10'S SKINFEEL MRP 270P4320-LIQ</v>
          </cell>
          <cell r="D4781">
            <v>0</v>
          </cell>
          <cell r="E4781">
            <v>0</v>
          </cell>
          <cell r="F4781">
            <v>0</v>
          </cell>
        </row>
        <row r="4782">
          <cell r="B4782">
            <v>40061777</v>
          </cell>
          <cell r="C4782" t="str">
            <v>KS3'S SUPERTHINPLEAS M60P480-LIQ</v>
          </cell>
          <cell r="D4782">
            <v>0</v>
          </cell>
          <cell r="E4782">
            <v>0</v>
          </cell>
          <cell r="F4782">
            <v>0</v>
          </cell>
        </row>
        <row r="4783">
          <cell r="B4783">
            <v>40061779</v>
          </cell>
          <cell r="C4783" t="str">
            <v>KS12'S SUPERTHIN M180P480-LIQ</v>
          </cell>
          <cell r="D4783">
            <v>0</v>
          </cell>
          <cell r="E4783">
            <v>0</v>
          </cell>
          <cell r="F4783">
            <v>0</v>
          </cell>
        </row>
        <row r="4784">
          <cell r="B4784">
            <v>40062147</v>
          </cell>
          <cell r="C4784" t="str">
            <v>KS3'S SKINFEEL MRP 90P1440_LIQ_CH</v>
          </cell>
          <cell r="D4784">
            <v>0</v>
          </cell>
          <cell r="E4784">
            <v>0</v>
          </cell>
          <cell r="F4784">
            <v>0</v>
          </cell>
        </row>
        <row r="4785">
          <cell r="B4785">
            <v>40061290</v>
          </cell>
          <cell r="C4785" t="str">
            <v>KS3'S LONGLAST PLEA M50 P480 STKRD-LIQ</v>
          </cell>
          <cell r="D4785">
            <v>0</v>
          </cell>
          <cell r="E4785">
            <v>0</v>
          </cell>
          <cell r="F4785">
            <v>0</v>
          </cell>
        </row>
        <row r="4786">
          <cell r="B4786">
            <v>40061304</v>
          </cell>
          <cell r="C4786" t="str">
            <v>KS3'S LONGLAST PLEA M60P480-LIQ</v>
          </cell>
          <cell r="D4786">
            <v>0</v>
          </cell>
          <cell r="E4786">
            <v>0</v>
          </cell>
          <cell r="F4786">
            <v>0</v>
          </cell>
        </row>
        <row r="4787">
          <cell r="B4787">
            <v>40061379</v>
          </cell>
          <cell r="C4787" t="str">
            <v>KS12'S LONGLASTPLEA M150 P480 STKRD-LIQ</v>
          </cell>
          <cell r="D4787">
            <v>0</v>
          </cell>
          <cell r="E4787">
            <v>0</v>
          </cell>
          <cell r="F4787">
            <v>0</v>
          </cell>
        </row>
        <row r="4788">
          <cell r="B4788">
            <v>40061405</v>
          </cell>
          <cell r="C4788" t="str">
            <v>KS20'S LONGLAST PLEAS M300 P480-LIQ</v>
          </cell>
          <cell r="D4788">
            <v>0</v>
          </cell>
          <cell r="E4788">
            <v>0</v>
          </cell>
          <cell r="F4788">
            <v>0</v>
          </cell>
        </row>
        <row r="4789">
          <cell r="B4789">
            <v>40061458</v>
          </cell>
          <cell r="C4789" t="str">
            <v>KS3'S LONGLAST PLEA M50 P480-LIQ</v>
          </cell>
          <cell r="D4789">
            <v>0</v>
          </cell>
          <cell r="E4789">
            <v>0</v>
          </cell>
          <cell r="F4789">
            <v>0</v>
          </cell>
        </row>
        <row r="4790">
          <cell r="B4790">
            <v>40061615</v>
          </cell>
          <cell r="C4790" t="str">
            <v>KS12'S LNGLST PLEA M140 MT&amp;ECOMP1440-LIQ</v>
          </cell>
          <cell r="D4790">
            <v>0</v>
          </cell>
          <cell r="E4790">
            <v>0</v>
          </cell>
          <cell r="F4790">
            <v>0</v>
          </cell>
        </row>
        <row r="4791">
          <cell r="B4791">
            <v>40061748</v>
          </cell>
          <cell r="C4791" t="str">
            <v>KS3'S LNGLST PLEA M50CHG ARTWRKP1440-LIQ</v>
          </cell>
          <cell r="D4791">
            <v>0</v>
          </cell>
          <cell r="E4791">
            <v>0</v>
          </cell>
          <cell r="F4791">
            <v>0</v>
          </cell>
        </row>
        <row r="4792">
          <cell r="B4792">
            <v>40062029</v>
          </cell>
          <cell r="C4792" t="str">
            <v>KS12'S LONGLASTPLEA M180P480LIQ_CH</v>
          </cell>
          <cell r="D4792">
            <v>0</v>
          </cell>
          <cell r="E4792">
            <v>0</v>
          </cell>
          <cell r="F4792">
            <v>0</v>
          </cell>
        </row>
        <row r="4793">
          <cell r="B4793">
            <v>40064656</v>
          </cell>
          <cell r="C4793" t="str">
            <v>KS12'S LONGLASTPLEA M180P480_LIQ</v>
          </cell>
          <cell r="D4793">
            <v>0</v>
          </cell>
          <cell r="E4793">
            <v>0</v>
          </cell>
          <cell r="F4793">
            <v>0</v>
          </cell>
        </row>
        <row r="4794">
          <cell r="B4794">
            <v>40061328</v>
          </cell>
          <cell r="C4794" t="str">
            <v>KS HONEYMOON SURPRISE KIT M750P8-LIQ</v>
          </cell>
          <cell r="D4794">
            <v>0</v>
          </cell>
          <cell r="E4794">
            <v>0</v>
          </cell>
          <cell r="F4794">
            <v>0</v>
          </cell>
        </row>
        <row r="4795">
          <cell r="B4795">
            <v>40061503</v>
          </cell>
          <cell r="C4795" t="str">
            <v>KS LUBE ALOE &amp; VIT.E 50ML M299 P24-LIQ</v>
          </cell>
          <cell r="D4795">
            <v>0</v>
          </cell>
          <cell r="E4795">
            <v>0</v>
          </cell>
          <cell r="F4795">
            <v>0</v>
          </cell>
        </row>
        <row r="4796">
          <cell r="B4796">
            <v>40039786</v>
          </cell>
          <cell r="C4796" t="str">
            <v>KS10's Banana Flv MRP 100P4320</v>
          </cell>
          <cell r="D4796">
            <v>0</v>
          </cell>
          <cell r="E4796">
            <v>0</v>
          </cell>
          <cell r="F4796">
            <v>0</v>
          </cell>
        </row>
        <row r="4797">
          <cell r="B4797">
            <v>40042131</v>
          </cell>
          <cell r="C4797" t="str">
            <v>KS10'S BANANA FLV MRP 100P480</v>
          </cell>
          <cell r="D4797">
            <v>0</v>
          </cell>
          <cell r="E4797">
            <v>0</v>
          </cell>
          <cell r="F4797">
            <v>0</v>
          </cell>
        </row>
        <row r="4798">
          <cell r="B4798">
            <v>40058539</v>
          </cell>
          <cell r="C4798" t="str">
            <v>KS10'S BANANA FLV M120 P480 SOUTH</v>
          </cell>
          <cell r="D4798">
            <v>0</v>
          </cell>
          <cell r="E4798">
            <v>0</v>
          </cell>
          <cell r="F4798">
            <v>0</v>
          </cell>
        </row>
        <row r="4799">
          <cell r="B4799">
            <v>40039685</v>
          </cell>
          <cell r="C4799" t="str">
            <v>KS3's Banana Flv MRP 25P4320</v>
          </cell>
          <cell r="D4799">
            <v>0</v>
          </cell>
          <cell r="E4799">
            <v>0</v>
          </cell>
          <cell r="F4799">
            <v>0</v>
          </cell>
        </row>
        <row r="4800">
          <cell r="B4800">
            <v>40039947</v>
          </cell>
          <cell r="C4800" t="str">
            <v>KS3's Banana Flv MRP 30P1440</v>
          </cell>
          <cell r="D4800">
            <v>0</v>
          </cell>
          <cell r="E4800">
            <v>0</v>
          </cell>
          <cell r="F4800">
            <v>0</v>
          </cell>
        </row>
        <row r="4801">
          <cell r="B4801">
            <v>40042140</v>
          </cell>
          <cell r="C4801" t="str">
            <v>KS3'S BANANA FLV MRP 30P480</v>
          </cell>
          <cell r="D4801">
            <v>0</v>
          </cell>
          <cell r="E4801">
            <v>0</v>
          </cell>
          <cell r="F4801">
            <v>0</v>
          </cell>
        </row>
        <row r="4802">
          <cell r="B4802">
            <v>40059244</v>
          </cell>
          <cell r="C4802" t="str">
            <v>KS3'S BANANA FLV M30 P1440</v>
          </cell>
          <cell r="D4802">
            <v>0</v>
          </cell>
          <cell r="E4802">
            <v>0</v>
          </cell>
          <cell r="F4802">
            <v>0</v>
          </cell>
        </row>
        <row r="4803">
          <cell r="B4803">
            <v>40058528</v>
          </cell>
          <cell r="C4803" t="str">
            <v>KS3'S BANANA FLV M40 P480 SOUTH</v>
          </cell>
          <cell r="D4803">
            <v>0</v>
          </cell>
          <cell r="E4803">
            <v>0</v>
          </cell>
          <cell r="F4803">
            <v>0</v>
          </cell>
        </row>
        <row r="4804">
          <cell r="B4804">
            <v>40059242</v>
          </cell>
          <cell r="C4804" t="str">
            <v>KS3'S BANANA FLV M40 P1440 SOUTH INCR</v>
          </cell>
          <cell r="D4804">
            <v>0</v>
          </cell>
          <cell r="E4804">
            <v>0</v>
          </cell>
          <cell r="F4804">
            <v>0</v>
          </cell>
        </row>
        <row r="4805">
          <cell r="B4805">
            <v>40039704</v>
          </cell>
          <cell r="C4805" t="str">
            <v>KS3's Berry Exotica MRP 30P4320</v>
          </cell>
          <cell r="D4805">
            <v>0</v>
          </cell>
          <cell r="E4805">
            <v>0</v>
          </cell>
          <cell r="F4805">
            <v>0</v>
          </cell>
        </row>
        <row r="4806">
          <cell r="B4806">
            <v>40039792</v>
          </cell>
          <cell r="C4806" t="str">
            <v>KS3's Berry Exotica MRP 35P4320</v>
          </cell>
          <cell r="D4806">
            <v>0</v>
          </cell>
          <cell r="E4806">
            <v>0</v>
          </cell>
          <cell r="F4806">
            <v>0</v>
          </cell>
        </row>
        <row r="4807">
          <cell r="B4807">
            <v>40039785</v>
          </cell>
          <cell r="C4807" t="str">
            <v>KS10's Butterscotch Flv MRP 100P4320</v>
          </cell>
          <cell r="D4807">
            <v>0</v>
          </cell>
          <cell r="E4807">
            <v>0</v>
          </cell>
          <cell r="F4807">
            <v>0</v>
          </cell>
        </row>
        <row r="4808">
          <cell r="B4808">
            <v>40058533</v>
          </cell>
          <cell r="C4808" t="str">
            <v>KS10'S BUTTERSCOTCH FLV M120 P480 SOUTH</v>
          </cell>
          <cell r="D4808">
            <v>0</v>
          </cell>
          <cell r="E4808">
            <v>0</v>
          </cell>
          <cell r="F4808">
            <v>0</v>
          </cell>
        </row>
        <row r="4809">
          <cell r="B4809">
            <v>40039772</v>
          </cell>
          <cell r="C4809" t="str">
            <v>KS3's Butterscotch Flv MRP 30P4320</v>
          </cell>
          <cell r="D4809">
            <v>0</v>
          </cell>
          <cell r="E4809">
            <v>0</v>
          </cell>
          <cell r="F4809">
            <v>0</v>
          </cell>
        </row>
        <row r="4810">
          <cell r="B4810">
            <v>40039946</v>
          </cell>
          <cell r="C4810" t="str">
            <v>KS3's Butterscotch Flv MRP 30P1440</v>
          </cell>
          <cell r="D4810">
            <v>0</v>
          </cell>
          <cell r="E4810">
            <v>0</v>
          </cell>
          <cell r="F4810">
            <v>0</v>
          </cell>
        </row>
        <row r="4811">
          <cell r="B4811">
            <v>40056866</v>
          </cell>
          <cell r="C4811" t="str">
            <v>KS3'S BUTTERSCOTCH FLV M30P480</v>
          </cell>
          <cell r="D4811">
            <v>0</v>
          </cell>
          <cell r="E4811">
            <v>0</v>
          </cell>
          <cell r="F4811">
            <v>0</v>
          </cell>
        </row>
        <row r="4812">
          <cell r="B4812">
            <v>40059254</v>
          </cell>
          <cell r="C4812" t="str">
            <v>KS3'S BUTTERSCOTCH FLV M30 P1440 INCR</v>
          </cell>
          <cell r="D4812">
            <v>0</v>
          </cell>
          <cell r="E4812">
            <v>0</v>
          </cell>
          <cell r="F4812">
            <v>0</v>
          </cell>
        </row>
        <row r="4813">
          <cell r="B4813">
            <v>40058531</v>
          </cell>
          <cell r="C4813" t="str">
            <v>KS3'S BUTTERSCOTCH FLV M40P480 SOUTH</v>
          </cell>
          <cell r="D4813">
            <v>0</v>
          </cell>
          <cell r="E4813">
            <v>0</v>
          </cell>
          <cell r="F4813">
            <v>0</v>
          </cell>
        </row>
        <row r="4814">
          <cell r="B4814">
            <v>40059243</v>
          </cell>
          <cell r="C4814" t="str">
            <v>KS3'S BUTTERSCOTCH M40 P1440 SOUTH INCR</v>
          </cell>
          <cell r="D4814">
            <v>0</v>
          </cell>
          <cell r="E4814">
            <v>0</v>
          </cell>
          <cell r="F4814">
            <v>0</v>
          </cell>
        </row>
        <row r="4815">
          <cell r="B4815">
            <v>40039695</v>
          </cell>
          <cell r="C4815" t="str">
            <v>KS10's Chocolate Flv MRP 80P4320</v>
          </cell>
          <cell r="D4815">
            <v>0</v>
          </cell>
          <cell r="E4815">
            <v>0</v>
          </cell>
          <cell r="F4815">
            <v>0</v>
          </cell>
        </row>
        <row r="4816">
          <cell r="B4816">
            <v>40039746</v>
          </cell>
          <cell r="C4816" t="str">
            <v>KS10's Chocolate Flv M80 MT &amp; E COMP1440</v>
          </cell>
          <cell r="D4816">
            <v>0</v>
          </cell>
          <cell r="E4816">
            <v>0</v>
          </cell>
          <cell r="F4816">
            <v>0</v>
          </cell>
        </row>
        <row r="4817">
          <cell r="B4817">
            <v>40039957</v>
          </cell>
          <cell r="C4817" t="str">
            <v>KS10's Chocolate Flv MRP 100P1440</v>
          </cell>
          <cell r="D4817">
            <v>0</v>
          </cell>
          <cell r="E4817">
            <v>0</v>
          </cell>
          <cell r="F4817">
            <v>0</v>
          </cell>
        </row>
        <row r="4818">
          <cell r="B4818">
            <v>40057012</v>
          </cell>
          <cell r="C4818" t="str">
            <v>KS10'S CHOCOLATE FLV M80 P423 CSD</v>
          </cell>
          <cell r="D4818">
            <v>0</v>
          </cell>
          <cell r="E4818">
            <v>0</v>
          </cell>
          <cell r="F4818">
            <v>0</v>
          </cell>
        </row>
        <row r="4819">
          <cell r="B4819">
            <v>40039821</v>
          </cell>
          <cell r="C4819" t="str">
            <v>KS10'sSuperthin Chocolate MRP 150P4320</v>
          </cell>
          <cell r="D4819">
            <v>0</v>
          </cell>
          <cell r="E4819">
            <v>0</v>
          </cell>
          <cell r="F4819">
            <v>0</v>
          </cell>
        </row>
        <row r="4820">
          <cell r="B4820">
            <v>40039983</v>
          </cell>
          <cell r="C4820" t="str">
            <v>KS10's Superthin Chocolate MRP 150P1440</v>
          </cell>
          <cell r="D4820">
            <v>0</v>
          </cell>
          <cell r="E4820">
            <v>0</v>
          </cell>
          <cell r="F4820">
            <v>0</v>
          </cell>
        </row>
        <row r="4821">
          <cell r="B4821">
            <v>40041305</v>
          </cell>
          <cell r="C4821" t="str">
            <v>KS10's Chocolate 4 PLY MRP RS130 P1440</v>
          </cell>
          <cell r="D4821">
            <v>0</v>
          </cell>
          <cell r="E4821">
            <v>0</v>
          </cell>
          <cell r="F4821">
            <v>0</v>
          </cell>
        </row>
        <row r="4822">
          <cell r="B4822">
            <v>40058541</v>
          </cell>
          <cell r="C4822" t="str">
            <v>KS10'S CHOCOLATE FLV M120 P480 SOUTH</v>
          </cell>
          <cell r="D4822">
            <v>0</v>
          </cell>
          <cell r="E4822">
            <v>0</v>
          </cell>
          <cell r="F4822">
            <v>0</v>
          </cell>
        </row>
        <row r="4823">
          <cell r="B4823">
            <v>40062327</v>
          </cell>
          <cell r="C4823" t="str">
            <v>KS10'S CHOCOLATEFLV M120P480 SOUTH NEWAW</v>
          </cell>
          <cell r="D4823">
            <v>0</v>
          </cell>
          <cell r="E4823">
            <v>0</v>
          </cell>
          <cell r="F4823">
            <v>0</v>
          </cell>
        </row>
        <row r="4824">
          <cell r="B4824">
            <v>40039944</v>
          </cell>
          <cell r="C4824" t="str">
            <v>KS3's Chocolate Flv MRP 30P1440</v>
          </cell>
          <cell r="D4824">
            <v>0</v>
          </cell>
          <cell r="E4824">
            <v>0</v>
          </cell>
          <cell r="F4824">
            <v>0</v>
          </cell>
        </row>
        <row r="4825">
          <cell r="B4825">
            <v>40042152</v>
          </cell>
          <cell r="C4825" t="str">
            <v>KS3'S CHOCOLATE FLV M30 P480</v>
          </cell>
          <cell r="D4825">
            <v>0</v>
          </cell>
          <cell r="E4825">
            <v>0</v>
          </cell>
          <cell r="F4825">
            <v>0</v>
          </cell>
        </row>
        <row r="4826">
          <cell r="B4826">
            <v>40059239</v>
          </cell>
          <cell r="C4826" t="str">
            <v>KS3'S CHOCOLATE FLV M30 P1440 INCREASED</v>
          </cell>
          <cell r="D4826">
            <v>0</v>
          </cell>
          <cell r="E4826">
            <v>0</v>
          </cell>
          <cell r="F4826">
            <v>0</v>
          </cell>
        </row>
        <row r="4827">
          <cell r="B4827">
            <v>40039790</v>
          </cell>
          <cell r="C4827" t="str">
            <v>KS3's Chocolate Exotica MRP 35P4320</v>
          </cell>
          <cell r="D4827">
            <v>0</v>
          </cell>
          <cell r="E4827">
            <v>0</v>
          </cell>
          <cell r="F4827">
            <v>0</v>
          </cell>
        </row>
        <row r="4828">
          <cell r="B4828">
            <v>40039981</v>
          </cell>
          <cell r="C4828" t="str">
            <v>KS3's Superthin Chocolate MRP 50P1440</v>
          </cell>
          <cell r="D4828">
            <v>0</v>
          </cell>
          <cell r="E4828">
            <v>0</v>
          </cell>
          <cell r="F4828">
            <v>0</v>
          </cell>
        </row>
        <row r="4829">
          <cell r="B4829">
            <v>40058532</v>
          </cell>
          <cell r="C4829" t="str">
            <v>KS3'S CHOCOLATE FLV M40 P480 SOUTH</v>
          </cell>
          <cell r="D4829">
            <v>0</v>
          </cell>
          <cell r="E4829">
            <v>0</v>
          </cell>
          <cell r="F4829">
            <v>0</v>
          </cell>
        </row>
        <row r="4830">
          <cell r="B4830">
            <v>40062329</v>
          </cell>
          <cell r="C4830" t="str">
            <v>KS3S CHOCOLATE M40P1440 SOUTHINCR NEWAW</v>
          </cell>
          <cell r="D4830">
            <v>0</v>
          </cell>
          <cell r="E4830">
            <v>0</v>
          </cell>
          <cell r="F4830">
            <v>0</v>
          </cell>
        </row>
        <row r="4831">
          <cell r="B4831">
            <v>40039641</v>
          </cell>
          <cell r="C4831" t="str">
            <v>KS10's Coffee Flv MRP 80P4320</v>
          </cell>
          <cell r="D4831">
            <v>0</v>
          </cell>
          <cell r="E4831">
            <v>0</v>
          </cell>
          <cell r="F4831">
            <v>0</v>
          </cell>
        </row>
        <row r="4832">
          <cell r="B4832">
            <v>40039961</v>
          </cell>
          <cell r="C4832" t="str">
            <v>KS10's Coffee Flv MRP 100P1440</v>
          </cell>
          <cell r="D4832">
            <v>0</v>
          </cell>
          <cell r="E4832">
            <v>0</v>
          </cell>
          <cell r="F4832">
            <v>0</v>
          </cell>
        </row>
        <row r="4833">
          <cell r="B4833">
            <v>40039774</v>
          </cell>
          <cell r="C4833" t="str">
            <v>KS3's Coffee Flv MRP 30P4320</v>
          </cell>
          <cell r="D4833">
            <v>0</v>
          </cell>
          <cell r="E4833">
            <v>0</v>
          </cell>
          <cell r="F4833">
            <v>0</v>
          </cell>
        </row>
        <row r="4834">
          <cell r="B4834">
            <v>40039680</v>
          </cell>
          <cell r="C4834" t="str">
            <v>KS12's Dott Max MRP 200P4320</v>
          </cell>
          <cell r="D4834">
            <v>0</v>
          </cell>
          <cell r="E4834">
            <v>0</v>
          </cell>
          <cell r="F4834">
            <v>0</v>
          </cell>
        </row>
        <row r="4835">
          <cell r="B4835">
            <v>40039939</v>
          </cell>
          <cell r="C4835" t="str">
            <v>KS10's Extra Dotted MRP 150P1440</v>
          </cell>
          <cell r="D4835">
            <v>0</v>
          </cell>
          <cell r="E4835">
            <v>0</v>
          </cell>
          <cell r="F4835">
            <v>0</v>
          </cell>
        </row>
        <row r="4836">
          <cell r="B4836">
            <v>40042133</v>
          </cell>
          <cell r="C4836" t="str">
            <v>KS10'S EXTRA DOTTED M150 P480</v>
          </cell>
          <cell r="D4836">
            <v>0</v>
          </cell>
          <cell r="E4836">
            <v>0</v>
          </cell>
          <cell r="F4836">
            <v>0</v>
          </cell>
        </row>
        <row r="4837">
          <cell r="B4837">
            <v>40039675</v>
          </cell>
          <cell r="C4837" t="str">
            <v>KS12's Dotted Desir MRP 120P4320</v>
          </cell>
          <cell r="D4837">
            <v>0</v>
          </cell>
          <cell r="E4837">
            <v>0</v>
          </cell>
          <cell r="F4837">
            <v>0</v>
          </cell>
        </row>
        <row r="4838">
          <cell r="B4838">
            <v>40039738</v>
          </cell>
          <cell r="C4838" t="str">
            <v>KS12's Dotted Desir M120 MT &amp; E COMP1440</v>
          </cell>
          <cell r="D4838">
            <v>0</v>
          </cell>
          <cell r="E4838">
            <v>0</v>
          </cell>
          <cell r="F4838">
            <v>0</v>
          </cell>
        </row>
        <row r="4839">
          <cell r="B4839">
            <v>40041335</v>
          </cell>
          <cell r="C4839" t="str">
            <v>KS12's Dotted Desir MRP 120_chng artwork</v>
          </cell>
          <cell r="D4839">
            <v>0</v>
          </cell>
          <cell r="E4839">
            <v>0</v>
          </cell>
          <cell r="F4839">
            <v>0</v>
          </cell>
        </row>
        <row r="4840">
          <cell r="B4840">
            <v>40057057</v>
          </cell>
          <cell r="C4840" t="str">
            <v>KS12'S DOTTED DESIR M120P360 (CSD)</v>
          </cell>
          <cell r="D4840">
            <v>0</v>
          </cell>
          <cell r="E4840">
            <v>0</v>
          </cell>
          <cell r="F4840">
            <v>0</v>
          </cell>
        </row>
        <row r="4841">
          <cell r="B4841">
            <v>40039677</v>
          </cell>
          <cell r="C4841" t="str">
            <v>KS20's Dotted Desir MRP 200P4320</v>
          </cell>
          <cell r="D4841">
            <v>0</v>
          </cell>
          <cell r="E4841">
            <v>0</v>
          </cell>
          <cell r="F4841">
            <v>0</v>
          </cell>
        </row>
        <row r="4842">
          <cell r="B4842">
            <v>40039740</v>
          </cell>
          <cell r="C4842" t="str">
            <v>KS20's Dotted Desir M200 MT &amp; E COMP1440</v>
          </cell>
          <cell r="D4842">
            <v>0</v>
          </cell>
          <cell r="E4842">
            <v>0</v>
          </cell>
          <cell r="F4842">
            <v>0</v>
          </cell>
        </row>
        <row r="4843">
          <cell r="B4843">
            <v>40041270</v>
          </cell>
          <cell r="C4843" t="str">
            <v>KS20's Dotted MRP 200_chng artwork P1440</v>
          </cell>
          <cell r="D4843">
            <v>0</v>
          </cell>
          <cell r="E4843">
            <v>0</v>
          </cell>
          <cell r="F4843">
            <v>0</v>
          </cell>
        </row>
        <row r="4844">
          <cell r="B4844">
            <v>40041269</v>
          </cell>
          <cell r="C4844" t="str">
            <v>KS3's Dotted MRP 30_chng artwork P1440</v>
          </cell>
          <cell r="D4844">
            <v>0</v>
          </cell>
          <cell r="E4844">
            <v>0</v>
          </cell>
          <cell r="F4844">
            <v>0</v>
          </cell>
        </row>
        <row r="4845">
          <cell r="B4845">
            <v>40042139</v>
          </cell>
          <cell r="C4845" t="str">
            <v>KS3'S DOTTED MRP 30P480</v>
          </cell>
          <cell r="D4845">
            <v>0</v>
          </cell>
          <cell r="E4845">
            <v>0</v>
          </cell>
          <cell r="F4845">
            <v>0</v>
          </cell>
        </row>
        <row r="4846">
          <cell r="B4846">
            <v>40059253</v>
          </cell>
          <cell r="C4846" t="str">
            <v>KS3'S DOTTED M30 P1440 INCR</v>
          </cell>
          <cell r="D4846">
            <v>0</v>
          </cell>
          <cell r="E4846">
            <v>0</v>
          </cell>
          <cell r="F4846">
            <v>0</v>
          </cell>
        </row>
        <row r="4847">
          <cell r="B4847">
            <v>40060280</v>
          </cell>
          <cell r="C4847" t="str">
            <v>KS3'SDOTTEDM30CHNG ARTWORKP1440_LIQCH</v>
          </cell>
          <cell r="D4847">
            <v>0</v>
          </cell>
          <cell r="E4847">
            <v>0</v>
          </cell>
          <cell r="F4847">
            <v>0</v>
          </cell>
        </row>
        <row r="4848">
          <cell r="B4848">
            <v>40039938</v>
          </cell>
          <cell r="C4848" t="str">
            <v>KS3's Extra Dotted MRP 50P1440</v>
          </cell>
          <cell r="D4848">
            <v>0</v>
          </cell>
          <cell r="E4848">
            <v>0</v>
          </cell>
          <cell r="F4848">
            <v>0</v>
          </cell>
        </row>
        <row r="4849">
          <cell r="B4849">
            <v>40059237</v>
          </cell>
          <cell r="C4849" t="str">
            <v>KS3'S EXTRA DOTTED M50 P1440 INCR</v>
          </cell>
          <cell r="D4849">
            <v>0</v>
          </cell>
          <cell r="E4849">
            <v>0</v>
          </cell>
          <cell r="F4849">
            <v>0</v>
          </cell>
        </row>
        <row r="4850">
          <cell r="B4850">
            <v>40060336</v>
          </cell>
          <cell r="C4850" t="str">
            <v>KS3'S EXTRA DOTTED M50P1440_LIQCH</v>
          </cell>
          <cell r="D4850">
            <v>0</v>
          </cell>
          <cell r="E4850">
            <v>0</v>
          </cell>
          <cell r="F4850">
            <v>0</v>
          </cell>
        </row>
        <row r="4851">
          <cell r="B4851">
            <v>40063769</v>
          </cell>
          <cell r="C4851" t="str">
            <v>KS3'S EXTRA DOTTED M50 P480 FK</v>
          </cell>
          <cell r="D4851">
            <v>0</v>
          </cell>
          <cell r="E4851">
            <v>0</v>
          </cell>
          <cell r="F4851">
            <v>0</v>
          </cell>
        </row>
        <row r="4852">
          <cell r="B4852">
            <v>40059465</v>
          </cell>
          <cell r="C4852" t="str">
            <v>KS10'S EXTRA DOTTED CHOCO M150 P480</v>
          </cell>
          <cell r="D4852">
            <v>0</v>
          </cell>
          <cell r="E4852">
            <v>0</v>
          </cell>
          <cell r="F4852">
            <v>0</v>
          </cell>
        </row>
        <row r="4853">
          <cell r="B4853">
            <v>40062548</v>
          </cell>
          <cell r="C4853" t="str">
            <v>KS10'S EXTRA DOTTED CHOCO M150P480 NEWAW</v>
          </cell>
          <cell r="D4853">
            <v>0</v>
          </cell>
          <cell r="E4853">
            <v>0</v>
          </cell>
          <cell r="F4853">
            <v>0</v>
          </cell>
        </row>
        <row r="4854">
          <cell r="B4854">
            <v>40062520</v>
          </cell>
          <cell r="C4854" t="str">
            <v>KS3S EXTRA DOTTDCHOCO M50P1440INCR NEWAW</v>
          </cell>
          <cell r="D4854">
            <v>0</v>
          </cell>
          <cell r="E4854">
            <v>0</v>
          </cell>
          <cell r="F4854">
            <v>0</v>
          </cell>
        </row>
        <row r="4855">
          <cell r="B4855">
            <v>40059169</v>
          </cell>
          <cell r="C4855" t="str">
            <v>KS10'S EXTRA DOTTED STRAWBRYM150 P480</v>
          </cell>
          <cell r="D4855">
            <v>0</v>
          </cell>
          <cell r="E4855">
            <v>0</v>
          </cell>
          <cell r="F4855">
            <v>0</v>
          </cell>
        </row>
        <row r="4856">
          <cell r="B4856">
            <v>40062546</v>
          </cell>
          <cell r="C4856" t="str">
            <v>KS10'S EXTRADOTTD STRAWBRYM150P480 NEWAW</v>
          </cell>
          <cell r="D4856">
            <v>0</v>
          </cell>
          <cell r="E4856">
            <v>0</v>
          </cell>
          <cell r="F4856">
            <v>0</v>
          </cell>
        </row>
        <row r="4857">
          <cell r="B4857">
            <v>40062314</v>
          </cell>
          <cell r="C4857" t="str">
            <v>KS3S EXTRA DOTTEDSTRAWBRY M50P1440 NEWAW</v>
          </cell>
          <cell r="D4857">
            <v>0</v>
          </cell>
          <cell r="E4857">
            <v>0</v>
          </cell>
          <cell r="F4857">
            <v>0</v>
          </cell>
        </row>
        <row r="4858">
          <cell r="B4858">
            <v>40056768</v>
          </cell>
          <cell r="C4858" t="str">
            <v>KS10's Extra Dotted M150P4320LIQ</v>
          </cell>
          <cell r="D4858">
            <v>0</v>
          </cell>
          <cell r="E4858">
            <v>0</v>
          </cell>
          <cell r="F4858">
            <v>0</v>
          </cell>
        </row>
        <row r="4859">
          <cell r="B4859">
            <v>40060325</v>
          </cell>
          <cell r="C4859" t="str">
            <v>KS10'S EXTRA DOTTED M150.00P4320_LIQCH</v>
          </cell>
          <cell r="D4859">
            <v>0</v>
          </cell>
          <cell r="E4859">
            <v>0</v>
          </cell>
          <cell r="F4859">
            <v>0</v>
          </cell>
        </row>
        <row r="4860">
          <cell r="B4860">
            <v>40039687</v>
          </cell>
          <cell r="C4860" t="str">
            <v>KS3's Grape Flv MRP 25P4320</v>
          </cell>
          <cell r="D4860">
            <v>0</v>
          </cell>
          <cell r="E4860">
            <v>0</v>
          </cell>
          <cell r="F4860">
            <v>0</v>
          </cell>
        </row>
        <row r="4861">
          <cell r="B4861">
            <v>40039775</v>
          </cell>
          <cell r="C4861" t="str">
            <v>KS3's Grape Flv MRP 30P4320</v>
          </cell>
          <cell r="D4861">
            <v>0</v>
          </cell>
          <cell r="E4861">
            <v>0</v>
          </cell>
          <cell r="F4861">
            <v>0</v>
          </cell>
        </row>
        <row r="4862">
          <cell r="B4862">
            <v>40039949</v>
          </cell>
          <cell r="C4862" t="str">
            <v>KS3's Grape Flv MRP 30P1440</v>
          </cell>
          <cell r="D4862">
            <v>0</v>
          </cell>
          <cell r="E4862">
            <v>0</v>
          </cell>
          <cell r="F4862">
            <v>0</v>
          </cell>
        </row>
        <row r="4863">
          <cell r="B4863">
            <v>40041612</v>
          </cell>
          <cell r="C4863" t="str">
            <v>KS3's Grape Flv RCCPL M25 P4320</v>
          </cell>
          <cell r="D4863">
            <v>0</v>
          </cell>
          <cell r="E4863">
            <v>0</v>
          </cell>
          <cell r="F4863">
            <v>0</v>
          </cell>
        </row>
        <row r="4864">
          <cell r="B4864">
            <v>40039721</v>
          </cell>
          <cell r="C4864" t="str">
            <v>KS12's Intensity  MRP 140_common sbP4320</v>
          </cell>
          <cell r="D4864">
            <v>0</v>
          </cell>
          <cell r="E4864">
            <v>0</v>
          </cell>
          <cell r="F4864">
            <v>0</v>
          </cell>
        </row>
        <row r="4865">
          <cell r="B4865">
            <v>40039731</v>
          </cell>
          <cell r="C4865" t="str">
            <v>KS12's Longlast Plea M140_chng ExpP4320</v>
          </cell>
          <cell r="D4865">
            <v>0</v>
          </cell>
          <cell r="E4865">
            <v>0</v>
          </cell>
          <cell r="F4865">
            <v>0</v>
          </cell>
        </row>
        <row r="4866">
          <cell r="B4866">
            <v>40039811</v>
          </cell>
          <cell r="C4866" t="str">
            <v>KS12's Longlast  M150_Chng Art workP4320</v>
          </cell>
          <cell r="D4866">
            <v>0</v>
          </cell>
          <cell r="E4866">
            <v>0</v>
          </cell>
          <cell r="F4866">
            <v>0</v>
          </cell>
        </row>
        <row r="4867">
          <cell r="B4867">
            <v>40039974</v>
          </cell>
          <cell r="C4867" t="str">
            <v>KS12's LonglastPlea M150ChngArtworkP1440</v>
          </cell>
          <cell r="D4867">
            <v>0</v>
          </cell>
          <cell r="E4867">
            <v>0</v>
          </cell>
          <cell r="F4867">
            <v>0</v>
          </cell>
        </row>
        <row r="4868">
          <cell r="B4868">
            <v>40042200</v>
          </cell>
          <cell r="C4868" t="str">
            <v>KS12'S LONGLASTPLEA M150P480</v>
          </cell>
          <cell r="D4868">
            <v>0</v>
          </cell>
          <cell r="E4868">
            <v>0</v>
          </cell>
          <cell r="F4868">
            <v>0</v>
          </cell>
        </row>
        <row r="4869">
          <cell r="B4869">
            <v>40059019</v>
          </cell>
          <cell r="C4869" t="str">
            <v>KS12'S LONGLASTPLEA M150 P480 NEW</v>
          </cell>
          <cell r="D4869">
            <v>0</v>
          </cell>
          <cell r="E4869">
            <v>0</v>
          </cell>
          <cell r="F4869">
            <v>0</v>
          </cell>
        </row>
        <row r="4870">
          <cell r="B4870">
            <v>40039733</v>
          </cell>
          <cell r="C4870" t="str">
            <v>KS20's Longlast Pleas M230 chng ExpP4320</v>
          </cell>
          <cell r="D4870">
            <v>0</v>
          </cell>
          <cell r="E4870">
            <v>0</v>
          </cell>
          <cell r="F4870">
            <v>0</v>
          </cell>
        </row>
        <row r="4871">
          <cell r="B4871">
            <v>40039761</v>
          </cell>
          <cell r="C4871" t="str">
            <v>KS20's Longlast Pleas M230 MT&amp;ECOMP1440</v>
          </cell>
          <cell r="D4871">
            <v>0</v>
          </cell>
          <cell r="E4871">
            <v>0</v>
          </cell>
          <cell r="F4871">
            <v>0</v>
          </cell>
        </row>
        <row r="4872">
          <cell r="B4872">
            <v>40039975</v>
          </cell>
          <cell r="C4872" t="str">
            <v>KS20's Longlast Pleas M250 chng ExpP1440</v>
          </cell>
          <cell r="D4872">
            <v>0</v>
          </cell>
          <cell r="E4872">
            <v>0</v>
          </cell>
          <cell r="F4872">
            <v>0</v>
          </cell>
        </row>
        <row r="4873">
          <cell r="B4873">
            <v>40042154</v>
          </cell>
          <cell r="C4873" t="str">
            <v>KS20'S LONGLAST PLEAS M250 P480</v>
          </cell>
          <cell r="D4873">
            <v>0</v>
          </cell>
          <cell r="E4873">
            <v>0</v>
          </cell>
          <cell r="F4873">
            <v>0</v>
          </cell>
        </row>
        <row r="4874">
          <cell r="B4874">
            <v>40039757</v>
          </cell>
          <cell r="C4874" t="str">
            <v>KS3's Longlast Pleas M45 MT &amp; E COMP1440</v>
          </cell>
          <cell r="D4874">
            <v>0</v>
          </cell>
          <cell r="E4874">
            <v>0</v>
          </cell>
          <cell r="F4874">
            <v>0</v>
          </cell>
        </row>
        <row r="4875">
          <cell r="B4875">
            <v>40039810</v>
          </cell>
          <cell r="C4875" t="str">
            <v>KS3's Longlast MRP 50_Chng Art workP4320</v>
          </cell>
          <cell r="D4875">
            <v>0</v>
          </cell>
          <cell r="E4875">
            <v>0</v>
          </cell>
          <cell r="F4875">
            <v>0</v>
          </cell>
        </row>
        <row r="4876">
          <cell r="B4876">
            <v>40039973</v>
          </cell>
          <cell r="C4876" t="str">
            <v>KS3's Longlast Plea M50Chng ArtworkP1440</v>
          </cell>
          <cell r="D4876">
            <v>0</v>
          </cell>
          <cell r="E4876">
            <v>0</v>
          </cell>
          <cell r="F4876">
            <v>0</v>
          </cell>
        </row>
        <row r="4877">
          <cell r="B4877">
            <v>40042132</v>
          </cell>
          <cell r="C4877" t="str">
            <v>KS3'S LONGLAST PLEA M50P480</v>
          </cell>
          <cell r="D4877">
            <v>0</v>
          </cell>
          <cell r="E4877">
            <v>0</v>
          </cell>
          <cell r="F4877">
            <v>0</v>
          </cell>
        </row>
        <row r="4878">
          <cell r="B4878">
            <v>40058527</v>
          </cell>
          <cell r="C4878" t="str">
            <v>KS3'S LONGLAST PLEA M50 P480</v>
          </cell>
          <cell r="D4878">
            <v>0</v>
          </cell>
          <cell r="E4878">
            <v>0</v>
          </cell>
          <cell r="F4878">
            <v>0</v>
          </cell>
        </row>
        <row r="4879">
          <cell r="B4879">
            <v>40059073</v>
          </cell>
          <cell r="C4879" t="str">
            <v>KS3'S LONGLAST PLEA M50 P480 STKRD</v>
          </cell>
          <cell r="D4879">
            <v>0</v>
          </cell>
          <cell r="E4879">
            <v>0</v>
          </cell>
          <cell r="F4879">
            <v>0</v>
          </cell>
        </row>
        <row r="4880">
          <cell r="B4880">
            <v>40059252</v>
          </cell>
          <cell r="C4880" t="str">
            <v>KS3'S LONGLAST PLEA M50 P1440 INCR</v>
          </cell>
          <cell r="D4880">
            <v>0</v>
          </cell>
          <cell r="E4880">
            <v>0</v>
          </cell>
          <cell r="F4880">
            <v>0</v>
          </cell>
        </row>
        <row r="4881">
          <cell r="B4881">
            <v>40063778</v>
          </cell>
          <cell r="C4881" t="str">
            <v>KS3'S LONGLAST PLEA M50 P480FK</v>
          </cell>
          <cell r="D4881">
            <v>0</v>
          </cell>
          <cell r="E4881">
            <v>0</v>
          </cell>
          <cell r="F4881">
            <v>0</v>
          </cell>
        </row>
        <row r="4882">
          <cell r="B4882">
            <v>40039692</v>
          </cell>
          <cell r="C4882" t="str">
            <v>KS10's Mango Flv MRP 80P4320</v>
          </cell>
          <cell r="D4882">
            <v>0</v>
          </cell>
          <cell r="E4882">
            <v>0</v>
          </cell>
          <cell r="F4882">
            <v>0</v>
          </cell>
        </row>
        <row r="4883">
          <cell r="B4883">
            <v>40039954</v>
          </cell>
          <cell r="C4883" t="str">
            <v>KS10's Mango Flv MRP 100P1440</v>
          </cell>
          <cell r="D4883">
            <v>0</v>
          </cell>
          <cell r="E4883">
            <v>0</v>
          </cell>
          <cell r="F4883">
            <v>0</v>
          </cell>
        </row>
        <row r="4884">
          <cell r="B4884">
            <v>40050284</v>
          </cell>
          <cell r="C4884" t="str">
            <v>KS10'S MANGO PLEASURE M180P480</v>
          </cell>
          <cell r="D4884">
            <v>0</v>
          </cell>
          <cell r="E4884">
            <v>0</v>
          </cell>
          <cell r="F4884">
            <v>0</v>
          </cell>
        </row>
        <row r="4885">
          <cell r="B4885">
            <v>40058540</v>
          </cell>
          <cell r="C4885" t="str">
            <v>KS10'S MANGO FLV M120 P480 SOUTH</v>
          </cell>
          <cell r="D4885">
            <v>0</v>
          </cell>
          <cell r="E4885">
            <v>0</v>
          </cell>
          <cell r="F4885">
            <v>0</v>
          </cell>
        </row>
        <row r="4886">
          <cell r="B4886">
            <v>40039776</v>
          </cell>
          <cell r="C4886" t="str">
            <v>KS3's Mango Flv MRP 30P4320</v>
          </cell>
          <cell r="D4886">
            <v>0</v>
          </cell>
          <cell r="E4886">
            <v>0</v>
          </cell>
          <cell r="F4886">
            <v>0</v>
          </cell>
        </row>
        <row r="4887">
          <cell r="B4887">
            <v>40039950</v>
          </cell>
          <cell r="C4887" t="str">
            <v>KS3's Mango Flv MRP 30P1440</v>
          </cell>
          <cell r="D4887">
            <v>0</v>
          </cell>
          <cell r="E4887">
            <v>0</v>
          </cell>
          <cell r="F4887">
            <v>0</v>
          </cell>
        </row>
        <row r="4888">
          <cell r="B4888">
            <v>40042157</v>
          </cell>
          <cell r="C4888" t="str">
            <v>KS3'S MANGO FLV MRP 30P480</v>
          </cell>
          <cell r="D4888">
            <v>0</v>
          </cell>
          <cell r="E4888">
            <v>0</v>
          </cell>
          <cell r="F4888">
            <v>0</v>
          </cell>
        </row>
        <row r="4889">
          <cell r="B4889">
            <v>40059418</v>
          </cell>
          <cell r="C4889" t="str">
            <v>KS3'S MANGO FLV M30 P1440 INCR</v>
          </cell>
          <cell r="D4889">
            <v>0</v>
          </cell>
          <cell r="E4889">
            <v>0</v>
          </cell>
          <cell r="F4889">
            <v>0</v>
          </cell>
        </row>
        <row r="4890">
          <cell r="B4890">
            <v>40039793</v>
          </cell>
          <cell r="C4890" t="str">
            <v>KS3's Mango Exotica MRP 35P4320</v>
          </cell>
          <cell r="D4890">
            <v>0</v>
          </cell>
          <cell r="E4890">
            <v>0</v>
          </cell>
          <cell r="F4890">
            <v>0</v>
          </cell>
        </row>
        <row r="4891">
          <cell r="B4891">
            <v>40058542</v>
          </cell>
          <cell r="C4891" t="str">
            <v>KS3'S MANGO FLV M40 P480 SOUTH</v>
          </cell>
          <cell r="D4891">
            <v>0</v>
          </cell>
          <cell r="E4891">
            <v>0</v>
          </cell>
          <cell r="F4891">
            <v>0</v>
          </cell>
        </row>
        <row r="4892">
          <cell r="B4892">
            <v>40059417</v>
          </cell>
          <cell r="C4892" t="str">
            <v>KS3'S MANGO FLV M40 P1440 SOUTH INCR</v>
          </cell>
          <cell r="D4892">
            <v>0</v>
          </cell>
          <cell r="E4892">
            <v>0</v>
          </cell>
          <cell r="F4892">
            <v>0</v>
          </cell>
        </row>
        <row r="4893">
          <cell r="B4893">
            <v>40062340</v>
          </cell>
          <cell r="C4893" t="str">
            <v>KS3'S MANGO M40 P1440 SOUTH INCR NEWAW</v>
          </cell>
          <cell r="D4893">
            <v>0</v>
          </cell>
          <cell r="E4893">
            <v>0</v>
          </cell>
          <cell r="F4893">
            <v>0</v>
          </cell>
        </row>
        <row r="4894">
          <cell r="B4894">
            <v>40039842</v>
          </cell>
          <cell r="C4894" t="str">
            <v>KS10's Mango pleasure MRP 150P1440</v>
          </cell>
          <cell r="D4894">
            <v>0</v>
          </cell>
          <cell r="E4894">
            <v>0</v>
          </cell>
          <cell r="F4894">
            <v>0</v>
          </cell>
        </row>
        <row r="4895">
          <cell r="B4895">
            <v>40039955</v>
          </cell>
          <cell r="C4895" t="str">
            <v>KS10's Orange Flv MRP 100P1440</v>
          </cell>
          <cell r="D4895">
            <v>0</v>
          </cell>
          <cell r="E4895">
            <v>0</v>
          </cell>
          <cell r="F4895">
            <v>0</v>
          </cell>
        </row>
        <row r="4896">
          <cell r="B4896">
            <v>40039689</v>
          </cell>
          <cell r="C4896" t="str">
            <v>KS3's Orange Flv MRP 25P4320</v>
          </cell>
          <cell r="D4896">
            <v>0</v>
          </cell>
          <cell r="E4896">
            <v>0</v>
          </cell>
          <cell r="F4896">
            <v>0</v>
          </cell>
        </row>
        <row r="4897">
          <cell r="B4897">
            <v>40039845</v>
          </cell>
          <cell r="C4897" t="str">
            <v>KS10's Orgasmax Plus MRP 200P1440</v>
          </cell>
          <cell r="D4897">
            <v>0</v>
          </cell>
          <cell r="E4897">
            <v>0</v>
          </cell>
          <cell r="F4897">
            <v>0</v>
          </cell>
        </row>
        <row r="4898">
          <cell r="B4898">
            <v>40042130</v>
          </cell>
          <cell r="C4898" t="str">
            <v>KS10'S ORGASMAX PLUS MRP 200P480</v>
          </cell>
          <cell r="D4898">
            <v>0</v>
          </cell>
          <cell r="E4898">
            <v>0</v>
          </cell>
          <cell r="F4898">
            <v>0</v>
          </cell>
        </row>
        <row r="4899">
          <cell r="B4899">
            <v>40039759</v>
          </cell>
          <cell r="C4899" t="str">
            <v>KS12's Orgasmax MRP 230 MT &amp; E COMP1440</v>
          </cell>
          <cell r="D4899">
            <v>0</v>
          </cell>
          <cell r="E4899">
            <v>0</v>
          </cell>
          <cell r="F4899">
            <v>0</v>
          </cell>
        </row>
        <row r="4900">
          <cell r="B4900">
            <v>40039941</v>
          </cell>
          <cell r="C4900" t="str">
            <v>KS12's Orgasmax MRP 230 chng ExpiryP1440</v>
          </cell>
          <cell r="D4900">
            <v>0</v>
          </cell>
          <cell r="E4900">
            <v>0</v>
          </cell>
          <cell r="F4900">
            <v>0</v>
          </cell>
        </row>
        <row r="4901">
          <cell r="B4901">
            <v>40042077</v>
          </cell>
          <cell r="C4901" t="str">
            <v>KS12'S MUTUAL ORGASMAX M230 GCPL P1440</v>
          </cell>
          <cell r="D4901">
            <v>0</v>
          </cell>
          <cell r="E4901">
            <v>0</v>
          </cell>
          <cell r="F4901">
            <v>0</v>
          </cell>
        </row>
        <row r="4902">
          <cell r="B4902">
            <v>40056975</v>
          </cell>
          <cell r="C4902" t="str">
            <v>KS12'S LONGLAST SYNC M240 P480</v>
          </cell>
          <cell r="D4902">
            <v>0</v>
          </cell>
          <cell r="E4902">
            <v>0</v>
          </cell>
          <cell r="F4902">
            <v>0</v>
          </cell>
        </row>
        <row r="4903">
          <cell r="B4903">
            <v>40058543</v>
          </cell>
          <cell r="C4903" t="str">
            <v>KS12'S LONGLAST SYNC M220 P480</v>
          </cell>
          <cell r="D4903">
            <v>0</v>
          </cell>
          <cell r="E4903">
            <v>0</v>
          </cell>
          <cell r="F4903">
            <v>0</v>
          </cell>
        </row>
        <row r="4904">
          <cell r="B4904">
            <v>40059070</v>
          </cell>
          <cell r="C4904" t="str">
            <v>KS12'S LONGLAST SYNC M220 P480 STKRD</v>
          </cell>
          <cell r="D4904">
            <v>0</v>
          </cell>
          <cell r="E4904">
            <v>0</v>
          </cell>
          <cell r="F4904">
            <v>0</v>
          </cell>
        </row>
        <row r="4905">
          <cell r="B4905">
            <v>40062274</v>
          </cell>
          <cell r="C4905" t="str">
            <v>KS12S LONGLASTSYNC M220P480 STKRD HIGHRM</v>
          </cell>
          <cell r="D4905">
            <v>0</v>
          </cell>
          <cell r="E4905">
            <v>0</v>
          </cell>
          <cell r="F4905">
            <v>0</v>
          </cell>
        </row>
        <row r="4906">
          <cell r="B4906">
            <v>40056974</v>
          </cell>
          <cell r="C4906" t="str">
            <v>KS20'S LONGLAST SYNC M400 P480</v>
          </cell>
          <cell r="D4906">
            <v>0</v>
          </cell>
          <cell r="E4906">
            <v>0</v>
          </cell>
          <cell r="F4906">
            <v>0</v>
          </cell>
        </row>
        <row r="4907">
          <cell r="B4907">
            <v>40059071</v>
          </cell>
          <cell r="C4907" t="str">
            <v>KS20'S LONGLAST SYNC M360 P480 STKRD</v>
          </cell>
          <cell r="D4907">
            <v>0</v>
          </cell>
          <cell r="E4907">
            <v>0</v>
          </cell>
          <cell r="F4907">
            <v>0</v>
          </cell>
        </row>
        <row r="4908">
          <cell r="B4908">
            <v>40062268</v>
          </cell>
          <cell r="C4908" t="str">
            <v>KS20S LONGLASTSYNC M360P480 STKRD HIGHRM</v>
          </cell>
          <cell r="D4908">
            <v>0</v>
          </cell>
          <cell r="E4908">
            <v>0</v>
          </cell>
          <cell r="F4908">
            <v>0</v>
          </cell>
        </row>
        <row r="4909">
          <cell r="B4909">
            <v>40062269</v>
          </cell>
          <cell r="C4909" t="str">
            <v>KS20'S LONGLAST SYNC M360 P480 HIGH RM</v>
          </cell>
          <cell r="D4909">
            <v>0</v>
          </cell>
          <cell r="E4909">
            <v>0</v>
          </cell>
          <cell r="F4909">
            <v>0</v>
          </cell>
        </row>
        <row r="4910">
          <cell r="B4910">
            <v>40059072</v>
          </cell>
          <cell r="C4910" t="str">
            <v>KS3'S LONGLAST  SYNC M60 P480 STKRD</v>
          </cell>
          <cell r="D4910">
            <v>0</v>
          </cell>
          <cell r="E4910">
            <v>0</v>
          </cell>
          <cell r="F4910">
            <v>0</v>
          </cell>
        </row>
        <row r="4911">
          <cell r="B4911">
            <v>40059255</v>
          </cell>
          <cell r="C4911" t="str">
            <v>KS3'S LONGLAST  SYNC M60 P1440 INCR</v>
          </cell>
          <cell r="D4911">
            <v>0</v>
          </cell>
          <cell r="E4911">
            <v>0</v>
          </cell>
          <cell r="F4911">
            <v>0</v>
          </cell>
        </row>
        <row r="4912">
          <cell r="B4912">
            <v>40062278</v>
          </cell>
          <cell r="C4912" t="str">
            <v>KS3'S LONGLAST  SYNC M80 P480 HIGH RM</v>
          </cell>
          <cell r="D4912">
            <v>0</v>
          </cell>
          <cell r="E4912">
            <v>0</v>
          </cell>
          <cell r="F4912">
            <v>0</v>
          </cell>
        </row>
        <row r="4913">
          <cell r="B4913">
            <v>40039933</v>
          </cell>
          <cell r="C4913" t="str">
            <v>KS10's Smooth Pink Passion MRP 80P1440</v>
          </cell>
          <cell r="D4913">
            <v>0</v>
          </cell>
          <cell r="E4913">
            <v>0</v>
          </cell>
          <cell r="F4913">
            <v>0</v>
          </cell>
        </row>
        <row r="4914">
          <cell r="B4914">
            <v>40039931</v>
          </cell>
          <cell r="C4914" t="str">
            <v>KS3's Smooth Pink Passion MRP 25P1440</v>
          </cell>
          <cell r="D4914">
            <v>0</v>
          </cell>
          <cell r="E4914">
            <v>0</v>
          </cell>
          <cell r="F4914">
            <v>0</v>
          </cell>
        </row>
        <row r="4915">
          <cell r="B4915">
            <v>40039742</v>
          </cell>
          <cell r="C4915" t="str">
            <v>KS10's Pineapple Flv M 80MT &amp; E COMP1440</v>
          </cell>
          <cell r="D4915">
            <v>0</v>
          </cell>
          <cell r="E4915">
            <v>0</v>
          </cell>
          <cell r="F4915">
            <v>0</v>
          </cell>
        </row>
        <row r="4916">
          <cell r="B4916">
            <v>40039779</v>
          </cell>
          <cell r="C4916" t="str">
            <v>KS10's Pineapple Flv MRP 100P4320</v>
          </cell>
          <cell r="D4916">
            <v>0</v>
          </cell>
          <cell r="E4916">
            <v>0</v>
          </cell>
          <cell r="F4916">
            <v>0</v>
          </cell>
        </row>
        <row r="4917">
          <cell r="B4917">
            <v>40039690</v>
          </cell>
          <cell r="C4917" t="str">
            <v>KS3's Pineapple Flv MRP 25P4320</v>
          </cell>
          <cell r="D4917">
            <v>0</v>
          </cell>
          <cell r="E4917">
            <v>0</v>
          </cell>
          <cell r="F4917">
            <v>0</v>
          </cell>
        </row>
        <row r="4918">
          <cell r="B4918">
            <v>40039778</v>
          </cell>
          <cell r="C4918" t="str">
            <v>KS3's Pineapple Flv MRP 30P4320</v>
          </cell>
          <cell r="D4918">
            <v>0</v>
          </cell>
          <cell r="E4918">
            <v>0</v>
          </cell>
          <cell r="F4918">
            <v>0</v>
          </cell>
        </row>
        <row r="4919">
          <cell r="B4919">
            <v>40039952</v>
          </cell>
          <cell r="C4919" t="str">
            <v>KS3's Pineapple Flv MRP 30P1440</v>
          </cell>
          <cell r="D4919">
            <v>0</v>
          </cell>
          <cell r="E4919">
            <v>0</v>
          </cell>
          <cell r="F4919">
            <v>0</v>
          </cell>
        </row>
        <row r="4920">
          <cell r="B4920">
            <v>40039608</v>
          </cell>
          <cell r="C4920" t="str">
            <v>KS Honeymoon Surprise MRP 599P630</v>
          </cell>
          <cell r="D4920">
            <v>0</v>
          </cell>
          <cell r="E4920">
            <v>0</v>
          </cell>
          <cell r="F4920">
            <v>0</v>
          </cell>
        </row>
        <row r="4921">
          <cell r="B4921">
            <v>40039605</v>
          </cell>
          <cell r="C4921" t="str">
            <v>KS12's Ribbed Desir MRP 120P4320</v>
          </cell>
          <cell r="D4921">
            <v>0</v>
          </cell>
          <cell r="E4921">
            <v>0</v>
          </cell>
          <cell r="F4921">
            <v>0</v>
          </cell>
        </row>
        <row r="4922">
          <cell r="B4922">
            <v>40039676</v>
          </cell>
          <cell r="C4922" t="str">
            <v>KS12's Ribbed Desir MRP 120P4320</v>
          </cell>
          <cell r="D4922">
            <v>0</v>
          </cell>
          <cell r="E4922">
            <v>0</v>
          </cell>
          <cell r="F4922">
            <v>0</v>
          </cell>
        </row>
        <row r="4923">
          <cell r="B4923">
            <v>40039739</v>
          </cell>
          <cell r="C4923" t="str">
            <v>KS12's Ribbed Desir M120 MT &amp; E COMP1440</v>
          </cell>
          <cell r="D4923">
            <v>0</v>
          </cell>
          <cell r="E4923">
            <v>0</v>
          </cell>
          <cell r="F4923">
            <v>0</v>
          </cell>
        </row>
        <row r="4924">
          <cell r="B4924">
            <v>40039928</v>
          </cell>
          <cell r="C4924" t="str">
            <v>KS12's Ribbed Desir MRP 120P1440</v>
          </cell>
          <cell r="D4924">
            <v>0</v>
          </cell>
          <cell r="E4924">
            <v>0</v>
          </cell>
          <cell r="F4924">
            <v>0</v>
          </cell>
        </row>
        <row r="4925">
          <cell r="B4925">
            <v>40039678</v>
          </cell>
          <cell r="C4925" t="str">
            <v>KS20's Ribbed Desir MRP 200P4320</v>
          </cell>
          <cell r="D4925">
            <v>0</v>
          </cell>
          <cell r="E4925">
            <v>0</v>
          </cell>
          <cell r="F4925">
            <v>0</v>
          </cell>
        </row>
        <row r="4926">
          <cell r="B4926">
            <v>40039741</v>
          </cell>
          <cell r="C4926" t="str">
            <v>KS20's Ribbed Desir M200 MT &amp; E COMP1440</v>
          </cell>
          <cell r="D4926">
            <v>0</v>
          </cell>
          <cell r="E4926">
            <v>0</v>
          </cell>
          <cell r="F4926">
            <v>0</v>
          </cell>
        </row>
        <row r="4927">
          <cell r="B4927">
            <v>40039930</v>
          </cell>
          <cell r="C4927" t="str">
            <v>KS20's Ribbed Desir MRP 200P1440</v>
          </cell>
          <cell r="D4927">
            <v>0</v>
          </cell>
          <cell r="E4927">
            <v>0</v>
          </cell>
          <cell r="F4927">
            <v>0</v>
          </cell>
        </row>
        <row r="4928">
          <cell r="B4928">
            <v>40039986</v>
          </cell>
          <cell r="C4928" t="str">
            <v>KS20's Ribbed MRP 200_chng artworkP1440</v>
          </cell>
          <cell r="D4928">
            <v>0</v>
          </cell>
          <cell r="E4928">
            <v>0</v>
          </cell>
          <cell r="F4928">
            <v>0</v>
          </cell>
        </row>
        <row r="4929">
          <cell r="B4929">
            <v>40042156</v>
          </cell>
          <cell r="C4929" t="str">
            <v>KS20'S RIBBED MRP 200P480</v>
          </cell>
          <cell r="D4929">
            <v>0</v>
          </cell>
          <cell r="E4929">
            <v>0</v>
          </cell>
          <cell r="F4929">
            <v>0</v>
          </cell>
        </row>
        <row r="4930">
          <cell r="B4930">
            <v>40039926</v>
          </cell>
          <cell r="C4930" t="str">
            <v>KS3's Ribbed Desir MRP 30P1440</v>
          </cell>
          <cell r="D4930">
            <v>0</v>
          </cell>
          <cell r="E4930">
            <v>0</v>
          </cell>
          <cell r="F4930">
            <v>0</v>
          </cell>
        </row>
        <row r="4931">
          <cell r="B4931">
            <v>40039984</v>
          </cell>
          <cell r="C4931" t="str">
            <v>KS3's Ribbed MRP 30_chng artworkP1440</v>
          </cell>
          <cell r="D4931">
            <v>0</v>
          </cell>
          <cell r="E4931">
            <v>0</v>
          </cell>
          <cell r="F4931">
            <v>0</v>
          </cell>
        </row>
        <row r="4932">
          <cell r="B4932">
            <v>40042150</v>
          </cell>
          <cell r="C4932" t="str">
            <v>KS3'S RIBBED MRP 30P480</v>
          </cell>
          <cell r="D4932">
            <v>0</v>
          </cell>
          <cell r="E4932">
            <v>0</v>
          </cell>
          <cell r="F4932">
            <v>0</v>
          </cell>
        </row>
        <row r="4933">
          <cell r="B4933">
            <v>40059256</v>
          </cell>
          <cell r="C4933" t="str">
            <v>KS3'S RIBBED M30 P1440 INCR</v>
          </cell>
          <cell r="D4933">
            <v>0</v>
          </cell>
          <cell r="E4933">
            <v>0</v>
          </cell>
          <cell r="F4933">
            <v>0</v>
          </cell>
        </row>
        <row r="4934">
          <cell r="B4934">
            <v>40039672</v>
          </cell>
          <cell r="C4934" t="str">
            <v>Sajan3's MRP 20/-RCCLP4320</v>
          </cell>
          <cell r="D4934">
            <v>0</v>
          </cell>
          <cell r="E4934">
            <v>0</v>
          </cell>
          <cell r="F4934">
            <v>0</v>
          </cell>
        </row>
        <row r="4935">
          <cell r="B4935">
            <v>40039727</v>
          </cell>
          <cell r="C4935" t="str">
            <v>KS10's SkinFEEL MRP 270P4320</v>
          </cell>
          <cell r="D4935">
            <v>0</v>
          </cell>
          <cell r="E4935">
            <v>0</v>
          </cell>
          <cell r="F4935">
            <v>0</v>
          </cell>
        </row>
        <row r="4936">
          <cell r="B4936">
            <v>40039756</v>
          </cell>
          <cell r="C4936" t="str">
            <v>KS10's Skyn FEEL MRP 270 MT &amp; E COMP1440</v>
          </cell>
          <cell r="D4936">
            <v>0</v>
          </cell>
          <cell r="E4936">
            <v>0</v>
          </cell>
          <cell r="F4936">
            <v>0</v>
          </cell>
        </row>
        <row r="4937">
          <cell r="B4937">
            <v>40039937</v>
          </cell>
          <cell r="C4937" t="str">
            <v>KS10's SkinFEEL MRP 270P1440</v>
          </cell>
          <cell r="D4937">
            <v>0</v>
          </cell>
          <cell r="E4937">
            <v>0</v>
          </cell>
          <cell r="F4937">
            <v>0</v>
          </cell>
        </row>
        <row r="4938">
          <cell r="B4938">
            <v>40042192</v>
          </cell>
          <cell r="C4938" t="str">
            <v>KS10'S SKINFEEL MRP 270P480</v>
          </cell>
          <cell r="D4938">
            <v>0</v>
          </cell>
          <cell r="E4938">
            <v>0</v>
          </cell>
          <cell r="F4938">
            <v>0</v>
          </cell>
        </row>
        <row r="4939">
          <cell r="B4939">
            <v>40059069</v>
          </cell>
          <cell r="C4939" t="str">
            <v>KS10'S SKINFEEL M180 P480 STKRD</v>
          </cell>
          <cell r="D4939">
            <v>0</v>
          </cell>
          <cell r="E4939">
            <v>0</v>
          </cell>
          <cell r="F4939">
            <v>0</v>
          </cell>
        </row>
        <row r="4940">
          <cell r="B4940">
            <v>40060324</v>
          </cell>
          <cell r="C4940" t="str">
            <v>KS10'S SKINFEEL M270.00P4320_LIQCH</v>
          </cell>
          <cell r="D4940">
            <v>0</v>
          </cell>
          <cell r="E4940">
            <v>0</v>
          </cell>
          <cell r="F4940">
            <v>0</v>
          </cell>
        </row>
        <row r="4941">
          <cell r="B4941">
            <v>40039726</v>
          </cell>
          <cell r="C4941" t="str">
            <v>KS3's SkinFEEL MRP 90P4320</v>
          </cell>
          <cell r="D4941">
            <v>0</v>
          </cell>
          <cell r="E4941">
            <v>0</v>
          </cell>
          <cell r="F4941">
            <v>0</v>
          </cell>
        </row>
        <row r="4942">
          <cell r="B4942">
            <v>40039807</v>
          </cell>
          <cell r="C4942" t="str">
            <v>KS3's Skin FEEL MRP 90 Ecom &amp; MTP864</v>
          </cell>
          <cell r="D4942">
            <v>0</v>
          </cell>
          <cell r="E4942">
            <v>0</v>
          </cell>
          <cell r="F4942">
            <v>0</v>
          </cell>
        </row>
        <row r="4943">
          <cell r="B4943">
            <v>40042190</v>
          </cell>
          <cell r="C4943" t="str">
            <v>KS3'S SKINFEEL MRP 90P480</v>
          </cell>
          <cell r="D4943">
            <v>0</v>
          </cell>
          <cell r="E4943">
            <v>0</v>
          </cell>
          <cell r="F4943">
            <v>0</v>
          </cell>
        </row>
        <row r="4944">
          <cell r="B4944">
            <v>40058613</v>
          </cell>
          <cell r="C4944" t="str">
            <v>KS3'S SKINFEEL M60 P480</v>
          </cell>
          <cell r="D4944">
            <v>0</v>
          </cell>
          <cell r="E4944">
            <v>0</v>
          </cell>
          <cell r="F4944">
            <v>0</v>
          </cell>
        </row>
        <row r="4945">
          <cell r="B4945">
            <v>40059068</v>
          </cell>
          <cell r="C4945" t="str">
            <v>KS3'S SKINFEEL M60 P480 STKRD</v>
          </cell>
          <cell r="D4945">
            <v>0</v>
          </cell>
          <cell r="E4945">
            <v>0</v>
          </cell>
          <cell r="F4945">
            <v>0</v>
          </cell>
        </row>
        <row r="4946">
          <cell r="B4946">
            <v>40060323</v>
          </cell>
          <cell r="C4946" t="str">
            <v>KS3'S SKINFEEL M90.00 P4320_LIQCH</v>
          </cell>
          <cell r="D4946">
            <v>0</v>
          </cell>
          <cell r="E4946">
            <v>0</v>
          </cell>
          <cell r="F4946">
            <v>0</v>
          </cell>
        </row>
        <row r="4947">
          <cell r="B4947">
            <v>40062526</v>
          </cell>
          <cell r="C4947" t="str">
            <v>KS3'S SKINFEEL M60 P1440 INCR NEWAW</v>
          </cell>
          <cell r="D4947">
            <v>0</v>
          </cell>
          <cell r="E4947">
            <v>0</v>
          </cell>
          <cell r="F4947">
            <v>0</v>
          </cell>
        </row>
        <row r="4948">
          <cell r="B4948">
            <v>40063779</v>
          </cell>
          <cell r="C4948" t="str">
            <v>KS3'S SKINFEEL M60P480 FK</v>
          </cell>
          <cell r="D4948">
            <v>0</v>
          </cell>
          <cell r="E4948">
            <v>0</v>
          </cell>
          <cell r="F4948">
            <v>0</v>
          </cell>
        </row>
        <row r="4949">
          <cell r="B4949">
            <v>40059500</v>
          </cell>
          <cell r="C4949" t="str">
            <v>KS10'S SKINFEEL CHOCO M180P480</v>
          </cell>
          <cell r="D4949">
            <v>0</v>
          </cell>
          <cell r="E4949">
            <v>0</v>
          </cell>
          <cell r="F4949">
            <v>0</v>
          </cell>
        </row>
        <row r="4950">
          <cell r="B4950">
            <v>40062338</v>
          </cell>
          <cell r="C4950" t="str">
            <v>KS10'S SKINFEEL CHOCO M180P480 NEWAW</v>
          </cell>
          <cell r="D4950">
            <v>0</v>
          </cell>
          <cell r="E4950">
            <v>0</v>
          </cell>
          <cell r="F4950">
            <v>0</v>
          </cell>
        </row>
        <row r="4951">
          <cell r="B4951">
            <v>40062337</v>
          </cell>
          <cell r="C4951" t="str">
            <v>KS3'S SKINFEEL CHOCO M60P1440 INCR NEWAW</v>
          </cell>
          <cell r="D4951">
            <v>0</v>
          </cell>
          <cell r="E4951">
            <v>0</v>
          </cell>
          <cell r="F4951">
            <v>0</v>
          </cell>
        </row>
        <row r="4952">
          <cell r="B4952">
            <v>40062313</v>
          </cell>
          <cell r="C4952" t="str">
            <v>KS10'S SKINFEEL STRAWBRY M180 P480 NEWAW</v>
          </cell>
          <cell r="D4952">
            <v>0</v>
          </cell>
          <cell r="E4952">
            <v>0</v>
          </cell>
          <cell r="F4952">
            <v>0</v>
          </cell>
        </row>
        <row r="4953">
          <cell r="B4953">
            <v>40059474</v>
          </cell>
          <cell r="C4953" t="str">
            <v>KS3'S SKINFEEL STRAWBRY M60 P1440 INCR</v>
          </cell>
          <cell r="D4953">
            <v>0</v>
          </cell>
          <cell r="E4953">
            <v>0</v>
          </cell>
          <cell r="F4953">
            <v>0</v>
          </cell>
        </row>
        <row r="4954">
          <cell r="B4954">
            <v>40062333</v>
          </cell>
          <cell r="C4954" t="str">
            <v>KS3S SKINFEEL STRWBRYM60P1440 INCR NEWAW</v>
          </cell>
          <cell r="D4954">
            <v>0</v>
          </cell>
          <cell r="E4954">
            <v>0</v>
          </cell>
          <cell r="F4954">
            <v>0</v>
          </cell>
        </row>
        <row r="4955">
          <cell r="B4955">
            <v>40039745</v>
          </cell>
          <cell r="C4955" t="str">
            <v>KS10's Strawberry Flv M80 MT&amp;ECOMP1440</v>
          </cell>
          <cell r="D4955">
            <v>0</v>
          </cell>
          <cell r="E4955">
            <v>0</v>
          </cell>
          <cell r="F4955">
            <v>0</v>
          </cell>
        </row>
        <row r="4956">
          <cell r="B4956">
            <v>40039956</v>
          </cell>
          <cell r="C4956" t="str">
            <v>KS10's Strawberry Flv MRP 100P1440</v>
          </cell>
          <cell r="D4956">
            <v>0</v>
          </cell>
          <cell r="E4956">
            <v>0</v>
          </cell>
          <cell r="F4956">
            <v>0</v>
          </cell>
        </row>
        <row r="4957">
          <cell r="B4957">
            <v>40042135</v>
          </cell>
          <cell r="C4957" t="str">
            <v>KS10'S STRAWBERRY FLV M100 P480</v>
          </cell>
          <cell r="D4957">
            <v>0</v>
          </cell>
          <cell r="E4957">
            <v>0</v>
          </cell>
          <cell r="F4957">
            <v>0</v>
          </cell>
        </row>
        <row r="4958">
          <cell r="B4958">
            <v>40039707</v>
          </cell>
          <cell r="C4958" t="str">
            <v>KS10's Strawberry Exotica MRP 100P4320</v>
          </cell>
          <cell r="D4958">
            <v>0</v>
          </cell>
          <cell r="E4958">
            <v>0</v>
          </cell>
          <cell r="F4958">
            <v>0</v>
          </cell>
        </row>
        <row r="4959">
          <cell r="B4959">
            <v>40039795</v>
          </cell>
          <cell r="C4959" t="str">
            <v>KS10's Strawberry Exotica MRP 120P4320</v>
          </cell>
          <cell r="D4959">
            <v>0</v>
          </cell>
          <cell r="E4959">
            <v>0</v>
          </cell>
          <cell r="F4959">
            <v>0</v>
          </cell>
        </row>
        <row r="4960">
          <cell r="B4960">
            <v>40041306</v>
          </cell>
          <cell r="C4960" t="str">
            <v>KS10's Strawberry 4 PLY MRP RS130 P1440</v>
          </cell>
          <cell r="D4960">
            <v>0</v>
          </cell>
          <cell r="E4960">
            <v>0</v>
          </cell>
          <cell r="F4960">
            <v>0</v>
          </cell>
        </row>
        <row r="4961">
          <cell r="B4961">
            <v>40041605</v>
          </cell>
          <cell r="C4961" t="str">
            <v>KS10's Strawberry Exotica M100 P4320</v>
          </cell>
          <cell r="D4961">
            <v>0</v>
          </cell>
          <cell r="E4961">
            <v>0</v>
          </cell>
          <cell r="F4961">
            <v>0</v>
          </cell>
        </row>
        <row r="4962">
          <cell r="B4962">
            <v>40058626</v>
          </cell>
          <cell r="C4962" t="str">
            <v>KS10'S STRAWBERRY FLV M120P480 SOUTH</v>
          </cell>
          <cell r="D4962">
            <v>0</v>
          </cell>
          <cell r="E4962">
            <v>0</v>
          </cell>
          <cell r="F4962">
            <v>0</v>
          </cell>
        </row>
        <row r="4963">
          <cell r="B4963">
            <v>40062331</v>
          </cell>
          <cell r="C4963" t="str">
            <v>KS10'S STRAWBERRYFLV M120P480SOUTH NEWAW</v>
          </cell>
          <cell r="D4963">
            <v>0</v>
          </cell>
          <cell r="E4963">
            <v>0</v>
          </cell>
          <cell r="F4963">
            <v>0</v>
          </cell>
        </row>
        <row r="4964">
          <cell r="B4964">
            <v>40039681</v>
          </cell>
          <cell r="C4964" t="str">
            <v>KS3's Strawberry Flv MRP 25P4320</v>
          </cell>
          <cell r="D4964">
            <v>0</v>
          </cell>
          <cell r="E4964">
            <v>0</v>
          </cell>
          <cell r="F4964">
            <v>0</v>
          </cell>
        </row>
        <row r="4965">
          <cell r="B4965">
            <v>40039769</v>
          </cell>
          <cell r="C4965" t="str">
            <v>KS3's Strawberry Flv  MRP 30P4320</v>
          </cell>
          <cell r="D4965">
            <v>0</v>
          </cell>
          <cell r="E4965">
            <v>0</v>
          </cell>
          <cell r="F4965">
            <v>0</v>
          </cell>
        </row>
        <row r="4966">
          <cell r="B4966">
            <v>40039803</v>
          </cell>
          <cell r="C4966" t="str">
            <v>KS3's Strawberry MRP 30 Ecom &amp; MTP1440</v>
          </cell>
          <cell r="D4966">
            <v>0</v>
          </cell>
          <cell r="E4966">
            <v>0</v>
          </cell>
          <cell r="F4966">
            <v>0</v>
          </cell>
        </row>
        <row r="4967">
          <cell r="B4967">
            <v>40039943</v>
          </cell>
          <cell r="C4967" t="str">
            <v>KS3's Strawberry Flv  MRP 30P1440</v>
          </cell>
          <cell r="D4967">
            <v>0</v>
          </cell>
          <cell r="E4967">
            <v>0</v>
          </cell>
          <cell r="F4967">
            <v>0</v>
          </cell>
        </row>
        <row r="4968">
          <cell r="B4968">
            <v>40039789</v>
          </cell>
          <cell r="C4968" t="str">
            <v>KS3's Strawberry Exotica MRP 35P4320</v>
          </cell>
          <cell r="D4968">
            <v>0</v>
          </cell>
          <cell r="E4968">
            <v>0</v>
          </cell>
          <cell r="F4968">
            <v>0</v>
          </cell>
        </row>
        <row r="4969">
          <cell r="B4969">
            <v>40039826</v>
          </cell>
          <cell r="C4969" t="str">
            <v>KS3's StrawberryExotica M35 ECOM&amp;MTP1440</v>
          </cell>
          <cell r="D4969">
            <v>0</v>
          </cell>
          <cell r="E4969">
            <v>0</v>
          </cell>
          <cell r="F4969">
            <v>0</v>
          </cell>
        </row>
        <row r="4970">
          <cell r="B4970">
            <v>40041606</v>
          </cell>
          <cell r="C4970" t="str">
            <v>KS3's Strawberry Exotica M30 P4320</v>
          </cell>
          <cell r="D4970">
            <v>0</v>
          </cell>
          <cell r="E4970">
            <v>0</v>
          </cell>
          <cell r="F4970">
            <v>0</v>
          </cell>
        </row>
        <row r="4971">
          <cell r="B4971">
            <v>40058529</v>
          </cell>
          <cell r="C4971" t="str">
            <v>KS3'S STRAWBERRY FLV M40 P480 SOUTH</v>
          </cell>
          <cell r="D4971">
            <v>0</v>
          </cell>
          <cell r="E4971">
            <v>0</v>
          </cell>
          <cell r="F4971">
            <v>0</v>
          </cell>
        </row>
        <row r="4972">
          <cell r="B4972">
            <v>40062342</v>
          </cell>
          <cell r="C4972" t="str">
            <v>KS3'S STRWBERRY M40P1440 SOUTHINCR NEWAW</v>
          </cell>
          <cell r="D4972">
            <v>0</v>
          </cell>
          <cell r="E4972">
            <v>0</v>
          </cell>
          <cell r="F4972">
            <v>0</v>
          </cell>
        </row>
        <row r="4973">
          <cell r="B4973">
            <v>40039980</v>
          </cell>
          <cell r="C4973" t="str">
            <v>KS3's Superthin Strawberry MRP 50P1440</v>
          </cell>
          <cell r="D4973">
            <v>0</v>
          </cell>
          <cell r="E4973">
            <v>0</v>
          </cell>
          <cell r="F4973">
            <v>0</v>
          </cell>
        </row>
        <row r="4974">
          <cell r="B4974">
            <v>40039820</v>
          </cell>
          <cell r="C4974" t="str">
            <v>KS10s Superthin Strawberry MRP 150P4320</v>
          </cell>
          <cell r="D4974">
            <v>0</v>
          </cell>
          <cell r="E4974">
            <v>0</v>
          </cell>
          <cell r="F4974">
            <v>0</v>
          </cell>
        </row>
        <row r="4975">
          <cell r="B4975">
            <v>40039841</v>
          </cell>
          <cell r="C4975" t="str">
            <v>KS10's Strawberry pleasure MRP 150P1440</v>
          </cell>
          <cell r="D4975">
            <v>0</v>
          </cell>
          <cell r="E4975">
            <v>0</v>
          </cell>
          <cell r="F4975">
            <v>0</v>
          </cell>
        </row>
        <row r="4976">
          <cell r="B4976">
            <v>40039982</v>
          </cell>
          <cell r="C4976" t="str">
            <v>KS10's Superthin Strawberry MRP 150P1440</v>
          </cell>
          <cell r="D4976">
            <v>0</v>
          </cell>
          <cell r="E4976">
            <v>0</v>
          </cell>
          <cell r="F4976">
            <v>0</v>
          </cell>
        </row>
        <row r="4977">
          <cell r="B4977">
            <v>40039814</v>
          </cell>
          <cell r="C4977" t="str">
            <v>KS12's Superthin  M150_Chng ArtworkP1440</v>
          </cell>
          <cell r="D4977">
            <v>0</v>
          </cell>
          <cell r="E4977">
            <v>0</v>
          </cell>
          <cell r="F4977">
            <v>0</v>
          </cell>
        </row>
        <row r="4978">
          <cell r="B4978">
            <v>40042198</v>
          </cell>
          <cell r="C4978" t="str">
            <v>KS12'S SUPERTHIN M150 P480</v>
          </cell>
          <cell r="D4978">
            <v>0</v>
          </cell>
          <cell r="E4978">
            <v>0</v>
          </cell>
          <cell r="F4978">
            <v>0</v>
          </cell>
        </row>
        <row r="4979">
          <cell r="B4979">
            <v>40039815</v>
          </cell>
          <cell r="C4979" t="str">
            <v>KS20's Superthin M250_Chng Art workP4320</v>
          </cell>
          <cell r="D4979">
            <v>0</v>
          </cell>
          <cell r="E4979">
            <v>0</v>
          </cell>
          <cell r="F4979">
            <v>0</v>
          </cell>
        </row>
        <row r="4980">
          <cell r="B4980">
            <v>40039978</v>
          </cell>
          <cell r="C4980" t="str">
            <v>KS20's SuperthinPleaM250ChngArtworkP1440</v>
          </cell>
          <cell r="D4980">
            <v>0</v>
          </cell>
          <cell r="E4980">
            <v>0</v>
          </cell>
          <cell r="F4980">
            <v>0</v>
          </cell>
        </row>
        <row r="4981">
          <cell r="B4981">
            <v>40039653</v>
          </cell>
          <cell r="C4981" t="str">
            <v>KS3's Superthin Pleas MRP 45P4320</v>
          </cell>
          <cell r="D4981">
            <v>0</v>
          </cell>
          <cell r="E4981">
            <v>0</v>
          </cell>
          <cell r="F4981">
            <v>0</v>
          </cell>
        </row>
        <row r="4982">
          <cell r="B4982">
            <v>40039718</v>
          </cell>
          <cell r="C4982" t="str">
            <v>KS3's SuperthinPleas M45_chngsbQtyP4320</v>
          </cell>
          <cell r="D4982">
            <v>0</v>
          </cell>
          <cell r="E4982">
            <v>0</v>
          </cell>
          <cell r="F4982">
            <v>0</v>
          </cell>
        </row>
        <row r="4983">
          <cell r="B4983">
            <v>40039813</v>
          </cell>
          <cell r="C4983" t="str">
            <v>KS3's Superthin M 50_Chng Art workP4320</v>
          </cell>
          <cell r="D4983">
            <v>0</v>
          </cell>
          <cell r="E4983">
            <v>0</v>
          </cell>
          <cell r="F4983">
            <v>0</v>
          </cell>
        </row>
        <row r="4984">
          <cell r="B4984">
            <v>40039976</v>
          </cell>
          <cell r="C4984" t="str">
            <v>KS3's SuperthinPleas M50ChngArtworkP1440</v>
          </cell>
          <cell r="D4984">
            <v>0</v>
          </cell>
          <cell r="E4984">
            <v>0</v>
          </cell>
          <cell r="F4984">
            <v>0</v>
          </cell>
        </row>
        <row r="4985">
          <cell r="B4985">
            <v>40042182</v>
          </cell>
          <cell r="C4985" t="str">
            <v>KS3'S SUPERTHINPLEAS MRP 50P480</v>
          </cell>
          <cell r="D4985">
            <v>0</v>
          </cell>
          <cell r="E4985">
            <v>0</v>
          </cell>
          <cell r="F4985">
            <v>0</v>
          </cell>
        </row>
        <row r="4986">
          <cell r="B4986">
            <v>40050282</v>
          </cell>
          <cell r="C4986" t="str">
            <v>KS3'S SUPERTHINPLEAS M60P480</v>
          </cell>
          <cell r="D4986">
            <v>0</v>
          </cell>
          <cell r="E4986">
            <v>0</v>
          </cell>
          <cell r="F4986">
            <v>0</v>
          </cell>
        </row>
        <row r="4987">
          <cell r="B4987">
            <v>40039839</v>
          </cell>
          <cell r="C4987" t="str">
            <v>KS20's Ultra Dotted MRP 340P1440</v>
          </cell>
          <cell r="D4987">
            <v>0</v>
          </cell>
          <cell r="E4987">
            <v>0</v>
          </cell>
          <cell r="F4987">
            <v>0</v>
          </cell>
        </row>
        <row r="4988">
          <cell r="B4988">
            <v>40042149</v>
          </cell>
          <cell r="C4988" t="str">
            <v>KS20'S ULTRA DOTTED MRP 340P480</v>
          </cell>
          <cell r="D4988">
            <v>0</v>
          </cell>
          <cell r="E4988">
            <v>0</v>
          </cell>
          <cell r="F4988">
            <v>0</v>
          </cell>
        </row>
        <row r="4989">
          <cell r="B4989">
            <v>40039844</v>
          </cell>
          <cell r="C4989" t="str">
            <v>KS20's Ultra Delay MRP 340P1440</v>
          </cell>
          <cell r="D4989">
            <v>0</v>
          </cell>
          <cell r="E4989">
            <v>0</v>
          </cell>
          <cell r="F4989">
            <v>0</v>
          </cell>
        </row>
        <row r="4990">
          <cell r="B4990">
            <v>40042129</v>
          </cell>
          <cell r="C4990" t="str">
            <v>KS20'S ULTRA DELAY MRP 340P480</v>
          </cell>
          <cell r="D4990">
            <v>0</v>
          </cell>
          <cell r="E4990">
            <v>0</v>
          </cell>
          <cell r="F4990">
            <v>0</v>
          </cell>
        </row>
        <row r="4991">
          <cell r="B4991">
            <v>40050283</v>
          </cell>
          <cell r="C4991" t="str">
            <v>KS20'S ULTRA DELAY M400P480</v>
          </cell>
          <cell r="D4991">
            <v>0</v>
          </cell>
          <cell r="E4991">
            <v>0</v>
          </cell>
          <cell r="F4991">
            <v>0</v>
          </cell>
        </row>
        <row r="4992">
          <cell r="B4992">
            <v>40039840</v>
          </cell>
          <cell r="C4992" t="str">
            <v>KS20's Ultra Slim MRP 340P1440</v>
          </cell>
          <cell r="D4992">
            <v>0</v>
          </cell>
          <cell r="E4992">
            <v>0</v>
          </cell>
          <cell r="F4992">
            <v>0</v>
          </cell>
        </row>
        <row r="4993">
          <cell r="B4993">
            <v>40039843</v>
          </cell>
          <cell r="C4993" t="str">
            <v>KS10's Ultrathin plus M250P1440</v>
          </cell>
          <cell r="D4993">
            <v>0</v>
          </cell>
          <cell r="E4993">
            <v>0</v>
          </cell>
          <cell r="F4993">
            <v>0</v>
          </cell>
        </row>
        <row r="4994">
          <cell r="B4994">
            <v>40039713</v>
          </cell>
          <cell r="C4994" t="str">
            <v>KS12's Ultrathin MRP 240P4320</v>
          </cell>
          <cell r="D4994">
            <v>0</v>
          </cell>
          <cell r="E4994">
            <v>0</v>
          </cell>
          <cell r="F4994">
            <v>0</v>
          </cell>
        </row>
        <row r="4995">
          <cell r="B4995">
            <v>40039817</v>
          </cell>
          <cell r="C4995" t="str">
            <v>KS12's Ultrathin MRP 250P4320</v>
          </cell>
          <cell r="D4995">
            <v>0</v>
          </cell>
          <cell r="E4995">
            <v>0</v>
          </cell>
          <cell r="F4995">
            <v>0</v>
          </cell>
        </row>
        <row r="4996">
          <cell r="B4996">
            <v>40039831</v>
          </cell>
          <cell r="C4996" t="str">
            <v>KS12's Ultrathin MRP 250 ECOM &amp; MTP1440</v>
          </cell>
          <cell r="D4996">
            <v>0</v>
          </cell>
          <cell r="E4996">
            <v>0</v>
          </cell>
          <cell r="F4996">
            <v>0</v>
          </cell>
        </row>
        <row r="4997">
          <cell r="B4997">
            <v>40039816</v>
          </cell>
          <cell r="C4997" t="str">
            <v>KS3's Ultrathin MRP 65P4320</v>
          </cell>
          <cell r="D4997">
            <v>0</v>
          </cell>
          <cell r="E4997">
            <v>0</v>
          </cell>
          <cell r="F4997">
            <v>0</v>
          </cell>
        </row>
        <row r="4998">
          <cell r="B4998">
            <v>40060332</v>
          </cell>
          <cell r="C4998" t="str">
            <v>KS3'S ULTRATHIN M65P4320_LIQCH</v>
          </cell>
          <cell r="D4998">
            <v>0</v>
          </cell>
          <cell r="E4998">
            <v>0</v>
          </cell>
          <cell r="F4998">
            <v>0</v>
          </cell>
        </row>
        <row r="4999">
          <cell r="B4999">
            <v>40039712</v>
          </cell>
          <cell r="C4999" t="str">
            <v>KS6's Ultrathin  MRP 120P4320</v>
          </cell>
          <cell r="D4999">
            <v>0</v>
          </cell>
          <cell r="E4999">
            <v>0</v>
          </cell>
          <cell r="F4999">
            <v>0</v>
          </cell>
        </row>
        <row r="5000">
          <cell r="B5000">
            <v>40039797</v>
          </cell>
          <cell r="C5000" t="str">
            <v>KS10's Vanilla Exotica MRP 120P4320</v>
          </cell>
          <cell r="D5000">
            <v>0</v>
          </cell>
          <cell r="E5000">
            <v>0</v>
          </cell>
          <cell r="F5000">
            <v>0</v>
          </cell>
        </row>
        <row r="5001">
          <cell r="B5001">
            <v>40056808</v>
          </cell>
          <cell r="C5001" t="str">
            <v>KS10'S VANILLA EXOTICA PO10 M100P480</v>
          </cell>
          <cell r="D5001">
            <v>0</v>
          </cell>
          <cell r="E5001">
            <v>0</v>
          </cell>
          <cell r="F5001">
            <v>0</v>
          </cell>
        </row>
        <row r="5002">
          <cell r="B5002">
            <v>40060329</v>
          </cell>
          <cell r="C5002" t="str">
            <v>KS10'S VANILLA FLV M100.00P1440_LIQCH</v>
          </cell>
          <cell r="D5002">
            <v>0</v>
          </cell>
          <cell r="E5002">
            <v>0</v>
          </cell>
          <cell r="F5002">
            <v>0</v>
          </cell>
        </row>
        <row r="5003">
          <cell r="B5003">
            <v>40058538</v>
          </cell>
          <cell r="C5003" t="str">
            <v>KS10'S VANILLA EXOTICA M120 P480 SOUTH</v>
          </cell>
          <cell r="D5003">
            <v>0</v>
          </cell>
          <cell r="E5003">
            <v>0</v>
          </cell>
          <cell r="F5003">
            <v>0</v>
          </cell>
        </row>
        <row r="5004">
          <cell r="B5004">
            <v>40039771</v>
          </cell>
          <cell r="C5004" t="str">
            <v>KS3's Vanilla Flv MRP 30P4320</v>
          </cell>
          <cell r="D5004">
            <v>0</v>
          </cell>
          <cell r="E5004">
            <v>0</v>
          </cell>
          <cell r="F5004">
            <v>0</v>
          </cell>
        </row>
        <row r="5005">
          <cell r="B5005">
            <v>40039791</v>
          </cell>
          <cell r="C5005" t="str">
            <v>KS3's Vanilla Exotica MRP 35P4320</v>
          </cell>
          <cell r="D5005">
            <v>0</v>
          </cell>
          <cell r="E5005">
            <v>0</v>
          </cell>
          <cell r="F5005">
            <v>0</v>
          </cell>
        </row>
        <row r="5006">
          <cell r="B5006">
            <v>40056804</v>
          </cell>
          <cell r="C5006" t="str">
            <v>KS3'S VANILLA EXOTICA PO3 M30 P480</v>
          </cell>
          <cell r="D5006">
            <v>0</v>
          </cell>
          <cell r="E5006">
            <v>0</v>
          </cell>
          <cell r="F5006">
            <v>0</v>
          </cell>
        </row>
        <row r="5007">
          <cell r="B5007">
            <v>40059496</v>
          </cell>
          <cell r="C5007" t="str">
            <v>KS3'S VANILLA EXOTICA PO3 M30 P1440 INCR</v>
          </cell>
          <cell r="D5007">
            <v>0</v>
          </cell>
          <cell r="E5007">
            <v>0</v>
          </cell>
          <cell r="F5007">
            <v>0</v>
          </cell>
        </row>
        <row r="5008">
          <cell r="B5008">
            <v>40060333</v>
          </cell>
          <cell r="C5008" t="str">
            <v>KS3'S VANILLA FLV M30P4320_LIQCH</v>
          </cell>
          <cell r="D5008">
            <v>0</v>
          </cell>
          <cell r="E5008">
            <v>0</v>
          </cell>
          <cell r="F5008">
            <v>0</v>
          </cell>
        </row>
        <row r="5009">
          <cell r="B5009">
            <v>40058530</v>
          </cell>
          <cell r="C5009" t="str">
            <v>KS3'S VANILLA EXOTICA M40P480 SOUTH</v>
          </cell>
          <cell r="D5009">
            <v>0</v>
          </cell>
          <cell r="E5009">
            <v>0</v>
          </cell>
          <cell r="F5009">
            <v>0</v>
          </cell>
        </row>
        <row r="5010">
          <cell r="B5010">
            <v>40059495</v>
          </cell>
          <cell r="C5010" t="str">
            <v>KS3'S VANILLA M40 P1440 SOUTH INCR</v>
          </cell>
          <cell r="D5010">
            <v>0</v>
          </cell>
          <cell r="E5010">
            <v>0</v>
          </cell>
          <cell r="F5010">
            <v>0</v>
          </cell>
        </row>
        <row r="5011">
          <cell r="B5011">
            <v>40039722</v>
          </cell>
          <cell r="C5011" t="str">
            <v>KS12's Wet N Wild  M140_common sbP4320</v>
          </cell>
          <cell r="D5011">
            <v>0</v>
          </cell>
          <cell r="E5011">
            <v>0</v>
          </cell>
          <cell r="F5011">
            <v>0</v>
          </cell>
        </row>
        <row r="5012">
          <cell r="B5012">
            <v>40039753</v>
          </cell>
          <cell r="C5012" t="str">
            <v>KS12's Wet N Wild  M 140 MT &amp; E COMP1440</v>
          </cell>
          <cell r="D5012">
            <v>0</v>
          </cell>
          <cell r="E5012">
            <v>0</v>
          </cell>
          <cell r="F5012">
            <v>0</v>
          </cell>
        </row>
        <row r="5013">
          <cell r="B5013">
            <v>40041028</v>
          </cell>
          <cell r="C5013" t="str">
            <v>KSAloe &amp;Vit.E Lube50 ml M299/-chngArtP24</v>
          </cell>
          <cell r="D5013">
            <v>0</v>
          </cell>
          <cell r="E5013">
            <v>0</v>
          </cell>
          <cell r="F5013">
            <v>0</v>
          </cell>
        </row>
        <row r="5014">
          <cell r="B5014">
            <v>40042745</v>
          </cell>
          <cell r="C5014" t="str">
            <v>KS LUBE ALOE &amp; VIT.E 50ML M299 P24</v>
          </cell>
          <cell r="D5014">
            <v>0</v>
          </cell>
          <cell r="E5014">
            <v>0</v>
          </cell>
          <cell r="F5014">
            <v>0</v>
          </cell>
        </row>
        <row r="5015">
          <cell r="B5015">
            <v>40039999</v>
          </cell>
          <cell r="C5015" t="str">
            <v>KS Strawberry LubeÂ  50 ml MRP 250/-P24</v>
          </cell>
          <cell r="D5015">
            <v>0</v>
          </cell>
          <cell r="E5015">
            <v>0</v>
          </cell>
          <cell r="F5015">
            <v>0</v>
          </cell>
        </row>
        <row r="5016">
          <cell r="B5016">
            <v>40041027</v>
          </cell>
          <cell r="C5016" t="str">
            <v>KSStrawberry Lube50 ml M299/-chng ArtP24</v>
          </cell>
          <cell r="D5016">
            <v>0</v>
          </cell>
          <cell r="E5016">
            <v>0</v>
          </cell>
          <cell r="F5016">
            <v>0</v>
          </cell>
        </row>
        <row r="5017">
          <cell r="B5017">
            <v>40063163</v>
          </cell>
          <cell r="C5017" t="str">
            <v>KS10'S BANANA FLV P480 MRP160-NPL</v>
          </cell>
          <cell r="D5017">
            <v>0</v>
          </cell>
          <cell r="E5017">
            <v>0</v>
          </cell>
          <cell r="F5017">
            <v>0</v>
          </cell>
        </row>
        <row r="5018">
          <cell r="B5018">
            <v>40043514</v>
          </cell>
          <cell r="C5018" t="str">
            <v>KS3's Banana B/P RegP2160-GGME</v>
          </cell>
          <cell r="D5018">
            <v>0</v>
          </cell>
          <cell r="E5018">
            <v>0</v>
          </cell>
          <cell r="F5018">
            <v>0</v>
          </cell>
        </row>
        <row r="5019">
          <cell r="B5019">
            <v>40043536</v>
          </cell>
          <cell r="C5019" t="str">
            <v>KS3's Black currant B/P Reg P2160-GGME</v>
          </cell>
          <cell r="D5019">
            <v>0</v>
          </cell>
          <cell r="E5019">
            <v>0</v>
          </cell>
          <cell r="F5019">
            <v>0</v>
          </cell>
        </row>
        <row r="5020">
          <cell r="B5020">
            <v>40063160</v>
          </cell>
          <cell r="C5020" t="str">
            <v>KS10'S CHOCOLATE FLV P480 MRP160-NPL</v>
          </cell>
          <cell r="D5020">
            <v>0</v>
          </cell>
          <cell r="E5020">
            <v>0</v>
          </cell>
          <cell r="F5020">
            <v>0</v>
          </cell>
        </row>
        <row r="5021">
          <cell r="B5021">
            <v>40043498</v>
          </cell>
          <cell r="C5021" t="str">
            <v>KS3's Chocolate B/P RegP2160-GGME</v>
          </cell>
          <cell r="D5021">
            <v>0</v>
          </cell>
          <cell r="E5021">
            <v>0</v>
          </cell>
          <cell r="F5021">
            <v>0</v>
          </cell>
        </row>
        <row r="5022">
          <cell r="B5022">
            <v>40064589</v>
          </cell>
          <cell r="C5022" t="str">
            <v>KS3SCHOCOLTEFLV M30P1440 INCRSD NEWAW BD</v>
          </cell>
          <cell r="D5022">
            <v>0</v>
          </cell>
          <cell r="E5022">
            <v>0</v>
          </cell>
          <cell r="F5022">
            <v>0</v>
          </cell>
        </row>
        <row r="5023">
          <cell r="B5023">
            <v>40043529</v>
          </cell>
          <cell r="C5023" t="str">
            <v>KS3's Chill Thrill B/P RegP2160-GGME</v>
          </cell>
          <cell r="D5023">
            <v>0</v>
          </cell>
          <cell r="E5023">
            <v>0</v>
          </cell>
          <cell r="F5023">
            <v>0</v>
          </cell>
        </row>
        <row r="5024">
          <cell r="B5024">
            <v>40064948</v>
          </cell>
          <cell r="C5024" t="str">
            <v>KS10'S DOTTED RS160 P480 NEWAW  NPL</v>
          </cell>
          <cell r="D5024">
            <v>0</v>
          </cell>
          <cell r="E5024">
            <v>0</v>
          </cell>
          <cell r="F5024">
            <v>0</v>
          </cell>
        </row>
        <row r="5025">
          <cell r="B5025">
            <v>40042683</v>
          </cell>
          <cell r="C5025" t="str">
            <v>KS3's Dotted P480 W/O MRP-NPL</v>
          </cell>
          <cell r="D5025">
            <v>0</v>
          </cell>
          <cell r="E5025">
            <v>0</v>
          </cell>
          <cell r="F5025">
            <v>0</v>
          </cell>
        </row>
        <row r="5026">
          <cell r="B5026">
            <v>40062592</v>
          </cell>
          <cell r="C5026" t="str">
            <v>KS3'S DOTTED M49 P1440 INCR NEPAL</v>
          </cell>
          <cell r="D5026">
            <v>0</v>
          </cell>
          <cell r="E5026">
            <v>0</v>
          </cell>
          <cell r="F5026">
            <v>0</v>
          </cell>
        </row>
        <row r="5027">
          <cell r="B5027">
            <v>40064586</v>
          </cell>
          <cell r="C5027" t="str">
            <v>KS3'S DOTTED M30 P1440 INCR NEWAW BD</v>
          </cell>
          <cell r="D5027">
            <v>0</v>
          </cell>
          <cell r="E5027">
            <v>0</v>
          </cell>
          <cell r="F5027">
            <v>0</v>
          </cell>
        </row>
        <row r="5028">
          <cell r="B5028">
            <v>40064949</v>
          </cell>
          <cell r="C5028" t="str">
            <v>KS10'S LONGLASTPLEA RS200 P480 NEWAW NPL</v>
          </cell>
          <cell r="D5028">
            <v>0</v>
          </cell>
          <cell r="E5028">
            <v>0</v>
          </cell>
          <cell r="F5028">
            <v>0</v>
          </cell>
        </row>
        <row r="5029">
          <cell r="B5029">
            <v>40043690</v>
          </cell>
          <cell r="C5029" t="str">
            <v>KS12'S LONGLASTPLEA M150P480 BD</v>
          </cell>
          <cell r="D5029">
            <v>0</v>
          </cell>
          <cell r="E5029">
            <v>0</v>
          </cell>
          <cell r="F5029">
            <v>0</v>
          </cell>
        </row>
        <row r="5030">
          <cell r="B5030">
            <v>40063151</v>
          </cell>
          <cell r="C5030" t="str">
            <v>KS20'S DOTTED P480 MRP325 NEPAL</v>
          </cell>
          <cell r="D5030">
            <v>0</v>
          </cell>
          <cell r="E5030">
            <v>0</v>
          </cell>
          <cell r="F5030">
            <v>0</v>
          </cell>
        </row>
        <row r="5031">
          <cell r="B5031">
            <v>40063159</v>
          </cell>
          <cell r="C5031" t="str">
            <v>KS20'S LONGLAST PLEAS P480 MRP400 NEPAL</v>
          </cell>
          <cell r="D5031">
            <v>0</v>
          </cell>
          <cell r="E5031">
            <v>0</v>
          </cell>
          <cell r="F5031">
            <v>0</v>
          </cell>
        </row>
        <row r="5032">
          <cell r="B5032">
            <v>40043705</v>
          </cell>
          <cell r="C5032" t="str">
            <v>KS3'S LONGLAST PLEA M50P480 BD</v>
          </cell>
          <cell r="D5032">
            <v>0</v>
          </cell>
          <cell r="E5032">
            <v>0</v>
          </cell>
          <cell r="F5032">
            <v>0</v>
          </cell>
        </row>
        <row r="5033">
          <cell r="B5033">
            <v>40057514</v>
          </cell>
          <cell r="C5033" t="str">
            <v>KS3'S MANGO FLV P480 W/O MRP-NPL</v>
          </cell>
          <cell r="D5033">
            <v>0</v>
          </cell>
          <cell r="E5033">
            <v>0</v>
          </cell>
          <cell r="F5033">
            <v>0</v>
          </cell>
        </row>
        <row r="5034">
          <cell r="B5034">
            <v>40050383</v>
          </cell>
          <cell r="C5034" t="str">
            <v>KS3'S MUTUAL ORGASMAX MRP 0.00 P480NEPAL</v>
          </cell>
          <cell r="D5034">
            <v>0</v>
          </cell>
          <cell r="E5034">
            <v>0</v>
          </cell>
          <cell r="F5034">
            <v>0</v>
          </cell>
        </row>
        <row r="5035">
          <cell r="B5035">
            <v>40043527</v>
          </cell>
          <cell r="C5035" t="str">
            <v>KS3's Plain B/P  RegularP2160-GGME</v>
          </cell>
          <cell r="D5035">
            <v>0</v>
          </cell>
          <cell r="E5035">
            <v>0</v>
          </cell>
          <cell r="F5035">
            <v>0</v>
          </cell>
        </row>
        <row r="5036">
          <cell r="B5036">
            <v>40059105</v>
          </cell>
          <cell r="C5036" t="str">
            <v>KS HONEYMOON SURPRISE KIT P8-NEWAW NEPAL</v>
          </cell>
          <cell r="D5036">
            <v>0</v>
          </cell>
          <cell r="E5036">
            <v>0</v>
          </cell>
          <cell r="F5036">
            <v>0</v>
          </cell>
        </row>
        <row r="5037">
          <cell r="B5037">
            <v>40063511</v>
          </cell>
          <cell r="C5037" t="str">
            <v>KS12'S RIBBEDP480 MRP 189 NEPAL</v>
          </cell>
          <cell r="D5037">
            <v>0</v>
          </cell>
          <cell r="E5037">
            <v>0</v>
          </cell>
          <cell r="F5037">
            <v>0</v>
          </cell>
        </row>
        <row r="5038">
          <cell r="B5038">
            <v>40043964</v>
          </cell>
          <cell r="C5038" t="str">
            <v>KS20'S RIBBED P480 W/O MRP NEPAL</v>
          </cell>
          <cell r="D5038">
            <v>0</v>
          </cell>
          <cell r="E5038">
            <v>0</v>
          </cell>
          <cell r="F5038">
            <v>0</v>
          </cell>
        </row>
        <row r="5039">
          <cell r="B5039">
            <v>40063165</v>
          </cell>
          <cell r="C5039" t="str">
            <v>KS20'S RIBBED P480 MRP325 NEPAL</v>
          </cell>
          <cell r="D5039">
            <v>0</v>
          </cell>
          <cell r="E5039">
            <v>0</v>
          </cell>
          <cell r="F5039">
            <v>0</v>
          </cell>
        </row>
        <row r="5040">
          <cell r="B5040">
            <v>40062589</v>
          </cell>
          <cell r="C5040" t="str">
            <v>KS3'S RIBBED M49 P1440 INCR NEPAL</v>
          </cell>
          <cell r="D5040">
            <v>0</v>
          </cell>
          <cell r="E5040">
            <v>0</v>
          </cell>
          <cell r="F5040">
            <v>0</v>
          </cell>
        </row>
        <row r="5041">
          <cell r="B5041">
            <v>40063145</v>
          </cell>
          <cell r="C5041" t="str">
            <v>KS3'S RIBBED P480 MRP49 -NEPAL</v>
          </cell>
          <cell r="D5041">
            <v>0</v>
          </cell>
          <cell r="E5041">
            <v>0</v>
          </cell>
          <cell r="F5041">
            <v>0</v>
          </cell>
        </row>
        <row r="5042">
          <cell r="B5042">
            <v>40043960</v>
          </cell>
          <cell r="C5042" t="str">
            <v>KS10'S SKINFEELP480 W/O MRP NEPAL</v>
          </cell>
          <cell r="D5042">
            <v>0</v>
          </cell>
          <cell r="E5042">
            <v>0</v>
          </cell>
          <cell r="F5042">
            <v>0</v>
          </cell>
        </row>
        <row r="5043">
          <cell r="B5043">
            <v>40063158</v>
          </cell>
          <cell r="C5043" t="str">
            <v>KS10'S SKINFEELP480 MRP259 NEPAL</v>
          </cell>
          <cell r="D5043">
            <v>0</v>
          </cell>
          <cell r="E5043">
            <v>0</v>
          </cell>
          <cell r="F5043">
            <v>0</v>
          </cell>
        </row>
        <row r="5044">
          <cell r="B5044">
            <v>40062588</v>
          </cell>
          <cell r="C5044" t="str">
            <v>KS3'S SKINFEEL M95 P1440 INCR NEPAL</v>
          </cell>
          <cell r="D5044">
            <v>0</v>
          </cell>
          <cell r="E5044">
            <v>0</v>
          </cell>
          <cell r="F5044">
            <v>0</v>
          </cell>
        </row>
        <row r="5045">
          <cell r="B5045">
            <v>40063304</v>
          </cell>
          <cell r="C5045" t="str">
            <v>KS3'S SKINFEEL P480 MRP95 NEPAL</v>
          </cell>
          <cell r="D5045">
            <v>0</v>
          </cell>
          <cell r="E5045">
            <v>0</v>
          </cell>
          <cell r="F5045">
            <v>0</v>
          </cell>
        </row>
        <row r="5046">
          <cell r="B5046">
            <v>40042688</v>
          </cell>
          <cell r="C5046" t="str">
            <v>KS3's Strawberry Flv P480 W/O MRP-NPL</v>
          </cell>
          <cell r="D5046">
            <v>0</v>
          </cell>
          <cell r="E5046">
            <v>0</v>
          </cell>
          <cell r="F5046">
            <v>0</v>
          </cell>
        </row>
        <row r="5047">
          <cell r="B5047">
            <v>40043674</v>
          </cell>
          <cell r="C5047" t="str">
            <v>KS3'S STRAWBERRY FLV MRP 30P480 BD</v>
          </cell>
          <cell r="D5047">
            <v>0</v>
          </cell>
          <cell r="E5047">
            <v>0</v>
          </cell>
          <cell r="F5047">
            <v>0</v>
          </cell>
        </row>
        <row r="5048">
          <cell r="B5048">
            <v>40062587</v>
          </cell>
          <cell r="C5048" t="str">
            <v>KS3'S STRAWBRRY FLV M49 P1440 INCR NEPAL</v>
          </cell>
          <cell r="D5048">
            <v>0</v>
          </cell>
          <cell r="E5048">
            <v>0</v>
          </cell>
          <cell r="F5048">
            <v>0</v>
          </cell>
        </row>
        <row r="5049">
          <cell r="B5049">
            <v>40063147</v>
          </cell>
          <cell r="C5049" t="str">
            <v>KS12'S SUPERTHIN P480 MRP240 NEPAL</v>
          </cell>
          <cell r="D5049">
            <v>0</v>
          </cell>
          <cell r="E5049">
            <v>0</v>
          </cell>
          <cell r="F5049">
            <v>0</v>
          </cell>
        </row>
        <row r="5050">
          <cell r="B5050">
            <v>40042708</v>
          </cell>
          <cell r="C5050" t="str">
            <v>KS3's SuperthinPleas P480 W/O MRP-NPL</v>
          </cell>
          <cell r="D5050">
            <v>0</v>
          </cell>
          <cell r="E5050">
            <v>0</v>
          </cell>
          <cell r="F5050">
            <v>0</v>
          </cell>
        </row>
        <row r="5051">
          <cell r="B5051">
            <v>40043539</v>
          </cell>
          <cell r="C5051" t="str">
            <v>KS3's Wet n Wild B/P RegP2160-GGME</v>
          </cell>
          <cell r="D5051">
            <v>0</v>
          </cell>
          <cell r="E5051">
            <v>0</v>
          </cell>
          <cell r="F5051">
            <v>0</v>
          </cell>
        </row>
        <row r="5052">
          <cell r="B5052">
            <v>40042691</v>
          </cell>
          <cell r="C5052" t="str">
            <v>KS Aloe&amp;Vit.E Lube 50ML P24 MRP 299-NPL</v>
          </cell>
          <cell r="D5052">
            <v>0</v>
          </cell>
          <cell r="E5052">
            <v>0</v>
          </cell>
          <cell r="F5052">
            <v>0</v>
          </cell>
        </row>
        <row r="5053">
          <cell r="B5053">
            <v>40059098</v>
          </cell>
          <cell r="C5053" t="str">
            <v>KS LUBE ALOE &amp; VIT.E 50ML M299 P24 BD</v>
          </cell>
          <cell r="D5053">
            <v>0</v>
          </cell>
          <cell r="E5053">
            <v>0</v>
          </cell>
          <cell r="F5053">
            <v>0</v>
          </cell>
        </row>
        <row r="5054">
          <cell r="B5054">
            <v>40042690</v>
          </cell>
          <cell r="C5054" t="str">
            <v>KS Strawberry Lube 50ML P24 MRP299-NPL</v>
          </cell>
          <cell r="D5054">
            <v>0</v>
          </cell>
          <cell r="E5054">
            <v>0</v>
          </cell>
          <cell r="F5054">
            <v>0</v>
          </cell>
        </row>
        <row r="5055">
          <cell r="B5055">
            <v>40059095</v>
          </cell>
          <cell r="C5055" t="str">
            <v>KSSTRAWBERRY LUBE50 ML M299 P24 BD</v>
          </cell>
          <cell r="D5055">
            <v>0</v>
          </cell>
          <cell r="E5055">
            <v>0</v>
          </cell>
          <cell r="F5055">
            <v>0</v>
          </cell>
        </row>
        <row r="5056">
          <cell r="B5056">
            <v>40040123</v>
          </cell>
          <cell r="C5056" t="str">
            <v>*PA BS Damage Free Hair 180ml(MRP155)P24</v>
          </cell>
          <cell r="D5056">
            <v>0</v>
          </cell>
          <cell r="E5056">
            <v>0</v>
          </cell>
          <cell r="F5056">
            <v>0</v>
          </cell>
        </row>
        <row r="5057">
          <cell r="B5057">
            <v>40040174</v>
          </cell>
          <cell r="C5057" t="str">
            <v>*PA Asl Ace Splash 50Ml(MRP125)P96</v>
          </cell>
          <cell r="D5057">
            <v>0</v>
          </cell>
          <cell r="E5057">
            <v>0</v>
          </cell>
          <cell r="F5057">
            <v>0</v>
          </cell>
        </row>
        <row r="5058">
          <cell r="B5058">
            <v>40040539</v>
          </cell>
          <cell r="C5058" t="str">
            <v>PR EDC Regular 200 ML (MRP 199) RLP24</v>
          </cell>
          <cell r="D5058">
            <v>0</v>
          </cell>
          <cell r="E5058">
            <v>0</v>
          </cell>
          <cell r="F5058">
            <v>0</v>
          </cell>
        </row>
        <row r="5059">
          <cell r="B5059">
            <v>40040672</v>
          </cell>
          <cell r="C5059" t="str">
            <v>PA Good Morning Grooming Kit (MRP599)P12</v>
          </cell>
          <cell r="D5059">
            <v>0</v>
          </cell>
          <cell r="E5059">
            <v>0</v>
          </cell>
          <cell r="F5059">
            <v>0</v>
          </cell>
        </row>
        <row r="5060">
          <cell r="B5060">
            <v>40040415</v>
          </cell>
          <cell r="C5060" t="str">
            <v>PA Shaving Brush Blister Pack (M 60)P96</v>
          </cell>
          <cell r="D5060">
            <v>0</v>
          </cell>
          <cell r="E5060">
            <v>0</v>
          </cell>
          <cell r="F5060">
            <v>0</v>
          </cell>
        </row>
        <row r="5061">
          <cell r="B5061">
            <v>40050727</v>
          </cell>
          <cell r="C5061" t="str">
            <v>*CINSHAVINGCREAMLIMEFRESH78GM85P72</v>
          </cell>
          <cell r="D5061">
            <v>0</v>
          </cell>
          <cell r="E5061">
            <v>0</v>
          </cell>
          <cell r="F5061">
            <v>0</v>
          </cell>
        </row>
        <row r="5062">
          <cell r="B5062">
            <v>40060351</v>
          </cell>
          <cell r="C5062" t="str">
            <v>CIN SHAVING CREAM LIME FRESH 78G M75 P72</v>
          </cell>
          <cell r="D5062">
            <v>0</v>
          </cell>
          <cell r="E5062">
            <v>0</v>
          </cell>
          <cell r="F5062">
            <v>0</v>
          </cell>
        </row>
        <row r="5063">
          <cell r="B5063">
            <v>40050726</v>
          </cell>
          <cell r="C5063" t="str">
            <v>*CIN SHAVING CREAM MENTHOL 78G M85 P72</v>
          </cell>
          <cell r="D5063">
            <v>0</v>
          </cell>
          <cell r="E5063">
            <v>0</v>
          </cell>
          <cell r="F5063">
            <v>0</v>
          </cell>
        </row>
        <row r="5064">
          <cell r="B5064">
            <v>40060350</v>
          </cell>
          <cell r="C5064" t="str">
            <v>CIN SHAVING CREAM MENTHOL 78G M75P72</v>
          </cell>
          <cell r="D5064">
            <v>0</v>
          </cell>
          <cell r="E5064">
            <v>0</v>
          </cell>
          <cell r="F5064">
            <v>0</v>
          </cell>
        </row>
        <row r="5065">
          <cell r="B5065">
            <v>40040503</v>
          </cell>
          <cell r="C5065" t="str">
            <v>*PA SC CL 84g+Brush SUPER COMBO (M75)P72</v>
          </cell>
          <cell r="D5065">
            <v>0</v>
          </cell>
          <cell r="E5065">
            <v>0</v>
          </cell>
          <cell r="F5065">
            <v>0</v>
          </cell>
        </row>
        <row r="5066">
          <cell r="B5066">
            <v>40040919</v>
          </cell>
          <cell r="C5066" t="str">
            <v>*PASCCL84g+BrushSUPERCOMBO(M100)JKP72</v>
          </cell>
          <cell r="D5066">
            <v>0</v>
          </cell>
          <cell r="E5066">
            <v>0</v>
          </cell>
          <cell r="F5066">
            <v>0</v>
          </cell>
        </row>
        <row r="5067">
          <cell r="B5067">
            <v>40056755</v>
          </cell>
          <cell r="C5067" t="str">
            <v>*PASCCL84g+BrushSUPERCOMBO(M100)JKP72LIQ</v>
          </cell>
          <cell r="D5067">
            <v>0</v>
          </cell>
          <cell r="E5067">
            <v>0</v>
          </cell>
          <cell r="F5067">
            <v>0</v>
          </cell>
        </row>
        <row r="5068">
          <cell r="B5068">
            <v>40040837</v>
          </cell>
          <cell r="C5068" t="str">
            <v>*PA SC Cool Blue 84 g (MRP75) RLP144</v>
          </cell>
          <cell r="D5068">
            <v>0</v>
          </cell>
          <cell r="E5068">
            <v>0</v>
          </cell>
          <cell r="F5068">
            <v>0</v>
          </cell>
        </row>
        <row r="5069">
          <cell r="B5069">
            <v>40042137</v>
          </cell>
          <cell r="C5069" t="str">
            <v>*PA SC Cool Blue 84g M75 P144 GCPL</v>
          </cell>
          <cell r="D5069">
            <v>0</v>
          </cell>
          <cell r="E5069">
            <v>0</v>
          </cell>
          <cell r="F5069">
            <v>0</v>
          </cell>
        </row>
        <row r="5070">
          <cell r="B5070">
            <v>40060286</v>
          </cell>
          <cell r="C5070" t="str">
            <v>PA SC COOL BLUE 84G M65 P48</v>
          </cell>
          <cell r="D5070">
            <v>0</v>
          </cell>
          <cell r="E5070">
            <v>0</v>
          </cell>
          <cell r="F5070">
            <v>0</v>
          </cell>
        </row>
        <row r="5071">
          <cell r="B5071">
            <v>40040834</v>
          </cell>
          <cell r="C5071" t="str">
            <v>*PA SC Classic 84 g (MRP75) RLP144</v>
          </cell>
          <cell r="D5071">
            <v>0</v>
          </cell>
          <cell r="E5071">
            <v>0</v>
          </cell>
          <cell r="F5071">
            <v>0</v>
          </cell>
        </row>
        <row r="5072">
          <cell r="B5072">
            <v>40042138</v>
          </cell>
          <cell r="C5072" t="str">
            <v>*PA SC Classic 84g M75 P144 GCPL</v>
          </cell>
          <cell r="D5072">
            <v>0</v>
          </cell>
          <cell r="E5072">
            <v>0</v>
          </cell>
          <cell r="F5072">
            <v>0</v>
          </cell>
        </row>
        <row r="5073">
          <cell r="B5073">
            <v>40060284</v>
          </cell>
          <cell r="C5073" t="str">
            <v>PA SC CLASSIC 84G M65 P48</v>
          </cell>
          <cell r="D5073">
            <v>0</v>
          </cell>
          <cell r="E5073">
            <v>0</v>
          </cell>
          <cell r="F5073">
            <v>0</v>
          </cell>
        </row>
        <row r="5074">
          <cell r="B5074">
            <v>40060287</v>
          </cell>
          <cell r="C5074" t="str">
            <v>PA SC CLASSIC 84G M65 P144 CSD</v>
          </cell>
          <cell r="D5074">
            <v>0</v>
          </cell>
          <cell r="E5074">
            <v>0</v>
          </cell>
          <cell r="F5074">
            <v>0</v>
          </cell>
        </row>
        <row r="5075">
          <cell r="B5075">
            <v>40040918</v>
          </cell>
          <cell r="C5075" t="str">
            <v>*PASCGM84g+BrushSUPERCOMBO(M100)JKP72</v>
          </cell>
          <cell r="D5075">
            <v>0</v>
          </cell>
          <cell r="E5075">
            <v>0</v>
          </cell>
          <cell r="F5075">
            <v>0</v>
          </cell>
        </row>
        <row r="5076">
          <cell r="B5076">
            <v>40040559</v>
          </cell>
          <cell r="C5076" t="str">
            <v>*PA SC Good Morning 84 g (MRP69) RLP144</v>
          </cell>
          <cell r="D5076">
            <v>0</v>
          </cell>
          <cell r="E5076">
            <v>0</v>
          </cell>
          <cell r="F5076">
            <v>0</v>
          </cell>
        </row>
        <row r="5077">
          <cell r="B5077">
            <v>40040835</v>
          </cell>
          <cell r="C5077" t="str">
            <v>*PA SC Good Morning 84 g (MRP75) RLP144</v>
          </cell>
          <cell r="D5077">
            <v>0</v>
          </cell>
          <cell r="E5077">
            <v>0</v>
          </cell>
          <cell r="F5077">
            <v>0</v>
          </cell>
        </row>
        <row r="5078">
          <cell r="B5078">
            <v>40042114</v>
          </cell>
          <cell r="C5078" t="str">
            <v>*PA SC Good Morning 84g M75 P144 GCPL</v>
          </cell>
          <cell r="D5078">
            <v>0</v>
          </cell>
          <cell r="E5078">
            <v>0</v>
          </cell>
          <cell r="F5078">
            <v>0</v>
          </cell>
        </row>
        <row r="5079">
          <cell r="B5079">
            <v>40060291</v>
          </cell>
          <cell r="C5079" t="str">
            <v>PA SC GOOD MORNING 84G M65 P48</v>
          </cell>
          <cell r="D5079">
            <v>0</v>
          </cell>
          <cell r="E5079">
            <v>0</v>
          </cell>
          <cell r="F5079">
            <v>0</v>
          </cell>
        </row>
        <row r="5080">
          <cell r="B5080">
            <v>40040916</v>
          </cell>
          <cell r="C5080" t="str">
            <v>*PA ASL CB 100ML (MRP250) New BottleP36</v>
          </cell>
          <cell r="D5080">
            <v>0</v>
          </cell>
          <cell r="E5080">
            <v>0</v>
          </cell>
          <cell r="F5080">
            <v>0</v>
          </cell>
        </row>
        <row r="5081">
          <cell r="B5081">
            <v>40042329</v>
          </cell>
          <cell r="C5081" t="str">
            <v>*PA ASL CB SPLASH 100ML M250P36</v>
          </cell>
          <cell r="D5081">
            <v>0</v>
          </cell>
          <cell r="E5081">
            <v>0</v>
          </cell>
          <cell r="F5081">
            <v>0</v>
          </cell>
        </row>
        <row r="5082">
          <cell r="B5082">
            <v>40060282</v>
          </cell>
          <cell r="C5082" t="str">
            <v>PA ASL CB SPLASH 100ML M225 P36</v>
          </cell>
          <cell r="D5082">
            <v>0</v>
          </cell>
          <cell r="E5082">
            <v>0</v>
          </cell>
          <cell r="F5082">
            <v>0</v>
          </cell>
        </row>
        <row r="5083">
          <cell r="B5083">
            <v>40040915</v>
          </cell>
          <cell r="C5083" t="str">
            <v>*PANewCBAslSplash50MlBotleM150RLP48</v>
          </cell>
          <cell r="D5083">
            <v>0</v>
          </cell>
          <cell r="E5083">
            <v>0</v>
          </cell>
          <cell r="F5083">
            <v>0</v>
          </cell>
        </row>
        <row r="5084">
          <cell r="B5084">
            <v>40042765</v>
          </cell>
          <cell r="C5084" t="str">
            <v>*PA ASL CB SPLASH 50ML M150P48</v>
          </cell>
          <cell r="D5084">
            <v>0</v>
          </cell>
          <cell r="E5084">
            <v>0</v>
          </cell>
          <cell r="F5084">
            <v>0</v>
          </cell>
        </row>
        <row r="5085">
          <cell r="B5085">
            <v>40050141</v>
          </cell>
          <cell r="C5085" t="str">
            <v>*PA ASL CB SPLASH 50ML M150P18</v>
          </cell>
          <cell r="D5085">
            <v>0</v>
          </cell>
          <cell r="E5085">
            <v>0</v>
          </cell>
          <cell r="F5085">
            <v>0</v>
          </cell>
        </row>
        <row r="5086">
          <cell r="B5086">
            <v>40060395</v>
          </cell>
          <cell r="C5086" t="str">
            <v>PA ASL CB SPLASH 50ML M135P18</v>
          </cell>
          <cell r="D5086">
            <v>0</v>
          </cell>
          <cell r="E5086">
            <v>0</v>
          </cell>
          <cell r="F5086">
            <v>0</v>
          </cell>
        </row>
        <row r="5087">
          <cell r="B5087">
            <v>40040279</v>
          </cell>
          <cell r="C5087" t="str">
            <v>PARK AVENUE ASL GM50 ml +SF 50g OFFERP36</v>
          </cell>
          <cell r="D5087">
            <v>0</v>
          </cell>
          <cell r="E5087">
            <v>0</v>
          </cell>
          <cell r="F5087">
            <v>0</v>
          </cell>
        </row>
        <row r="5088">
          <cell r="B5088">
            <v>40040914</v>
          </cell>
          <cell r="C5088" t="str">
            <v>*PAASLGMSplash100ML(M250)NewBottleP36</v>
          </cell>
          <cell r="D5088">
            <v>0</v>
          </cell>
          <cell r="E5088">
            <v>0</v>
          </cell>
          <cell r="F5088">
            <v>0</v>
          </cell>
        </row>
        <row r="5089">
          <cell r="B5089">
            <v>40042337</v>
          </cell>
          <cell r="C5089" t="str">
            <v>*PA ASL GM SPLASH 100ML M250P36</v>
          </cell>
          <cell r="D5089">
            <v>0</v>
          </cell>
          <cell r="E5089">
            <v>0</v>
          </cell>
          <cell r="F5089">
            <v>0</v>
          </cell>
        </row>
        <row r="5090">
          <cell r="B5090">
            <v>40059324</v>
          </cell>
          <cell r="C5090" t="str">
            <v>*PA ASL GM 100ML W/O METPET M250P36 TT</v>
          </cell>
          <cell r="D5090">
            <v>0</v>
          </cell>
          <cell r="E5090">
            <v>0</v>
          </cell>
          <cell r="F5090">
            <v>0</v>
          </cell>
        </row>
        <row r="5091">
          <cell r="B5091">
            <v>40060283</v>
          </cell>
          <cell r="C5091" t="str">
            <v>PA ASL GM SPLASH 100ML M225P36</v>
          </cell>
          <cell r="D5091">
            <v>0</v>
          </cell>
          <cell r="E5091">
            <v>0</v>
          </cell>
          <cell r="F5091">
            <v>0</v>
          </cell>
        </row>
        <row r="5092">
          <cell r="B5092">
            <v>40040829</v>
          </cell>
          <cell r="C5092" t="str">
            <v>*PA ASL GM Spray 50ML New Pack MRP160P48</v>
          </cell>
          <cell r="D5092">
            <v>0</v>
          </cell>
          <cell r="E5092">
            <v>0</v>
          </cell>
          <cell r="F5092">
            <v>0</v>
          </cell>
        </row>
        <row r="5093">
          <cell r="B5093">
            <v>40040913</v>
          </cell>
          <cell r="C5093" t="str">
            <v>*PAGMAslSplash50mlbottleM150RLP48New</v>
          </cell>
          <cell r="D5093">
            <v>0</v>
          </cell>
          <cell r="E5093">
            <v>0</v>
          </cell>
          <cell r="F5093">
            <v>0</v>
          </cell>
        </row>
        <row r="5094">
          <cell r="B5094">
            <v>40042336</v>
          </cell>
          <cell r="C5094" t="str">
            <v>*PA ASL GM SPLASH 50ML M150P48</v>
          </cell>
          <cell r="D5094">
            <v>0</v>
          </cell>
          <cell r="E5094">
            <v>0</v>
          </cell>
          <cell r="F5094">
            <v>0</v>
          </cell>
        </row>
        <row r="5095">
          <cell r="B5095">
            <v>40050150</v>
          </cell>
          <cell r="C5095" t="str">
            <v>*PA ASL GM SPLASH 50ML M150P18</v>
          </cell>
          <cell r="D5095">
            <v>0</v>
          </cell>
          <cell r="E5095">
            <v>0</v>
          </cell>
          <cell r="F5095">
            <v>0</v>
          </cell>
        </row>
        <row r="5096">
          <cell r="B5096">
            <v>40040651</v>
          </cell>
          <cell r="C5096" t="str">
            <v>*PA ASL GM 45ML Travel Pack MRP99P72</v>
          </cell>
          <cell r="D5096">
            <v>0</v>
          </cell>
          <cell r="E5096">
            <v>0</v>
          </cell>
          <cell r="F5096">
            <v>0</v>
          </cell>
        </row>
        <row r="5097">
          <cell r="B5097">
            <v>40042427</v>
          </cell>
          <cell r="C5097" t="str">
            <v>*PA ASL GM 45ML TRAVEL PACK G M99P72</v>
          </cell>
          <cell r="D5097">
            <v>0</v>
          </cell>
          <cell r="E5097">
            <v>0</v>
          </cell>
          <cell r="F5097">
            <v>0</v>
          </cell>
        </row>
        <row r="5098">
          <cell r="B5098">
            <v>40060303</v>
          </cell>
          <cell r="C5098" t="str">
            <v>PA ASL GM 45ML TRAVEL PACK G M89P72</v>
          </cell>
          <cell r="D5098">
            <v>0</v>
          </cell>
          <cell r="E5098">
            <v>0</v>
          </cell>
          <cell r="F5098">
            <v>0</v>
          </cell>
        </row>
        <row r="5099">
          <cell r="B5099">
            <v>40040773</v>
          </cell>
          <cell r="C5099" t="str">
            <v>PA Razor Apache 3 (Dorco TRA 700)P480</v>
          </cell>
          <cell r="D5099">
            <v>0</v>
          </cell>
          <cell r="E5099">
            <v>0</v>
          </cell>
          <cell r="F5099">
            <v>0</v>
          </cell>
        </row>
        <row r="5100">
          <cell r="B5100">
            <v>40056199</v>
          </cell>
          <cell r="C5100" t="str">
            <v>PA RAZOR NINGBO M150 P480</v>
          </cell>
          <cell r="D5100">
            <v>0</v>
          </cell>
          <cell r="E5100">
            <v>0</v>
          </cell>
          <cell r="F5100">
            <v>0</v>
          </cell>
        </row>
        <row r="5101">
          <cell r="B5101">
            <v>40040692</v>
          </cell>
          <cell r="C5101" t="str">
            <v>*PA Apple Cider Shampoo RS 180mlP24</v>
          </cell>
          <cell r="D5101">
            <v>0</v>
          </cell>
          <cell r="E5101">
            <v>0</v>
          </cell>
          <cell r="F5101">
            <v>0</v>
          </cell>
        </row>
        <row r="5102">
          <cell r="B5102">
            <v>40040972</v>
          </cell>
          <cell r="C5102" t="str">
            <v>*PA BS 700 ml Anti Dandruff (MRP 405)P12</v>
          </cell>
          <cell r="D5102">
            <v>0</v>
          </cell>
          <cell r="E5102">
            <v>0</v>
          </cell>
          <cell r="F5102">
            <v>0</v>
          </cell>
        </row>
        <row r="5103">
          <cell r="B5103">
            <v>40040652</v>
          </cell>
          <cell r="C5103" t="str">
            <v>*PABSNEWAntiDandruff180ml(MRP155)P24</v>
          </cell>
          <cell r="D5103">
            <v>0</v>
          </cell>
          <cell r="E5103">
            <v>0</v>
          </cell>
          <cell r="F5103">
            <v>0</v>
          </cell>
        </row>
        <row r="5104">
          <cell r="B5104">
            <v>40040962</v>
          </cell>
          <cell r="C5104" t="str">
            <v>*PABSNEWAntiDandruff180ml(MRP170)P36</v>
          </cell>
          <cell r="D5104">
            <v>0</v>
          </cell>
          <cell r="E5104">
            <v>0</v>
          </cell>
          <cell r="F5104">
            <v>0</v>
          </cell>
        </row>
        <row r="5105">
          <cell r="B5105">
            <v>40040966</v>
          </cell>
          <cell r="C5105" t="str">
            <v>*PA BS NEW Anti Dandruff 350ml (M285)P24</v>
          </cell>
          <cell r="D5105">
            <v>0</v>
          </cell>
          <cell r="E5105">
            <v>0</v>
          </cell>
          <cell r="F5105">
            <v>0</v>
          </cell>
        </row>
        <row r="5106">
          <cell r="B5106">
            <v>40056829</v>
          </cell>
          <cell r="C5106" t="str">
            <v>*PA BS ANTI DANDRUFF 180ML (M199)P36</v>
          </cell>
          <cell r="D5106">
            <v>0</v>
          </cell>
          <cell r="E5106">
            <v>0</v>
          </cell>
          <cell r="F5106">
            <v>0</v>
          </cell>
        </row>
        <row r="5107">
          <cell r="B5107">
            <v>40061028</v>
          </cell>
          <cell r="C5107" t="str">
            <v>PA BS ANTI DANDRUFF 180ML M190 P36</v>
          </cell>
          <cell r="D5107">
            <v>0</v>
          </cell>
          <cell r="E5107">
            <v>0</v>
          </cell>
          <cell r="F5107">
            <v>0</v>
          </cell>
        </row>
        <row r="5108">
          <cell r="B5108">
            <v>40064887</v>
          </cell>
          <cell r="C5108" t="str">
            <v>PA ANTI DANDRUFF 180ML PO2 M380 P18</v>
          </cell>
          <cell r="D5108">
            <v>0</v>
          </cell>
          <cell r="E5108">
            <v>0</v>
          </cell>
          <cell r="F5108">
            <v>0</v>
          </cell>
        </row>
        <row r="5109">
          <cell r="B5109">
            <v>40058695</v>
          </cell>
          <cell r="C5109" t="str">
            <v>*PA BS ANTI DANDRUFF  650 ML M799P18</v>
          </cell>
          <cell r="D5109">
            <v>0</v>
          </cell>
          <cell r="E5109">
            <v>0</v>
          </cell>
          <cell r="F5109">
            <v>0</v>
          </cell>
        </row>
        <row r="5110">
          <cell r="B5110">
            <v>40061027</v>
          </cell>
          <cell r="C5110" t="str">
            <v>PA BS ANTI DANDRUFF  650 ML M750 P18</v>
          </cell>
          <cell r="D5110">
            <v>0</v>
          </cell>
          <cell r="E5110">
            <v>0</v>
          </cell>
          <cell r="F5110">
            <v>0</v>
          </cell>
        </row>
        <row r="5111">
          <cell r="B5111">
            <v>40041018</v>
          </cell>
          <cell r="C5111" t="str">
            <v>*PABeershampoo70mlassortedCrateM60P72</v>
          </cell>
          <cell r="D5111">
            <v>0</v>
          </cell>
          <cell r="E5111">
            <v>0</v>
          </cell>
          <cell r="F5111">
            <v>0</v>
          </cell>
        </row>
        <row r="5112">
          <cell r="B5112">
            <v>40040691</v>
          </cell>
          <cell r="C5112" t="str">
            <v>*PA Coco Water Shampoo FD 180mlP24</v>
          </cell>
          <cell r="D5112">
            <v>0</v>
          </cell>
          <cell r="E5112">
            <v>0</v>
          </cell>
          <cell r="F5112">
            <v>0</v>
          </cell>
        </row>
        <row r="5113">
          <cell r="B5113">
            <v>40040653</v>
          </cell>
          <cell r="C5113" t="str">
            <v>*PABSNEWDamageFreeHair180ml(M155)P24</v>
          </cell>
          <cell r="D5113">
            <v>0</v>
          </cell>
          <cell r="E5113">
            <v>0</v>
          </cell>
          <cell r="F5113">
            <v>0</v>
          </cell>
        </row>
        <row r="5114">
          <cell r="B5114">
            <v>40040659</v>
          </cell>
          <cell r="C5114" t="str">
            <v>*PA BS NEW Damage Free 350ml (MRP260)P24</v>
          </cell>
          <cell r="D5114">
            <v>0</v>
          </cell>
          <cell r="E5114">
            <v>0</v>
          </cell>
          <cell r="F5114">
            <v>0</v>
          </cell>
        </row>
        <row r="5115">
          <cell r="B5115">
            <v>40040965</v>
          </cell>
          <cell r="C5115" t="str">
            <v>*PA BS NEW Damage Free 350ml (MRP285)P24</v>
          </cell>
          <cell r="D5115">
            <v>0</v>
          </cell>
          <cell r="E5115">
            <v>0</v>
          </cell>
          <cell r="F5115">
            <v>0</v>
          </cell>
        </row>
        <row r="5116">
          <cell r="B5116">
            <v>40040968</v>
          </cell>
          <cell r="C5116" t="str">
            <v>*PA BS 650 ml Damage free (MRP 650)P18</v>
          </cell>
          <cell r="D5116">
            <v>0</v>
          </cell>
          <cell r="E5116">
            <v>0</v>
          </cell>
          <cell r="F5116">
            <v>0</v>
          </cell>
        </row>
        <row r="5117">
          <cell r="B5117">
            <v>40040996</v>
          </cell>
          <cell r="C5117" t="str">
            <v>*PA BS Damage free 650 ml (MRP 605)P18</v>
          </cell>
          <cell r="D5117">
            <v>0</v>
          </cell>
          <cell r="E5117">
            <v>0</v>
          </cell>
          <cell r="F5117">
            <v>0</v>
          </cell>
        </row>
        <row r="5118">
          <cell r="B5118">
            <v>40050188</v>
          </cell>
          <cell r="C5118" t="str">
            <v>*PA BS 650 ml Damage free (MRP 710)P18</v>
          </cell>
          <cell r="D5118">
            <v>0</v>
          </cell>
          <cell r="E5118">
            <v>0</v>
          </cell>
          <cell r="F5118">
            <v>0</v>
          </cell>
        </row>
        <row r="5119">
          <cell r="B5119">
            <v>40060292</v>
          </cell>
          <cell r="C5119" t="str">
            <v>PA BS 650 ML DAMAGE FREE M700 P18</v>
          </cell>
          <cell r="D5119">
            <v>0</v>
          </cell>
          <cell r="E5119">
            <v>0</v>
          </cell>
          <cell r="F5119">
            <v>0</v>
          </cell>
        </row>
        <row r="5120">
          <cell r="B5120">
            <v>40040961</v>
          </cell>
          <cell r="C5120" t="str">
            <v>*PABSNEWDamageFreeHair180ml(M170)P36</v>
          </cell>
          <cell r="D5120">
            <v>0</v>
          </cell>
          <cell r="E5120">
            <v>0</v>
          </cell>
          <cell r="F5120">
            <v>0</v>
          </cell>
        </row>
        <row r="5121">
          <cell r="B5121">
            <v>40042171</v>
          </cell>
          <cell r="C5121" t="str">
            <v>*PA BS New DF Hair180ml M170 P36</v>
          </cell>
          <cell r="D5121">
            <v>0</v>
          </cell>
          <cell r="E5121">
            <v>0</v>
          </cell>
          <cell r="F5121">
            <v>0</v>
          </cell>
        </row>
        <row r="5122">
          <cell r="B5122">
            <v>40043786</v>
          </cell>
          <cell r="C5122" t="str">
            <v>*PA BS New DF Hair180ml(MRP199) P36</v>
          </cell>
          <cell r="D5122">
            <v>0</v>
          </cell>
          <cell r="E5122">
            <v>0</v>
          </cell>
          <cell r="F5122">
            <v>0</v>
          </cell>
        </row>
        <row r="5123">
          <cell r="B5123">
            <v>40060515</v>
          </cell>
          <cell r="C5123" t="str">
            <v>PA BS NEW DF HAIR180M M175 P36</v>
          </cell>
          <cell r="D5123">
            <v>0</v>
          </cell>
          <cell r="E5123">
            <v>0</v>
          </cell>
          <cell r="F5123">
            <v>0</v>
          </cell>
        </row>
        <row r="5124">
          <cell r="B5124">
            <v>40040891</v>
          </cell>
          <cell r="C5124" t="str">
            <v>*PABS180mlHFC+FreePAdeoshot40mlPrmP24</v>
          </cell>
          <cell r="D5124">
            <v>0</v>
          </cell>
          <cell r="E5124">
            <v>0</v>
          </cell>
          <cell r="F5124">
            <v>0</v>
          </cell>
        </row>
        <row r="5125">
          <cell r="B5125">
            <v>40040964</v>
          </cell>
          <cell r="C5125" t="str">
            <v>*PABSNEWHairFallControl180ml(M170)P36</v>
          </cell>
          <cell r="D5125">
            <v>0</v>
          </cell>
          <cell r="E5125">
            <v>0</v>
          </cell>
          <cell r="F5125">
            <v>0</v>
          </cell>
        </row>
        <row r="5126">
          <cell r="B5126">
            <v>40056828</v>
          </cell>
          <cell r="C5126" t="str">
            <v>*PABSHAIRFALLCONTROL180ML(M199)P36</v>
          </cell>
          <cell r="D5126">
            <v>0</v>
          </cell>
          <cell r="E5126">
            <v>0</v>
          </cell>
          <cell r="F5126">
            <v>0</v>
          </cell>
        </row>
        <row r="5127">
          <cell r="B5127">
            <v>40060414</v>
          </cell>
          <cell r="C5127" t="str">
            <v>PA BS HAIR FALL CONTROL  180ML M175 P36</v>
          </cell>
          <cell r="D5127">
            <v>0</v>
          </cell>
          <cell r="E5127">
            <v>0</v>
          </cell>
          <cell r="F5127">
            <v>0</v>
          </cell>
        </row>
        <row r="5128">
          <cell r="B5128">
            <v>40061014</v>
          </cell>
          <cell r="C5128" t="str">
            <v>PA BS HAIR FALL CONTROL  180ML M190 P36</v>
          </cell>
          <cell r="D5128">
            <v>0</v>
          </cell>
          <cell r="E5128">
            <v>0</v>
          </cell>
          <cell r="F5128">
            <v>0</v>
          </cell>
        </row>
        <row r="5129">
          <cell r="B5129">
            <v>40056827</v>
          </cell>
          <cell r="C5129" t="str">
            <v>*PA BS HAIRFALL CONTROL 650 ML M710 P18</v>
          </cell>
          <cell r="D5129">
            <v>0</v>
          </cell>
          <cell r="E5129">
            <v>0</v>
          </cell>
          <cell r="F5129">
            <v>0</v>
          </cell>
        </row>
        <row r="5130">
          <cell r="B5130">
            <v>40040564</v>
          </cell>
          <cell r="C5130" t="str">
            <v>*PA BS Daily Shine 350ml (MRP260) RLP24</v>
          </cell>
          <cell r="D5130">
            <v>0</v>
          </cell>
          <cell r="E5130">
            <v>0</v>
          </cell>
          <cell r="F5130">
            <v>0</v>
          </cell>
        </row>
        <row r="5131">
          <cell r="B5131">
            <v>40050171</v>
          </cell>
          <cell r="C5131" t="str">
            <v>*PA BS SB 650 ml (M 710) GCPL P18</v>
          </cell>
          <cell r="D5131">
            <v>0</v>
          </cell>
          <cell r="E5131">
            <v>0</v>
          </cell>
          <cell r="F5131">
            <v>0</v>
          </cell>
        </row>
        <row r="5132">
          <cell r="B5132">
            <v>40040963</v>
          </cell>
          <cell r="C5132" t="str">
            <v>*PABSNEWShiny&amp;Bouncy180ml(M170)P36</v>
          </cell>
          <cell r="D5132">
            <v>0</v>
          </cell>
          <cell r="E5132">
            <v>0</v>
          </cell>
          <cell r="F5132">
            <v>0</v>
          </cell>
        </row>
        <row r="5133">
          <cell r="B5133">
            <v>40043787</v>
          </cell>
          <cell r="C5133" t="str">
            <v>*PABSNEWShiny&amp;Bouncy180ml(M199)P36</v>
          </cell>
          <cell r="D5133">
            <v>0</v>
          </cell>
          <cell r="E5133">
            <v>0</v>
          </cell>
          <cell r="F5133">
            <v>0</v>
          </cell>
        </row>
        <row r="5134">
          <cell r="B5134">
            <v>40061029</v>
          </cell>
          <cell r="C5134" t="str">
            <v>PA BS NEW SHINY &amp; BOUNCY 180ML M190 P36</v>
          </cell>
          <cell r="D5134">
            <v>0</v>
          </cell>
          <cell r="E5134">
            <v>0</v>
          </cell>
          <cell r="F5134">
            <v>0</v>
          </cell>
        </row>
        <row r="5135">
          <cell r="B5135">
            <v>40058537</v>
          </cell>
          <cell r="C5135" t="str">
            <v>*CINORIGINALTALC300G M199 P24</v>
          </cell>
          <cell r="D5135">
            <v>0</v>
          </cell>
          <cell r="E5135">
            <v>0</v>
          </cell>
          <cell r="F5135">
            <v>0</v>
          </cell>
        </row>
        <row r="5136">
          <cell r="B5136">
            <v>40060227</v>
          </cell>
          <cell r="C5136" t="str">
            <v>CIN TALC ORIGINAL 300G M175 P24</v>
          </cell>
          <cell r="D5136">
            <v>0</v>
          </cell>
          <cell r="E5136">
            <v>0</v>
          </cell>
          <cell r="F5136">
            <v>0</v>
          </cell>
        </row>
        <row r="5137">
          <cell r="B5137">
            <v>40058536</v>
          </cell>
          <cell r="C5137" t="str">
            <v>*CIN TALC LIME 300G M199 P24</v>
          </cell>
          <cell r="D5137">
            <v>0</v>
          </cell>
          <cell r="E5137">
            <v>0</v>
          </cell>
          <cell r="F5137">
            <v>0</v>
          </cell>
        </row>
        <row r="5138">
          <cell r="B5138">
            <v>40060230</v>
          </cell>
          <cell r="C5138" t="str">
            <v>CIN TALC LIME 300G M175 P24</v>
          </cell>
          <cell r="D5138">
            <v>0</v>
          </cell>
          <cell r="E5138">
            <v>0</v>
          </cell>
          <cell r="F5138">
            <v>0</v>
          </cell>
        </row>
        <row r="5139">
          <cell r="B5139">
            <v>40040795</v>
          </cell>
          <cell r="C5139" t="str">
            <v>*PA Talc Deo CB 100g B1G1 MRP99P36</v>
          </cell>
          <cell r="D5139">
            <v>0</v>
          </cell>
          <cell r="E5139">
            <v>0</v>
          </cell>
          <cell r="F5139">
            <v>0</v>
          </cell>
        </row>
        <row r="5140">
          <cell r="B5140">
            <v>40041168</v>
          </cell>
          <cell r="C5140" t="str">
            <v>*PA Talc CB 100gm B1G1 Rs. 165P36</v>
          </cell>
          <cell r="D5140">
            <v>0</v>
          </cell>
          <cell r="E5140">
            <v>0</v>
          </cell>
          <cell r="F5140">
            <v>0</v>
          </cell>
        </row>
        <row r="5141">
          <cell r="B5141">
            <v>40040635</v>
          </cell>
          <cell r="C5141" t="str">
            <v>*PA Deo Talc GM 100g B1G1 MRP85P36</v>
          </cell>
          <cell r="D5141">
            <v>0</v>
          </cell>
          <cell r="E5141">
            <v>0</v>
          </cell>
          <cell r="F5141">
            <v>0</v>
          </cell>
        </row>
        <row r="5142">
          <cell r="B5142">
            <v>40040794</v>
          </cell>
          <cell r="C5142" t="str">
            <v>*PA Deo Talc GM 100g B1G1 MRP99P36</v>
          </cell>
          <cell r="D5142">
            <v>0</v>
          </cell>
          <cell r="E5142">
            <v>0</v>
          </cell>
          <cell r="F5142">
            <v>0</v>
          </cell>
        </row>
        <row r="5143">
          <cell r="B5143">
            <v>40040650</v>
          </cell>
          <cell r="C5143" t="str">
            <v>PRM Talc Beauty 300g B1G1 MRP185P12</v>
          </cell>
          <cell r="D5143">
            <v>0</v>
          </cell>
          <cell r="E5143">
            <v>0</v>
          </cell>
          <cell r="F5143">
            <v>0</v>
          </cell>
        </row>
        <row r="5144">
          <cell r="B5144">
            <v>40041146</v>
          </cell>
          <cell r="C5144" t="str">
            <v>PRM Talc Beauty 300g B1G1 MRP220P12</v>
          </cell>
          <cell r="D5144">
            <v>0</v>
          </cell>
          <cell r="E5144">
            <v>0</v>
          </cell>
          <cell r="F5144">
            <v>0</v>
          </cell>
        </row>
        <row r="5145">
          <cell r="B5145">
            <v>40040648</v>
          </cell>
          <cell r="C5145" t="str">
            <v>PRM Talc Lavndr 300g B1G1 MRP185P12</v>
          </cell>
          <cell r="D5145">
            <v>0</v>
          </cell>
          <cell r="E5145">
            <v>0</v>
          </cell>
          <cell r="F5145">
            <v>0</v>
          </cell>
        </row>
        <row r="5146">
          <cell r="B5146">
            <v>40040649</v>
          </cell>
          <cell r="C5146" t="str">
            <v>PA Talc Sandal 300g B1G1 MRP185P12</v>
          </cell>
          <cell r="D5146">
            <v>0</v>
          </cell>
          <cell r="E5146">
            <v>0</v>
          </cell>
          <cell r="F5146">
            <v>0</v>
          </cell>
        </row>
        <row r="5147">
          <cell r="B5147">
            <v>40040868</v>
          </cell>
          <cell r="C5147" t="str">
            <v>PA New Essential Grooming Kit (M440)P12</v>
          </cell>
          <cell r="D5147">
            <v>0</v>
          </cell>
          <cell r="E5147">
            <v>0</v>
          </cell>
          <cell r="F5147">
            <v>0</v>
          </cell>
        </row>
        <row r="5148">
          <cell r="B5148">
            <v>40041088</v>
          </cell>
          <cell r="C5148" t="str">
            <v>PA New Essential Grooming Kit (M460)P12</v>
          </cell>
          <cell r="D5148">
            <v>0</v>
          </cell>
          <cell r="E5148">
            <v>0</v>
          </cell>
          <cell r="F5148">
            <v>0</v>
          </cell>
        </row>
        <row r="5149">
          <cell r="B5149">
            <v>40042422</v>
          </cell>
          <cell r="C5149" t="str">
            <v>PA NEW ESSENTIAL GROOMING KIT G M460P12</v>
          </cell>
          <cell r="D5149">
            <v>0</v>
          </cell>
          <cell r="E5149">
            <v>0</v>
          </cell>
          <cell r="F5149">
            <v>0</v>
          </cell>
        </row>
        <row r="5150">
          <cell r="B5150">
            <v>40043532</v>
          </cell>
          <cell r="C5150" t="str">
            <v>PA ESSENTIAL GROOMING KIT M460P6</v>
          </cell>
          <cell r="D5150">
            <v>0</v>
          </cell>
          <cell r="E5150">
            <v>0</v>
          </cell>
          <cell r="F5150">
            <v>0</v>
          </cell>
        </row>
        <row r="5151">
          <cell r="B5151">
            <v>40056527</v>
          </cell>
          <cell r="C5151" t="str">
            <v>PA ESSENTIAL GRMING KIT M460P6 (INC RM)</v>
          </cell>
          <cell r="D5151">
            <v>0</v>
          </cell>
          <cell r="E5151">
            <v>0</v>
          </cell>
          <cell r="F5151">
            <v>0</v>
          </cell>
        </row>
        <row r="5152">
          <cell r="B5152">
            <v>40057720</v>
          </cell>
          <cell r="C5152" t="str">
            <v>PA GD MRNG GROOMING KIT M699P6 POLY</v>
          </cell>
          <cell r="D5152">
            <v>0</v>
          </cell>
          <cell r="E5152">
            <v>0</v>
          </cell>
          <cell r="F5152">
            <v>0</v>
          </cell>
        </row>
        <row r="5153">
          <cell r="B5153">
            <v>40059462</v>
          </cell>
          <cell r="C5153" t="str">
            <v>PA GD MRNG GROOMING KIT M799P6 POLY</v>
          </cell>
          <cell r="D5153">
            <v>0</v>
          </cell>
          <cell r="E5153">
            <v>0</v>
          </cell>
          <cell r="F5153">
            <v>0</v>
          </cell>
        </row>
        <row r="5154">
          <cell r="B5154">
            <v>40040865</v>
          </cell>
          <cell r="C5154" t="str">
            <v>PA Luxury Grooming Collection (M730)P12</v>
          </cell>
          <cell r="D5154">
            <v>0</v>
          </cell>
          <cell r="E5154">
            <v>0</v>
          </cell>
          <cell r="F5154">
            <v>0</v>
          </cell>
        </row>
        <row r="5155">
          <cell r="B5155">
            <v>40041087</v>
          </cell>
          <cell r="C5155" t="str">
            <v>PA Luxury Grooming Collection (M780)P12</v>
          </cell>
          <cell r="D5155">
            <v>0</v>
          </cell>
          <cell r="E5155">
            <v>0</v>
          </cell>
          <cell r="F5155">
            <v>0</v>
          </cell>
        </row>
        <row r="5156">
          <cell r="B5156">
            <v>40043557</v>
          </cell>
          <cell r="C5156" t="str">
            <v>PA LUXURY GROOMING KIT M780P6</v>
          </cell>
          <cell r="D5156">
            <v>0</v>
          </cell>
          <cell r="E5156">
            <v>0</v>
          </cell>
          <cell r="F5156">
            <v>0</v>
          </cell>
        </row>
        <row r="5157">
          <cell r="B5157">
            <v>40061171</v>
          </cell>
          <cell r="C5157" t="str">
            <v>PA LUXURY GROOMING KIT M780P6-LIQ</v>
          </cell>
          <cell r="D5157">
            <v>0</v>
          </cell>
          <cell r="E5157">
            <v>0</v>
          </cell>
          <cell r="F5157">
            <v>0</v>
          </cell>
        </row>
        <row r="5158">
          <cell r="B5158">
            <v>40063289</v>
          </cell>
          <cell r="C5158" t="str">
            <v>PA9IN1 ULTIMATE GR.KIT M1699P8 POLY AMZN</v>
          </cell>
          <cell r="D5158">
            <v>0</v>
          </cell>
          <cell r="E5158">
            <v>0</v>
          </cell>
          <cell r="F5158">
            <v>0</v>
          </cell>
        </row>
        <row r="5159">
          <cell r="B5159">
            <v>40063970</v>
          </cell>
          <cell r="C5159" t="str">
            <v>PA9IN1 ULTIMATE GR.KIT M1799P8 POLY AMZN</v>
          </cell>
          <cell r="D5159">
            <v>0</v>
          </cell>
          <cell r="E5159">
            <v>0</v>
          </cell>
          <cell r="F5159">
            <v>0</v>
          </cell>
        </row>
        <row r="5160">
          <cell r="B5160">
            <v>40057534</v>
          </cell>
          <cell r="C5160" t="str">
            <v>PA 9IN1 ULTIMATE GR. KIT M1599P8 POLY</v>
          </cell>
          <cell r="D5160">
            <v>0</v>
          </cell>
          <cell r="E5160">
            <v>0</v>
          </cell>
          <cell r="F5160">
            <v>0</v>
          </cell>
        </row>
        <row r="5161">
          <cell r="B5161">
            <v>40063968</v>
          </cell>
          <cell r="C5161" t="str">
            <v>PA9IN1 ULTIMATE GR.KIT M1799P8 POLY</v>
          </cell>
          <cell r="D5161">
            <v>0</v>
          </cell>
          <cell r="E5161">
            <v>0</v>
          </cell>
          <cell r="F5161">
            <v>0</v>
          </cell>
        </row>
        <row r="5162">
          <cell r="B5162">
            <v>40040512</v>
          </cell>
          <cell r="C5162" t="str">
            <v>PA Face Wash Charcoal 100g (MRP225)P36</v>
          </cell>
          <cell r="D5162">
            <v>0</v>
          </cell>
          <cell r="E5162">
            <v>0</v>
          </cell>
          <cell r="F5162">
            <v>0</v>
          </cell>
        </row>
        <row r="5163">
          <cell r="B5163">
            <v>40040514</v>
          </cell>
          <cell r="C5163" t="str">
            <v>PA Face Wash Neem+Clay 100g (MRP225)P36</v>
          </cell>
          <cell r="D5163">
            <v>0</v>
          </cell>
          <cell r="E5163">
            <v>0</v>
          </cell>
          <cell r="F5163">
            <v>0</v>
          </cell>
        </row>
        <row r="5164">
          <cell r="B5164">
            <v>40056420</v>
          </cell>
          <cell r="C5164" t="str">
            <v>BLOQ CITRUS 40G M99 P48 HANGER PO3</v>
          </cell>
          <cell r="D5164">
            <v>0</v>
          </cell>
          <cell r="E5164">
            <v>0</v>
          </cell>
          <cell r="F5164">
            <v>0</v>
          </cell>
        </row>
        <row r="5165">
          <cell r="B5165">
            <v>40055905</v>
          </cell>
          <cell r="C5165" t="str">
            <v>BLOQ CITRUS 40G M99 P48 CARTON PO6</v>
          </cell>
          <cell r="D5165">
            <v>0</v>
          </cell>
          <cell r="E5165">
            <v>0</v>
          </cell>
          <cell r="F5165">
            <v>0</v>
          </cell>
        </row>
        <row r="5166">
          <cell r="B5166">
            <v>40061248</v>
          </cell>
          <cell r="C5166" t="str">
            <v>*PA BS NEW DF HAIR180ML M170 P36-LIQ</v>
          </cell>
          <cell r="D5166">
            <v>0</v>
          </cell>
          <cell r="E5166">
            <v>0</v>
          </cell>
          <cell r="F5166">
            <v>0</v>
          </cell>
        </row>
        <row r="5167">
          <cell r="B5167">
            <v>40061263</v>
          </cell>
          <cell r="C5167" t="str">
            <v>*PABSNEWSHINY&amp;BOUNCY180ML(M199)P36-LIQ</v>
          </cell>
          <cell r="D5167">
            <v>0</v>
          </cell>
          <cell r="E5167">
            <v>0</v>
          </cell>
          <cell r="F5167">
            <v>0</v>
          </cell>
        </row>
        <row r="5168">
          <cell r="B5168">
            <v>40061341</v>
          </cell>
          <cell r="C5168" t="str">
            <v>*PABSNEWSHINY&amp;BOUNCY180ML(M170)P36-LIQ</v>
          </cell>
          <cell r="D5168">
            <v>0</v>
          </cell>
          <cell r="E5168">
            <v>0</v>
          </cell>
          <cell r="F5168">
            <v>0</v>
          </cell>
        </row>
        <row r="5169">
          <cell r="B5169">
            <v>40061410</v>
          </cell>
          <cell r="C5169" t="str">
            <v>PA BS 650 ML DAMAGE FREE MRP 650P18-LIQ</v>
          </cell>
          <cell r="D5169">
            <v>0</v>
          </cell>
          <cell r="E5169">
            <v>0</v>
          </cell>
          <cell r="F5169">
            <v>0</v>
          </cell>
        </row>
        <row r="5170">
          <cell r="B5170">
            <v>40061859</v>
          </cell>
          <cell r="C5170" t="str">
            <v>PA BS NEW DF HAIR180ML(MRP199) P36-LIQ</v>
          </cell>
          <cell r="D5170">
            <v>0</v>
          </cell>
          <cell r="E5170">
            <v>0</v>
          </cell>
          <cell r="F5170">
            <v>0</v>
          </cell>
        </row>
        <row r="5171">
          <cell r="B5171">
            <v>40062055</v>
          </cell>
          <cell r="C5171" t="str">
            <v>PA BS HAIRFALL CONTROL 650ML M710P18-LIQ</v>
          </cell>
          <cell r="D5171">
            <v>0</v>
          </cell>
          <cell r="E5171">
            <v>0</v>
          </cell>
          <cell r="F5171">
            <v>0</v>
          </cell>
        </row>
        <row r="5172">
          <cell r="B5172">
            <v>40061154</v>
          </cell>
          <cell r="C5172" t="str">
            <v>*PA SC GOOD MORNING 84G M75 P48-LIQ</v>
          </cell>
          <cell r="D5172">
            <v>0</v>
          </cell>
          <cell r="E5172">
            <v>0</v>
          </cell>
          <cell r="F5172">
            <v>0</v>
          </cell>
        </row>
        <row r="5173">
          <cell r="B5173">
            <v>40062163</v>
          </cell>
          <cell r="C5173" t="str">
            <v>PA GM SHVING BRUSHMRP90 LC FOR GKP96-LIQ</v>
          </cell>
          <cell r="D5173">
            <v>0</v>
          </cell>
          <cell r="E5173">
            <v>0</v>
          </cell>
          <cell r="F5173">
            <v>0</v>
          </cell>
        </row>
        <row r="5174">
          <cell r="B5174">
            <v>40061081</v>
          </cell>
          <cell r="C5174" t="str">
            <v>*PA ASL CB SPLASH 100ML M250P36-LIQ</v>
          </cell>
          <cell r="D5174">
            <v>0</v>
          </cell>
          <cell r="E5174">
            <v>0</v>
          </cell>
          <cell r="F5174">
            <v>0</v>
          </cell>
        </row>
        <row r="5175">
          <cell r="B5175">
            <v>40061089</v>
          </cell>
          <cell r="C5175" t="str">
            <v>*PA ASL GM SPLASH 100ML M250P36-LIQ</v>
          </cell>
          <cell r="D5175">
            <v>0</v>
          </cell>
          <cell r="E5175">
            <v>0</v>
          </cell>
          <cell r="F5175">
            <v>0</v>
          </cell>
        </row>
        <row r="5176">
          <cell r="B5176">
            <v>40061243</v>
          </cell>
          <cell r="C5176" t="str">
            <v>*PA ASL CB SPLASH 50ML M150P48-LIQ</v>
          </cell>
          <cell r="D5176">
            <v>0</v>
          </cell>
          <cell r="E5176">
            <v>0</v>
          </cell>
          <cell r="F5176">
            <v>0</v>
          </cell>
        </row>
        <row r="5177">
          <cell r="B5177">
            <v>40061472</v>
          </cell>
          <cell r="C5177" t="str">
            <v>*PA ASL GM 45ML TRAVEL PACK MRP99P72-LIQ</v>
          </cell>
          <cell r="D5177">
            <v>0</v>
          </cell>
          <cell r="E5177">
            <v>0</v>
          </cell>
          <cell r="F5177">
            <v>0</v>
          </cell>
        </row>
        <row r="5178">
          <cell r="B5178">
            <v>40061476</v>
          </cell>
          <cell r="C5178" t="str">
            <v>*PA ASL GM 45ML TRAVEL PACK G M99P72-LIQ</v>
          </cell>
          <cell r="D5178">
            <v>0</v>
          </cell>
          <cell r="E5178">
            <v>0</v>
          </cell>
          <cell r="F5178">
            <v>0</v>
          </cell>
        </row>
        <row r="5179">
          <cell r="B5179">
            <v>40061189</v>
          </cell>
          <cell r="C5179" t="str">
            <v>PA LUXURY GROOMING KIT M 780.00 P6-LIQ</v>
          </cell>
          <cell r="D5179">
            <v>0</v>
          </cell>
          <cell r="E5179">
            <v>0</v>
          </cell>
          <cell r="F5179">
            <v>0</v>
          </cell>
        </row>
        <row r="5180">
          <cell r="B5180">
            <v>40061191</v>
          </cell>
          <cell r="C5180" t="str">
            <v>PA 9IN1 ULTIMATE GR. KIT M1599P8-LIQ</v>
          </cell>
          <cell r="D5180">
            <v>0</v>
          </cell>
          <cell r="E5180">
            <v>0</v>
          </cell>
          <cell r="F5180">
            <v>0</v>
          </cell>
        </row>
        <row r="5181">
          <cell r="B5181">
            <v>40061193</v>
          </cell>
          <cell r="C5181" t="str">
            <v>PA GD MRNG GROOMING KIT M625.00 P6-LIQ</v>
          </cell>
          <cell r="D5181">
            <v>0</v>
          </cell>
          <cell r="E5181">
            <v>0</v>
          </cell>
          <cell r="F5181">
            <v>0</v>
          </cell>
        </row>
        <row r="5182">
          <cell r="B5182">
            <v>40061194</v>
          </cell>
          <cell r="C5182" t="str">
            <v>PA ESSENTIAL GROOMING KIT M460P6-LIQ</v>
          </cell>
          <cell r="D5182">
            <v>0</v>
          </cell>
          <cell r="E5182">
            <v>0</v>
          </cell>
          <cell r="F5182">
            <v>0</v>
          </cell>
        </row>
        <row r="5183">
          <cell r="B5183">
            <v>40061195</v>
          </cell>
          <cell r="C5183" t="str">
            <v>PA GD MRNG GROOMING KIT M625P6-LIQ</v>
          </cell>
          <cell r="D5183">
            <v>0</v>
          </cell>
          <cell r="E5183">
            <v>0</v>
          </cell>
          <cell r="F5183">
            <v>0</v>
          </cell>
        </row>
        <row r="5184">
          <cell r="B5184">
            <v>40061197</v>
          </cell>
          <cell r="C5184" t="str">
            <v>PA LUXURY GROOMING COLLECTN M780P12-LIQ</v>
          </cell>
          <cell r="D5184">
            <v>0</v>
          </cell>
          <cell r="E5184">
            <v>0</v>
          </cell>
          <cell r="F5184">
            <v>0</v>
          </cell>
        </row>
        <row r="5185">
          <cell r="B5185">
            <v>40061079</v>
          </cell>
          <cell r="C5185" t="str">
            <v>PREMIUM EDC PET 100ML M150P48-LIQ</v>
          </cell>
          <cell r="D5185">
            <v>0</v>
          </cell>
          <cell r="E5185">
            <v>0</v>
          </cell>
          <cell r="F5185">
            <v>0</v>
          </cell>
        </row>
        <row r="5186">
          <cell r="B5186">
            <v>40061087</v>
          </cell>
          <cell r="C5186" t="str">
            <v>PREMIUM EDC PET 200ML M220P24-LIQ</v>
          </cell>
          <cell r="D5186">
            <v>0</v>
          </cell>
          <cell r="E5186">
            <v>0</v>
          </cell>
          <cell r="F5186">
            <v>0</v>
          </cell>
        </row>
        <row r="5187">
          <cell r="B5187">
            <v>40040388</v>
          </cell>
          <cell r="C5187" t="str">
            <v>PR EDC Regular 100 ML (MRP135)P48</v>
          </cell>
          <cell r="D5187">
            <v>0</v>
          </cell>
          <cell r="E5187">
            <v>0</v>
          </cell>
          <cell r="F5187">
            <v>0</v>
          </cell>
        </row>
        <row r="5188">
          <cell r="B5188">
            <v>40041108</v>
          </cell>
          <cell r="C5188" t="str">
            <v>PREMIUM EDC NEW PET 100ml (New M 150)P48</v>
          </cell>
          <cell r="D5188">
            <v>0</v>
          </cell>
          <cell r="E5188">
            <v>0</v>
          </cell>
          <cell r="F5188">
            <v>0</v>
          </cell>
        </row>
        <row r="5189">
          <cell r="B5189">
            <v>40050595</v>
          </cell>
          <cell r="C5189" t="str">
            <v>PREMIUM EDC PET 100ML M150.00 P48</v>
          </cell>
          <cell r="D5189">
            <v>0</v>
          </cell>
          <cell r="E5189">
            <v>0</v>
          </cell>
          <cell r="F5189">
            <v>0</v>
          </cell>
        </row>
        <row r="5190">
          <cell r="B5190">
            <v>40040387</v>
          </cell>
          <cell r="C5190" t="str">
            <v>PR EDC Regular 200 ML (MRP 199)P24</v>
          </cell>
          <cell r="D5190">
            <v>0</v>
          </cell>
          <cell r="E5190">
            <v>0</v>
          </cell>
          <cell r="F5190">
            <v>0</v>
          </cell>
        </row>
        <row r="5191">
          <cell r="B5191">
            <v>40042857</v>
          </cell>
          <cell r="C5191" t="str">
            <v>PREMIUM EDC PET 200ML M220P24</v>
          </cell>
          <cell r="D5191">
            <v>0</v>
          </cell>
          <cell r="E5191">
            <v>0</v>
          </cell>
          <cell r="F5191">
            <v>0</v>
          </cell>
        </row>
        <row r="5192">
          <cell r="B5192">
            <v>40061157</v>
          </cell>
          <cell r="C5192" t="str">
            <v>PREMIUM EDC PET 200ML M220.00 P24-LIQ</v>
          </cell>
          <cell r="D5192">
            <v>0</v>
          </cell>
          <cell r="E5192">
            <v>0</v>
          </cell>
          <cell r="F5192">
            <v>0</v>
          </cell>
        </row>
        <row r="5193">
          <cell r="B5193">
            <v>40040598</v>
          </cell>
          <cell r="C5193" t="str">
            <v>PR EDC Regular 50 ML (MRP99) RLP96</v>
          </cell>
          <cell r="D5193">
            <v>0</v>
          </cell>
          <cell r="E5193">
            <v>0</v>
          </cell>
          <cell r="F5193">
            <v>0</v>
          </cell>
        </row>
        <row r="5194">
          <cell r="B5194">
            <v>40041153</v>
          </cell>
          <cell r="C5194" t="str">
            <v>PREMIUM EDC NEW PET 50ml (New M 110)P96</v>
          </cell>
          <cell r="D5194">
            <v>0</v>
          </cell>
          <cell r="E5194">
            <v>0</v>
          </cell>
          <cell r="F5194">
            <v>0</v>
          </cell>
        </row>
        <row r="5195">
          <cell r="B5195">
            <v>40042858</v>
          </cell>
          <cell r="C5195" t="str">
            <v>PREMIUM EDC PET 50ML M110P96</v>
          </cell>
          <cell r="D5195">
            <v>0</v>
          </cell>
          <cell r="E5195">
            <v>0</v>
          </cell>
          <cell r="F5195">
            <v>0</v>
          </cell>
        </row>
        <row r="5196">
          <cell r="B5196">
            <v>40060780</v>
          </cell>
          <cell r="C5196" t="str">
            <v>Muuchstac Ocn 3in1 BodyWash M299 PO1 P72</v>
          </cell>
          <cell r="D5196">
            <v>0</v>
          </cell>
          <cell r="E5196">
            <v>0</v>
          </cell>
          <cell r="F5196">
            <v>0</v>
          </cell>
        </row>
        <row r="5197">
          <cell r="B5197">
            <v>40060781</v>
          </cell>
          <cell r="C5197" t="str">
            <v>Muuchstac Ocn 3in1 BodyWash M598 PO2 P36</v>
          </cell>
          <cell r="D5197">
            <v>0</v>
          </cell>
          <cell r="E5197">
            <v>0</v>
          </cell>
          <cell r="F5197">
            <v>0</v>
          </cell>
        </row>
        <row r="5198">
          <cell r="B5198">
            <v>40063555</v>
          </cell>
          <cell r="C5198" t="str">
            <v>Muuchstac Ocean Facewash M99 PO1 P-100</v>
          </cell>
          <cell r="D5198">
            <v>0</v>
          </cell>
          <cell r="E5198">
            <v>0</v>
          </cell>
          <cell r="F5198">
            <v>0</v>
          </cell>
        </row>
        <row r="5199">
          <cell r="B5199">
            <v>40060778</v>
          </cell>
          <cell r="C5199" t="str">
            <v>Muuchst Ocn Moist&amp;Sunscrn M249 PO1 P130</v>
          </cell>
          <cell r="D5199">
            <v>0</v>
          </cell>
          <cell r="E5199">
            <v>0</v>
          </cell>
          <cell r="F5199">
            <v>0</v>
          </cell>
        </row>
        <row r="5200">
          <cell r="B5200">
            <v>40060779</v>
          </cell>
          <cell r="C5200" t="str">
            <v>Muuchstac Ocn Moist&amp;Sunscn M498 PO2 P60</v>
          </cell>
          <cell r="D5200">
            <v>0</v>
          </cell>
          <cell r="E5200">
            <v>0</v>
          </cell>
          <cell r="F5200">
            <v>0</v>
          </cell>
        </row>
        <row r="5201">
          <cell r="B5201">
            <v>40012077</v>
          </cell>
          <cell r="C5201" t="str">
            <v>Cin Original Talc 300g Pk24  new – EXP</v>
          </cell>
          <cell r="D5201">
            <v>0</v>
          </cell>
          <cell r="E5201">
            <v>0</v>
          </cell>
          <cell r="F5201">
            <v>0</v>
          </cell>
        </row>
        <row r="5202">
          <cell r="B5202">
            <v>40033951</v>
          </cell>
          <cell r="C5202" t="str">
            <v>Cin Original Talc 300G PK24 - EXP CC</v>
          </cell>
          <cell r="D5202">
            <v>0</v>
          </cell>
          <cell r="E5202">
            <v>0</v>
          </cell>
          <cell r="F5202">
            <v>0</v>
          </cell>
        </row>
        <row r="5203">
          <cell r="B5203">
            <v>40033926</v>
          </cell>
          <cell r="C5203" t="str">
            <v>Cin Lime Talc 300G PK24 - EXP CC</v>
          </cell>
          <cell r="D5203">
            <v>0</v>
          </cell>
          <cell r="E5203">
            <v>0</v>
          </cell>
          <cell r="F5203">
            <v>0</v>
          </cell>
        </row>
        <row r="5204">
          <cell r="B5204">
            <v>40041736</v>
          </cell>
          <cell r="C5204" t="str">
            <v>PA NEO MEGA 220 ML P72 W/O MRP-EXP</v>
          </cell>
          <cell r="D5204">
            <v>0</v>
          </cell>
          <cell r="E5204">
            <v>0</v>
          </cell>
          <cell r="F5204">
            <v>0</v>
          </cell>
        </row>
        <row r="5205">
          <cell r="B5205">
            <v>40058120</v>
          </cell>
          <cell r="C5205" t="str">
            <v>PA EDP 4X20ML GIFT SET M849 P24 BD</v>
          </cell>
          <cell r="D5205">
            <v>0</v>
          </cell>
          <cell r="E5205">
            <v>0</v>
          </cell>
          <cell r="F5205">
            <v>0</v>
          </cell>
        </row>
        <row r="5206">
          <cell r="B5206">
            <v>40058125</v>
          </cell>
          <cell r="C5206" t="str">
            <v>PA EDP 4X20ML GIFT SET P12 EXP CC</v>
          </cell>
          <cell r="D5206">
            <v>0</v>
          </cell>
          <cell r="E5206">
            <v>0</v>
          </cell>
          <cell r="F5206">
            <v>0</v>
          </cell>
        </row>
        <row r="5207">
          <cell r="B5207">
            <v>40059115</v>
          </cell>
          <cell r="C5207" t="str">
            <v>PA EDP 4X20ML  GFT SET M849P12-WIND-BD</v>
          </cell>
          <cell r="D5207">
            <v>0</v>
          </cell>
          <cell r="E5207">
            <v>0</v>
          </cell>
          <cell r="F5207">
            <v>0</v>
          </cell>
        </row>
        <row r="5208">
          <cell r="B5208">
            <v>40065493</v>
          </cell>
          <cell r="C5208" t="str">
            <v>EZEE 2KG POUCH M460 P6 NF OA N PACK NPL</v>
          </cell>
          <cell r="D5208">
            <v>0</v>
          </cell>
          <cell r="E5208">
            <v>0</v>
          </cell>
          <cell r="F5208">
            <v>0</v>
          </cell>
        </row>
        <row r="5209">
          <cell r="B5209">
            <v>40064207</v>
          </cell>
          <cell r="C5209" t="str">
            <v>GRCRM20G+20ML+2MLBKBRN PO10P240M40ND NPL</v>
          </cell>
          <cell r="D5209">
            <v>0</v>
          </cell>
          <cell r="E5209">
            <v>0</v>
          </cell>
          <cell r="F5209">
            <v>0</v>
          </cell>
        </row>
        <row r="5210">
          <cell r="B5210">
            <v>40064906</v>
          </cell>
          <cell r="C5210" t="str">
            <v>HIT RAT KILL M35 P360</v>
          </cell>
          <cell r="D5210">
            <v>0</v>
          </cell>
          <cell r="E5210">
            <v>0</v>
          </cell>
          <cell r="F5210">
            <v>0</v>
          </cell>
        </row>
        <row r="5211">
          <cell r="B5211">
            <v>40065227</v>
          </cell>
          <cell r="C5211" t="str">
            <v>PA EDP CONQ 100ML P12 NEWAW EXP CC</v>
          </cell>
          <cell r="D5211">
            <v>0</v>
          </cell>
          <cell r="E5211">
            <v>0</v>
          </cell>
          <cell r="F5211">
            <v>0</v>
          </cell>
        </row>
        <row r="5212">
          <cell r="B5212">
            <v>40058691</v>
          </cell>
          <cell r="C5212" t="str">
            <v>PA EDP OUD 100ML P12 EXP W/O M</v>
          </cell>
          <cell r="D5212">
            <v>0</v>
          </cell>
          <cell r="E5212">
            <v>0</v>
          </cell>
          <cell r="F5212">
            <v>0</v>
          </cell>
        </row>
        <row r="5213">
          <cell r="B5213">
            <v>40037090</v>
          </cell>
          <cell r="C5213" t="str">
            <v>*Cin Lime 125g PO3 (banded) M156 P40-MT</v>
          </cell>
          <cell r="D5213">
            <v>0</v>
          </cell>
          <cell r="E5213">
            <v>0</v>
          </cell>
          <cell r="F5213">
            <v>0</v>
          </cell>
        </row>
        <row r="5214">
          <cell r="B5214">
            <v>40065908</v>
          </cell>
          <cell r="C5214" t="str">
            <v>CIN LIME100GPO5M190P36BANDED RSTRD NEWAW</v>
          </cell>
          <cell r="D5214">
            <v>0</v>
          </cell>
          <cell r="E5214">
            <v>0</v>
          </cell>
          <cell r="F5214">
            <v>0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ale 30 10"/>
    </sheetNames>
    <sheetDataSet>
      <sheetData sheetId="0">
        <row r="1">
          <cell r="A1" t="str">
            <v>D</v>
          </cell>
          <cell r="B1" t="str">
            <v>Sum of   Quantity</v>
          </cell>
        </row>
        <row r="2">
          <cell r="A2" t="str">
            <v>C04240041526</v>
          </cell>
          <cell r="B2">
            <v>30</v>
          </cell>
        </row>
        <row r="3">
          <cell r="A3" t="str">
            <v>C04240041820</v>
          </cell>
          <cell r="B3">
            <v>6</v>
          </cell>
        </row>
        <row r="4">
          <cell r="A4" t="str">
            <v>C04240049654</v>
          </cell>
          <cell r="B4">
            <v>5</v>
          </cell>
        </row>
        <row r="5">
          <cell r="A5" t="str">
            <v>C04240049658</v>
          </cell>
          <cell r="B5">
            <v>20</v>
          </cell>
        </row>
        <row r="6">
          <cell r="A6" t="str">
            <v>C04240049729</v>
          </cell>
          <cell r="B6">
            <v>106</v>
          </cell>
        </row>
        <row r="7">
          <cell r="A7" t="str">
            <v>C04240049906</v>
          </cell>
          <cell r="B7">
            <v>147</v>
          </cell>
        </row>
        <row r="8">
          <cell r="A8" t="str">
            <v>C04240049949</v>
          </cell>
          <cell r="B8">
            <v>80</v>
          </cell>
        </row>
        <row r="9">
          <cell r="A9" t="str">
            <v>C04240050073</v>
          </cell>
          <cell r="B9">
            <v>7</v>
          </cell>
        </row>
        <row r="10">
          <cell r="A10" t="str">
            <v>C04240050411</v>
          </cell>
          <cell r="B10">
            <v>101</v>
          </cell>
        </row>
        <row r="11">
          <cell r="A11" t="str">
            <v>C04240050728</v>
          </cell>
          <cell r="B11">
            <v>5</v>
          </cell>
        </row>
        <row r="12">
          <cell r="A12" t="str">
            <v>C04240050877</v>
          </cell>
          <cell r="B12">
            <v>2</v>
          </cell>
        </row>
        <row r="13">
          <cell r="A13" t="str">
            <v>C04240057243</v>
          </cell>
          <cell r="B13">
            <v>100</v>
          </cell>
        </row>
        <row r="14">
          <cell r="A14" t="str">
            <v>C04240060029</v>
          </cell>
          <cell r="B14">
            <v>15</v>
          </cell>
        </row>
        <row r="15">
          <cell r="A15" t="str">
            <v>C04240060030</v>
          </cell>
          <cell r="B15">
            <v>135</v>
          </cell>
        </row>
        <row r="16">
          <cell r="A16" t="str">
            <v>C04240060033</v>
          </cell>
          <cell r="B16">
            <v>141</v>
          </cell>
        </row>
        <row r="17">
          <cell r="A17" t="str">
            <v>C04240060034</v>
          </cell>
          <cell r="B17">
            <v>79</v>
          </cell>
        </row>
        <row r="18">
          <cell r="A18" t="str">
            <v>C04240060449</v>
          </cell>
          <cell r="B18">
            <v>20</v>
          </cell>
        </row>
        <row r="19">
          <cell r="A19" t="str">
            <v>C04240060450</v>
          </cell>
          <cell r="B19">
            <v>20</v>
          </cell>
        </row>
        <row r="20">
          <cell r="A20" t="str">
            <v>C04240060535</v>
          </cell>
          <cell r="B20">
            <v>2</v>
          </cell>
        </row>
        <row r="21">
          <cell r="A21" t="str">
            <v>C04240060996</v>
          </cell>
          <cell r="B21">
            <v>34</v>
          </cell>
        </row>
        <row r="22">
          <cell r="A22" t="str">
            <v>C04240061000</v>
          </cell>
          <cell r="B22">
            <v>5</v>
          </cell>
        </row>
        <row r="23">
          <cell r="A23" t="str">
            <v>C04240061668</v>
          </cell>
          <cell r="B23">
            <v>150</v>
          </cell>
        </row>
        <row r="24">
          <cell r="A24" t="str">
            <v>C04240061999</v>
          </cell>
          <cell r="B24">
            <v>44</v>
          </cell>
        </row>
        <row r="25">
          <cell r="A25" t="str">
            <v>C04240062017</v>
          </cell>
          <cell r="B25">
            <v>4</v>
          </cell>
        </row>
        <row r="26">
          <cell r="A26" t="str">
            <v>C04240062018</v>
          </cell>
          <cell r="B26">
            <v>71</v>
          </cell>
        </row>
        <row r="27">
          <cell r="A27" t="str">
            <v>C04240062024</v>
          </cell>
          <cell r="B27">
            <v>22</v>
          </cell>
        </row>
        <row r="28">
          <cell r="A28" t="str">
            <v>C04240062345</v>
          </cell>
          <cell r="B28">
            <v>10</v>
          </cell>
        </row>
        <row r="29">
          <cell r="A29" t="str">
            <v>C04240062464</v>
          </cell>
          <cell r="B29">
            <v>20</v>
          </cell>
        </row>
        <row r="30">
          <cell r="A30" t="str">
            <v>C04240062518</v>
          </cell>
          <cell r="B30">
            <v>20</v>
          </cell>
        </row>
        <row r="31">
          <cell r="A31" t="str">
            <v>C04240062519</v>
          </cell>
          <cell r="B31">
            <v>5</v>
          </cell>
        </row>
        <row r="32">
          <cell r="A32" t="str">
            <v>C04240063016</v>
          </cell>
          <cell r="B32">
            <v>13</v>
          </cell>
        </row>
        <row r="33">
          <cell r="A33" t="str">
            <v>C04240063018</v>
          </cell>
          <cell r="B33">
            <v>119</v>
          </cell>
        </row>
        <row r="34">
          <cell r="A34" t="str">
            <v>C04240063020</v>
          </cell>
          <cell r="B34">
            <v>44</v>
          </cell>
        </row>
        <row r="35">
          <cell r="A35" t="str">
            <v>C04240063021</v>
          </cell>
          <cell r="B35">
            <v>14</v>
          </cell>
        </row>
        <row r="36">
          <cell r="A36" t="str">
            <v>C04240063022</v>
          </cell>
          <cell r="B36">
            <v>70</v>
          </cell>
        </row>
        <row r="37">
          <cell r="A37" t="str">
            <v>C04240063025</v>
          </cell>
          <cell r="B37">
            <v>200</v>
          </cell>
        </row>
        <row r="38">
          <cell r="A38" t="str">
            <v>C04240063168</v>
          </cell>
          <cell r="B38">
            <v>10</v>
          </cell>
        </row>
        <row r="39">
          <cell r="A39" t="str">
            <v>C04240063169</v>
          </cell>
          <cell r="B39">
            <v>7</v>
          </cell>
        </row>
        <row r="40">
          <cell r="A40" t="str">
            <v>C04240063178</v>
          </cell>
          <cell r="B40">
            <v>18</v>
          </cell>
        </row>
        <row r="41">
          <cell r="A41" t="str">
            <v>C04240063179</v>
          </cell>
          <cell r="B41">
            <v>56</v>
          </cell>
        </row>
        <row r="42">
          <cell r="A42" t="str">
            <v>C04240063421</v>
          </cell>
          <cell r="B42">
            <v>5</v>
          </cell>
        </row>
        <row r="43">
          <cell r="A43" t="str">
            <v>C04240063427</v>
          </cell>
          <cell r="B43">
            <v>4</v>
          </cell>
        </row>
        <row r="44">
          <cell r="A44" t="str">
            <v>C04240063489</v>
          </cell>
          <cell r="B44">
            <v>28</v>
          </cell>
        </row>
        <row r="45">
          <cell r="A45" t="str">
            <v>C04240063539</v>
          </cell>
          <cell r="B45">
            <v>100</v>
          </cell>
        </row>
        <row r="46">
          <cell r="A46" t="str">
            <v>C04240063604</v>
          </cell>
          <cell r="B46">
            <v>181</v>
          </cell>
        </row>
        <row r="47">
          <cell r="A47" t="str">
            <v>C04240063605</v>
          </cell>
          <cell r="B47">
            <v>3</v>
          </cell>
        </row>
        <row r="48">
          <cell r="A48" t="str">
            <v>C04240063606</v>
          </cell>
          <cell r="B48">
            <v>10</v>
          </cell>
        </row>
        <row r="49">
          <cell r="A49" t="str">
            <v>C04240063614</v>
          </cell>
          <cell r="B49">
            <v>50</v>
          </cell>
        </row>
        <row r="50">
          <cell r="A50" t="str">
            <v>C04240063637</v>
          </cell>
          <cell r="B50">
            <v>5</v>
          </cell>
        </row>
        <row r="51">
          <cell r="A51" t="str">
            <v>C04240063688</v>
          </cell>
          <cell r="B51">
            <v>106</v>
          </cell>
        </row>
        <row r="52">
          <cell r="A52" t="str">
            <v>C04240063689</v>
          </cell>
          <cell r="B52">
            <v>36</v>
          </cell>
        </row>
        <row r="53">
          <cell r="A53" t="str">
            <v>C04240063699</v>
          </cell>
          <cell r="B53">
            <v>33</v>
          </cell>
        </row>
        <row r="54">
          <cell r="A54" t="str">
            <v>C04240063700</v>
          </cell>
          <cell r="B54">
            <v>52</v>
          </cell>
        </row>
        <row r="55">
          <cell r="A55" t="str">
            <v>C04240063747</v>
          </cell>
          <cell r="B55">
            <v>62</v>
          </cell>
        </row>
        <row r="56">
          <cell r="A56" t="str">
            <v>C04240063753</v>
          </cell>
          <cell r="B56">
            <v>240</v>
          </cell>
        </row>
        <row r="57">
          <cell r="A57" t="str">
            <v>C04240063754</v>
          </cell>
          <cell r="B57">
            <v>7</v>
          </cell>
        </row>
        <row r="58">
          <cell r="A58" t="str">
            <v>C04240063756</v>
          </cell>
          <cell r="B58">
            <v>50</v>
          </cell>
        </row>
        <row r="59">
          <cell r="A59" t="str">
            <v>C04240063757</v>
          </cell>
          <cell r="B59">
            <v>99</v>
          </cell>
        </row>
        <row r="60">
          <cell r="A60" t="str">
            <v>C04240063794</v>
          </cell>
          <cell r="B60">
            <v>4</v>
          </cell>
        </row>
        <row r="61">
          <cell r="A61" t="str">
            <v>C04240064109</v>
          </cell>
          <cell r="B61">
            <v>10</v>
          </cell>
        </row>
        <row r="62">
          <cell r="A62" t="str">
            <v>C04240064375</v>
          </cell>
          <cell r="B62">
            <v>2</v>
          </cell>
        </row>
        <row r="63">
          <cell r="A63" t="str">
            <v>C04240064427</v>
          </cell>
          <cell r="B63">
            <v>11</v>
          </cell>
        </row>
        <row r="64">
          <cell r="A64" t="str">
            <v>C04240064428</v>
          </cell>
          <cell r="B64">
            <v>11</v>
          </cell>
        </row>
        <row r="65">
          <cell r="A65" t="str">
            <v>C04240064430</v>
          </cell>
          <cell r="B65">
            <v>73</v>
          </cell>
        </row>
        <row r="66">
          <cell r="A66" t="str">
            <v>C04240064472</v>
          </cell>
          <cell r="B66">
            <v>30</v>
          </cell>
        </row>
        <row r="67">
          <cell r="A67" t="str">
            <v>C04240064503</v>
          </cell>
          <cell r="B67">
            <v>1</v>
          </cell>
        </row>
        <row r="68">
          <cell r="A68" t="str">
            <v>C04240064558</v>
          </cell>
          <cell r="B68">
            <v>40</v>
          </cell>
        </row>
        <row r="69">
          <cell r="A69" t="str">
            <v>C04240064685</v>
          </cell>
          <cell r="B69">
            <v>14</v>
          </cell>
        </row>
        <row r="70">
          <cell r="A70" t="str">
            <v>C04240064688</v>
          </cell>
          <cell r="B70">
            <v>154</v>
          </cell>
        </row>
        <row r="71">
          <cell r="A71" t="str">
            <v>C04240064881</v>
          </cell>
          <cell r="B71">
            <v>11</v>
          </cell>
        </row>
        <row r="72">
          <cell r="A72" t="str">
            <v>C04240064885</v>
          </cell>
          <cell r="B72">
            <v>1</v>
          </cell>
        </row>
        <row r="73">
          <cell r="A73" t="str">
            <v>C04240064886</v>
          </cell>
          <cell r="B73">
            <v>29</v>
          </cell>
        </row>
        <row r="74">
          <cell r="A74" t="str">
            <v>C04240064913</v>
          </cell>
          <cell r="B74">
            <v>6</v>
          </cell>
        </row>
        <row r="75">
          <cell r="A75" t="str">
            <v>C04240064998</v>
          </cell>
          <cell r="B75">
            <v>2</v>
          </cell>
        </row>
        <row r="76">
          <cell r="A76" t="str">
            <v>C04240065000</v>
          </cell>
          <cell r="B76">
            <v>18</v>
          </cell>
        </row>
        <row r="77">
          <cell r="A77" t="str">
            <v>C04240065157</v>
          </cell>
          <cell r="B77">
            <v>150</v>
          </cell>
        </row>
        <row r="78">
          <cell r="A78" t="str">
            <v>C04240065256</v>
          </cell>
          <cell r="B78">
            <v>11</v>
          </cell>
        </row>
        <row r="79">
          <cell r="A79" t="str">
            <v>C04240065291</v>
          </cell>
          <cell r="B79">
            <v>715</v>
          </cell>
        </row>
        <row r="80">
          <cell r="A80" t="str">
            <v>C04240065335</v>
          </cell>
          <cell r="B80">
            <v>4</v>
          </cell>
        </row>
        <row r="81">
          <cell r="A81" t="str">
            <v>C04240065338</v>
          </cell>
          <cell r="B81">
            <v>300</v>
          </cell>
        </row>
        <row r="82">
          <cell r="A82" t="str">
            <v>C04240065346</v>
          </cell>
          <cell r="B82">
            <v>20</v>
          </cell>
        </row>
        <row r="83">
          <cell r="A83" t="str">
            <v>C04340037927</v>
          </cell>
          <cell r="B83">
            <v>2</v>
          </cell>
        </row>
        <row r="84">
          <cell r="A84" t="str">
            <v>C04340041316</v>
          </cell>
          <cell r="B84">
            <v>19</v>
          </cell>
        </row>
        <row r="85">
          <cell r="A85" t="str">
            <v>C04340041325</v>
          </cell>
          <cell r="B85">
            <v>54</v>
          </cell>
        </row>
        <row r="86">
          <cell r="A86" t="str">
            <v>C04340041820</v>
          </cell>
          <cell r="B86">
            <v>3</v>
          </cell>
        </row>
        <row r="87">
          <cell r="A87" t="str">
            <v>C04340044138</v>
          </cell>
          <cell r="B87">
            <v>23</v>
          </cell>
        </row>
        <row r="88">
          <cell r="A88" t="str">
            <v>C04340044139</v>
          </cell>
          <cell r="B88">
            <v>6</v>
          </cell>
        </row>
        <row r="89">
          <cell r="A89" t="str">
            <v>C04340049658</v>
          </cell>
          <cell r="B89">
            <v>10</v>
          </cell>
        </row>
        <row r="90">
          <cell r="A90" t="str">
            <v>C04340049906</v>
          </cell>
          <cell r="B90">
            <v>100</v>
          </cell>
        </row>
        <row r="91">
          <cell r="A91" t="str">
            <v>C04340050204</v>
          </cell>
          <cell r="B91">
            <v>3</v>
          </cell>
        </row>
        <row r="92">
          <cell r="A92" t="str">
            <v>C04340050590</v>
          </cell>
          <cell r="B92">
            <v>1</v>
          </cell>
        </row>
        <row r="93">
          <cell r="A93" t="str">
            <v>C04340050728</v>
          </cell>
          <cell r="B93">
            <v>37</v>
          </cell>
        </row>
        <row r="94">
          <cell r="A94" t="str">
            <v>C04340050877</v>
          </cell>
          <cell r="B94">
            <v>17</v>
          </cell>
        </row>
        <row r="95">
          <cell r="A95" t="str">
            <v>C04340055905</v>
          </cell>
          <cell r="B95">
            <v>10</v>
          </cell>
        </row>
        <row r="96">
          <cell r="A96" t="str">
            <v>C04340056378</v>
          </cell>
          <cell r="B96">
            <v>2</v>
          </cell>
        </row>
        <row r="97">
          <cell r="A97" t="str">
            <v>C04340057243</v>
          </cell>
          <cell r="B97">
            <v>100</v>
          </cell>
        </row>
        <row r="98">
          <cell r="A98" t="str">
            <v>C04340059401</v>
          </cell>
          <cell r="B98">
            <v>56</v>
          </cell>
        </row>
        <row r="99">
          <cell r="A99" t="str">
            <v>C04340059499</v>
          </cell>
          <cell r="B99">
            <v>16</v>
          </cell>
        </row>
        <row r="100">
          <cell r="A100" t="str">
            <v>C04340059534</v>
          </cell>
          <cell r="B100">
            <v>4</v>
          </cell>
        </row>
        <row r="101">
          <cell r="A101" t="str">
            <v>C04340059678</v>
          </cell>
          <cell r="B101">
            <v>60</v>
          </cell>
        </row>
        <row r="102">
          <cell r="A102" t="str">
            <v>C04340060029</v>
          </cell>
          <cell r="B102">
            <v>12</v>
          </cell>
        </row>
        <row r="103">
          <cell r="A103" t="str">
            <v>C04340060030</v>
          </cell>
          <cell r="B103">
            <v>100</v>
          </cell>
        </row>
        <row r="104">
          <cell r="A104" t="str">
            <v>C04340060032</v>
          </cell>
          <cell r="B104">
            <v>23</v>
          </cell>
        </row>
        <row r="105">
          <cell r="A105" t="str">
            <v>C04340060033</v>
          </cell>
          <cell r="B105">
            <v>11</v>
          </cell>
        </row>
        <row r="106">
          <cell r="A106" t="str">
            <v>C04340060034</v>
          </cell>
          <cell r="B106">
            <v>100</v>
          </cell>
        </row>
        <row r="107">
          <cell r="A107" t="str">
            <v>C04340060449</v>
          </cell>
          <cell r="B107">
            <v>20</v>
          </cell>
        </row>
        <row r="108">
          <cell r="A108" t="str">
            <v>C04340060450</v>
          </cell>
          <cell r="B108">
            <v>5</v>
          </cell>
        </row>
        <row r="109">
          <cell r="A109" t="str">
            <v>C04340060535</v>
          </cell>
          <cell r="B109">
            <v>3</v>
          </cell>
        </row>
        <row r="110">
          <cell r="A110" t="str">
            <v>C04340060996</v>
          </cell>
          <cell r="B110">
            <v>8</v>
          </cell>
        </row>
        <row r="111">
          <cell r="A111" t="str">
            <v>C04340061000</v>
          </cell>
          <cell r="B111">
            <v>4</v>
          </cell>
        </row>
        <row r="112">
          <cell r="A112" t="str">
            <v>C04340061084</v>
          </cell>
          <cell r="B112">
            <v>3</v>
          </cell>
        </row>
        <row r="113">
          <cell r="A113" t="str">
            <v>C04340062014</v>
          </cell>
          <cell r="B113">
            <v>20</v>
          </cell>
        </row>
        <row r="114">
          <cell r="A114" t="str">
            <v>C04340062024</v>
          </cell>
          <cell r="B114">
            <v>49</v>
          </cell>
        </row>
        <row r="115">
          <cell r="A115" t="str">
            <v>C04340062265</v>
          </cell>
          <cell r="B115">
            <v>50</v>
          </cell>
        </row>
        <row r="116">
          <cell r="A116" t="str">
            <v>C04340062301</v>
          </cell>
          <cell r="B116">
            <v>9</v>
          </cell>
        </row>
        <row r="117">
          <cell r="A117" t="str">
            <v>C04340062343</v>
          </cell>
          <cell r="B117">
            <v>30</v>
          </cell>
        </row>
        <row r="118">
          <cell r="A118" t="str">
            <v>C04340062345</v>
          </cell>
          <cell r="B118">
            <v>7</v>
          </cell>
        </row>
        <row r="119">
          <cell r="A119" t="str">
            <v>C04340062464</v>
          </cell>
          <cell r="B119">
            <v>14</v>
          </cell>
        </row>
        <row r="120">
          <cell r="A120" t="str">
            <v>C04340062518</v>
          </cell>
          <cell r="B120">
            <v>50</v>
          </cell>
        </row>
        <row r="121">
          <cell r="A121" t="str">
            <v>C04340062519</v>
          </cell>
          <cell r="B121">
            <v>5</v>
          </cell>
        </row>
        <row r="122">
          <cell r="A122" t="str">
            <v>C04340062536</v>
          </cell>
          <cell r="B122">
            <v>30</v>
          </cell>
        </row>
        <row r="123">
          <cell r="A123" t="str">
            <v>C04340062828</v>
          </cell>
          <cell r="B123">
            <v>2</v>
          </cell>
        </row>
        <row r="124">
          <cell r="A124" t="str">
            <v>C04340062859</v>
          </cell>
          <cell r="B124">
            <v>11</v>
          </cell>
        </row>
        <row r="125">
          <cell r="A125" t="str">
            <v>C04340063016</v>
          </cell>
          <cell r="B125">
            <v>8</v>
          </cell>
        </row>
        <row r="126">
          <cell r="A126" t="str">
            <v>C04340063018</v>
          </cell>
          <cell r="B126">
            <v>100</v>
          </cell>
        </row>
        <row r="127">
          <cell r="A127" t="str">
            <v>C04340063020</v>
          </cell>
          <cell r="B127">
            <v>100</v>
          </cell>
        </row>
        <row r="128">
          <cell r="A128" t="str">
            <v>C04340063021</v>
          </cell>
          <cell r="B128">
            <v>150</v>
          </cell>
        </row>
        <row r="129">
          <cell r="A129" t="str">
            <v>C04340063022</v>
          </cell>
          <cell r="B129">
            <v>65</v>
          </cell>
        </row>
        <row r="130">
          <cell r="A130" t="str">
            <v>C04340063025</v>
          </cell>
          <cell r="B130">
            <v>200</v>
          </cell>
        </row>
        <row r="131">
          <cell r="A131" t="str">
            <v>C04340063168</v>
          </cell>
          <cell r="B131">
            <v>13</v>
          </cell>
        </row>
        <row r="132">
          <cell r="A132" t="str">
            <v>C04340063169</v>
          </cell>
          <cell r="B132">
            <v>80</v>
          </cell>
        </row>
        <row r="133">
          <cell r="A133" t="str">
            <v>C04340063198</v>
          </cell>
          <cell r="B133">
            <v>28</v>
          </cell>
        </row>
        <row r="134">
          <cell r="A134" t="str">
            <v>C04340063476</v>
          </cell>
          <cell r="B134">
            <v>20</v>
          </cell>
        </row>
        <row r="135">
          <cell r="A135" t="str">
            <v>C04340063500</v>
          </cell>
          <cell r="B135">
            <v>6</v>
          </cell>
        </row>
        <row r="136">
          <cell r="A136" t="str">
            <v>C04340063581</v>
          </cell>
          <cell r="B136">
            <v>140</v>
          </cell>
        </row>
        <row r="137">
          <cell r="A137" t="str">
            <v>C04340063604</v>
          </cell>
          <cell r="B137">
            <v>15</v>
          </cell>
        </row>
        <row r="138">
          <cell r="A138" t="str">
            <v>C04340063606</v>
          </cell>
          <cell r="B138">
            <v>10</v>
          </cell>
        </row>
        <row r="139">
          <cell r="A139" t="str">
            <v>C04340063614</v>
          </cell>
          <cell r="B139">
            <v>100</v>
          </cell>
        </row>
        <row r="140">
          <cell r="A140" t="str">
            <v>C04340063637</v>
          </cell>
          <cell r="B140">
            <v>5</v>
          </cell>
        </row>
        <row r="141">
          <cell r="A141" t="str">
            <v>C04340063685</v>
          </cell>
          <cell r="B141">
            <v>180</v>
          </cell>
        </row>
        <row r="142">
          <cell r="A142" t="str">
            <v>C04340063686</v>
          </cell>
          <cell r="B142">
            <v>230</v>
          </cell>
        </row>
        <row r="143">
          <cell r="A143" t="str">
            <v>C04340063698</v>
          </cell>
          <cell r="B143">
            <v>1</v>
          </cell>
        </row>
        <row r="144">
          <cell r="A144" t="str">
            <v>C04340063699</v>
          </cell>
          <cell r="B144">
            <v>1</v>
          </cell>
        </row>
        <row r="145">
          <cell r="A145" t="str">
            <v>C04340063757</v>
          </cell>
          <cell r="B145">
            <v>100</v>
          </cell>
        </row>
        <row r="146">
          <cell r="A146" t="str">
            <v>C04340063758</v>
          </cell>
          <cell r="B146">
            <v>20</v>
          </cell>
        </row>
        <row r="147">
          <cell r="A147" t="str">
            <v>C04340063781</v>
          </cell>
          <cell r="B147">
            <v>76</v>
          </cell>
        </row>
        <row r="148">
          <cell r="A148" t="str">
            <v>C04340063794</v>
          </cell>
          <cell r="B148">
            <v>5</v>
          </cell>
        </row>
        <row r="149">
          <cell r="A149" t="str">
            <v>C04340064108</v>
          </cell>
          <cell r="B149">
            <v>5</v>
          </cell>
        </row>
        <row r="150">
          <cell r="A150" t="str">
            <v>C04340064109</v>
          </cell>
          <cell r="B150">
            <v>10</v>
          </cell>
        </row>
        <row r="151">
          <cell r="A151" t="str">
            <v>C04340064164</v>
          </cell>
          <cell r="B151">
            <v>10</v>
          </cell>
        </row>
        <row r="152">
          <cell r="A152" t="str">
            <v>C04340064377</v>
          </cell>
          <cell r="B152">
            <v>10</v>
          </cell>
        </row>
        <row r="153">
          <cell r="A153" t="str">
            <v>C04340064428</v>
          </cell>
          <cell r="B153">
            <v>13</v>
          </cell>
        </row>
        <row r="154">
          <cell r="A154" t="str">
            <v>C04340064430</v>
          </cell>
          <cell r="B154">
            <v>20</v>
          </cell>
        </row>
        <row r="155">
          <cell r="A155" t="str">
            <v>C04340064472</v>
          </cell>
          <cell r="B155">
            <v>35</v>
          </cell>
        </row>
        <row r="156">
          <cell r="A156" t="str">
            <v>C04340064497</v>
          </cell>
          <cell r="B156">
            <v>100</v>
          </cell>
        </row>
        <row r="157">
          <cell r="A157" t="str">
            <v>C04340064503</v>
          </cell>
          <cell r="B157">
            <v>300</v>
          </cell>
        </row>
        <row r="158">
          <cell r="A158" t="str">
            <v>C04340064535</v>
          </cell>
          <cell r="B158">
            <v>20</v>
          </cell>
        </row>
        <row r="159">
          <cell r="A159" t="str">
            <v>C04340064685</v>
          </cell>
          <cell r="B159">
            <v>50</v>
          </cell>
        </row>
        <row r="160">
          <cell r="A160" t="str">
            <v>C04340064688</v>
          </cell>
          <cell r="B160">
            <v>14</v>
          </cell>
        </row>
        <row r="161">
          <cell r="A161" t="str">
            <v>C04340064695</v>
          </cell>
          <cell r="B161">
            <v>25</v>
          </cell>
        </row>
        <row r="162">
          <cell r="A162" t="str">
            <v>C04340064727</v>
          </cell>
          <cell r="B162">
            <v>110</v>
          </cell>
        </row>
        <row r="163">
          <cell r="A163" t="str">
            <v>C04340064844</v>
          </cell>
          <cell r="B163">
            <v>200</v>
          </cell>
        </row>
        <row r="164">
          <cell r="A164" t="str">
            <v>C04340064881</v>
          </cell>
          <cell r="B164">
            <v>8</v>
          </cell>
        </row>
        <row r="165">
          <cell r="A165" t="str">
            <v>C04340064885</v>
          </cell>
          <cell r="B165">
            <v>10</v>
          </cell>
        </row>
        <row r="166">
          <cell r="A166" t="str">
            <v>C04340064886</v>
          </cell>
          <cell r="B166">
            <v>66</v>
          </cell>
        </row>
        <row r="167">
          <cell r="A167" t="str">
            <v>C04340064893</v>
          </cell>
          <cell r="B167">
            <v>5</v>
          </cell>
        </row>
        <row r="168">
          <cell r="A168" t="str">
            <v>C04340064907</v>
          </cell>
          <cell r="B168">
            <v>30</v>
          </cell>
        </row>
        <row r="169">
          <cell r="A169" t="str">
            <v>C04340064957</v>
          </cell>
          <cell r="B169">
            <v>30</v>
          </cell>
        </row>
        <row r="170">
          <cell r="A170" t="str">
            <v>C04340065002</v>
          </cell>
          <cell r="B170">
            <v>17</v>
          </cell>
        </row>
        <row r="171">
          <cell r="A171" t="str">
            <v>C04340065039</v>
          </cell>
          <cell r="B171">
            <v>10</v>
          </cell>
        </row>
        <row r="172">
          <cell r="A172" t="str">
            <v>C04340065157</v>
          </cell>
          <cell r="B172">
            <v>100</v>
          </cell>
        </row>
        <row r="173">
          <cell r="A173" t="str">
            <v>C04340065256</v>
          </cell>
          <cell r="B173">
            <v>34</v>
          </cell>
        </row>
        <row r="174">
          <cell r="A174" t="str">
            <v>C04340065274</v>
          </cell>
          <cell r="B174">
            <v>53</v>
          </cell>
        </row>
        <row r="175">
          <cell r="A175" t="str">
            <v>C04340065278</v>
          </cell>
          <cell r="B175">
            <v>120</v>
          </cell>
        </row>
        <row r="176">
          <cell r="A176" t="str">
            <v>C04340065292</v>
          </cell>
          <cell r="B176">
            <v>50</v>
          </cell>
        </row>
        <row r="177">
          <cell r="A177" t="str">
            <v>C04340065335</v>
          </cell>
          <cell r="B177">
            <v>8</v>
          </cell>
        </row>
        <row r="178">
          <cell r="A178" t="str">
            <v>C04340065338</v>
          </cell>
          <cell r="B178">
            <v>250</v>
          </cell>
        </row>
        <row r="179">
          <cell r="A179" t="str">
            <v>C04340065350</v>
          </cell>
          <cell r="B179">
            <v>20</v>
          </cell>
        </row>
        <row r="180">
          <cell r="A180" t="str">
            <v>C04340065374</v>
          </cell>
          <cell r="B180">
            <v>9</v>
          </cell>
        </row>
        <row r="181">
          <cell r="A181" t="str">
            <v>C04440038891</v>
          </cell>
          <cell r="B181">
            <v>1</v>
          </cell>
        </row>
        <row r="182">
          <cell r="A182" t="str">
            <v>C04440041315</v>
          </cell>
          <cell r="B182">
            <v>18</v>
          </cell>
        </row>
        <row r="183">
          <cell r="A183" t="str">
            <v>C04440041820</v>
          </cell>
          <cell r="B183">
            <v>1</v>
          </cell>
        </row>
        <row r="184">
          <cell r="A184" t="str">
            <v>C04440042746</v>
          </cell>
          <cell r="B184">
            <v>5</v>
          </cell>
        </row>
        <row r="185">
          <cell r="A185" t="str">
            <v>C04440049729</v>
          </cell>
          <cell r="B185">
            <v>65</v>
          </cell>
        </row>
        <row r="186">
          <cell r="A186" t="str">
            <v>C04440050728</v>
          </cell>
          <cell r="B186">
            <v>30</v>
          </cell>
        </row>
        <row r="187">
          <cell r="A187" t="str">
            <v>C04440059678</v>
          </cell>
          <cell r="B187">
            <v>40</v>
          </cell>
        </row>
        <row r="188">
          <cell r="A188" t="str">
            <v>C04440060034</v>
          </cell>
          <cell r="B188">
            <v>70</v>
          </cell>
        </row>
        <row r="189">
          <cell r="A189" t="str">
            <v>C04440060535</v>
          </cell>
          <cell r="B189">
            <v>7</v>
          </cell>
        </row>
        <row r="190">
          <cell r="A190" t="str">
            <v>C04440060848</v>
          </cell>
          <cell r="B190">
            <v>80</v>
          </cell>
        </row>
        <row r="191">
          <cell r="A191" t="str">
            <v>C04440062018</v>
          </cell>
          <cell r="B191">
            <v>6</v>
          </cell>
        </row>
        <row r="192">
          <cell r="A192" t="str">
            <v>C04440062023</v>
          </cell>
          <cell r="B192">
            <v>150</v>
          </cell>
        </row>
        <row r="193">
          <cell r="A193" t="str">
            <v>C04440063016</v>
          </cell>
          <cell r="B193">
            <v>4</v>
          </cell>
        </row>
        <row r="194">
          <cell r="A194" t="str">
            <v>C04440063018</v>
          </cell>
          <cell r="B194">
            <v>50</v>
          </cell>
        </row>
        <row r="195">
          <cell r="A195" t="str">
            <v>C04440063020</v>
          </cell>
          <cell r="B195">
            <v>75</v>
          </cell>
        </row>
        <row r="196">
          <cell r="A196" t="str">
            <v>C04440063021</v>
          </cell>
          <cell r="B196">
            <v>100</v>
          </cell>
        </row>
        <row r="197">
          <cell r="A197" t="str">
            <v>C04440063025</v>
          </cell>
          <cell r="B197">
            <v>100</v>
          </cell>
        </row>
        <row r="198">
          <cell r="A198" t="str">
            <v>C04440063045</v>
          </cell>
          <cell r="B198">
            <v>77</v>
          </cell>
        </row>
        <row r="199">
          <cell r="A199" t="str">
            <v>C04440063483</v>
          </cell>
          <cell r="B199">
            <v>156</v>
          </cell>
        </row>
        <row r="200">
          <cell r="A200" t="str">
            <v>C04440063491</v>
          </cell>
          <cell r="B200">
            <v>7</v>
          </cell>
        </row>
        <row r="201">
          <cell r="A201" t="str">
            <v>C04440063500</v>
          </cell>
          <cell r="B201">
            <v>7</v>
          </cell>
        </row>
        <row r="202">
          <cell r="A202" t="str">
            <v>C04440063685</v>
          </cell>
          <cell r="B202">
            <v>20</v>
          </cell>
        </row>
        <row r="203">
          <cell r="A203" t="str">
            <v>C04440063686</v>
          </cell>
          <cell r="B203">
            <v>80</v>
          </cell>
        </row>
        <row r="204">
          <cell r="A204" t="str">
            <v>C04440063688</v>
          </cell>
          <cell r="B204">
            <v>122</v>
          </cell>
        </row>
        <row r="205">
          <cell r="A205" t="str">
            <v>C04440063699</v>
          </cell>
          <cell r="B205">
            <v>116</v>
          </cell>
        </row>
        <row r="206">
          <cell r="A206" t="str">
            <v>C04440063700</v>
          </cell>
          <cell r="B206">
            <v>44</v>
          </cell>
        </row>
        <row r="207">
          <cell r="A207" t="str">
            <v>C04440063747</v>
          </cell>
          <cell r="B207">
            <v>35</v>
          </cell>
        </row>
        <row r="208">
          <cell r="A208" t="str">
            <v>C04440063753</v>
          </cell>
          <cell r="B208">
            <v>35</v>
          </cell>
        </row>
        <row r="209">
          <cell r="A209" t="str">
            <v>C04440063810</v>
          </cell>
          <cell r="B209">
            <v>28</v>
          </cell>
        </row>
        <row r="210">
          <cell r="A210" t="str">
            <v>C04440064105</v>
          </cell>
          <cell r="B210">
            <v>8</v>
          </cell>
        </row>
        <row r="211">
          <cell r="A211" t="str">
            <v>C04440064518</v>
          </cell>
          <cell r="B211">
            <v>1</v>
          </cell>
        </row>
        <row r="212">
          <cell r="A212" t="str">
            <v>C04440064685</v>
          </cell>
          <cell r="B212">
            <v>5</v>
          </cell>
        </row>
        <row r="213">
          <cell r="A213" t="str">
            <v>C04440064688</v>
          </cell>
          <cell r="B213">
            <v>130</v>
          </cell>
        </row>
        <row r="214">
          <cell r="A214" t="str">
            <v>C04440064876</v>
          </cell>
          <cell r="B214">
            <v>9</v>
          </cell>
        </row>
        <row r="215">
          <cell r="A215" t="str">
            <v>C04440064999</v>
          </cell>
          <cell r="B215">
            <v>5</v>
          </cell>
        </row>
        <row r="216">
          <cell r="A216" t="str">
            <v>C04440065000</v>
          </cell>
          <cell r="B216">
            <v>53</v>
          </cell>
        </row>
        <row r="217">
          <cell r="A217" t="str">
            <v>C04440065278</v>
          </cell>
          <cell r="B217">
            <v>40</v>
          </cell>
        </row>
        <row r="218">
          <cell r="A218" t="str">
            <v>C04640039359</v>
          </cell>
          <cell r="B218">
            <v>10</v>
          </cell>
        </row>
        <row r="219">
          <cell r="A219" t="str">
            <v>C04640039418</v>
          </cell>
          <cell r="B219">
            <v>5</v>
          </cell>
        </row>
        <row r="220">
          <cell r="A220" t="str">
            <v>C04640041349</v>
          </cell>
          <cell r="B220">
            <v>4</v>
          </cell>
        </row>
        <row r="221">
          <cell r="A221" t="str">
            <v>C04640043571</v>
          </cell>
          <cell r="B221">
            <v>4</v>
          </cell>
        </row>
        <row r="222">
          <cell r="A222" t="str">
            <v>C04640050209</v>
          </cell>
          <cell r="B222">
            <v>2</v>
          </cell>
        </row>
        <row r="223">
          <cell r="A223" t="str">
            <v>C04640057084</v>
          </cell>
          <cell r="B223">
            <v>4</v>
          </cell>
        </row>
        <row r="224">
          <cell r="A224" t="str">
            <v>C04640057095</v>
          </cell>
          <cell r="B224">
            <v>2</v>
          </cell>
        </row>
        <row r="225">
          <cell r="A225" t="str">
            <v>C04640057096</v>
          </cell>
          <cell r="B225">
            <v>2</v>
          </cell>
        </row>
        <row r="226">
          <cell r="A226" t="str">
            <v>C04640057097</v>
          </cell>
          <cell r="B226">
            <v>3</v>
          </cell>
        </row>
        <row r="227">
          <cell r="A227" t="str">
            <v>C04640058612</v>
          </cell>
          <cell r="B227">
            <v>2</v>
          </cell>
        </row>
        <row r="228">
          <cell r="A228" t="str">
            <v>C04640059648</v>
          </cell>
          <cell r="B228">
            <v>2</v>
          </cell>
        </row>
        <row r="229">
          <cell r="A229" t="str">
            <v>C04640059654</v>
          </cell>
          <cell r="B229">
            <v>3</v>
          </cell>
        </row>
        <row r="230">
          <cell r="A230" t="str">
            <v>C04640059656</v>
          </cell>
          <cell r="B230">
            <v>9</v>
          </cell>
        </row>
        <row r="231">
          <cell r="A231" t="str">
            <v>C04640059679</v>
          </cell>
          <cell r="B231">
            <v>33</v>
          </cell>
        </row>
        <row r="232">
          <cell r="A232" t="str">
            <v>C04640060423</v>
          </cell>
          <cell r="B232">
            <v>2</v>
          </cell>
        </row>
        <row r="233">
          <cell r="A233" t="str">
            <v>C04640060426</v>
          </cell>
          <cell r="B233">
            <v>2</v>
          </cell>
        </row>
        <row r="234">
          <cell r="A234" t="str">
            <v>C04640060646</v>
          </cell>
          <cell r="B234">
            <v>1</v>
          </cell>
        </row>
        <row r="235">
          <cell r="A235" t="str">
            <v>C04640061999</v>
          </cell>
          <cell r="B235">
            <v>13</v>
          </cell>
        </row>
        <row r="236">
          <cell r="A236" t="str">
            <v>C04640062023</v>
          </cell>
          <cell r="B236">
            <v>142</v>
          </cell>
        </row>
        <row r="237">
          <cell r="A237" t="str">
            <v>C04640062328</v>
          </cell>
          <cell r="B237">
            <v>3</v>
          </cell>
        </row>
        <row r="238">
          <cell r="A238" t="str">
            <v>C04640062334</v>
          </cell>
          <cell r="B238">
            <v>4</v>
          </cell>
        </row>
        <row r="239">
          <cell r="A239" t="str">
            <v>C04640062336</v>
          </cell>
          <cell r="B239">
            <v>4</v>
          </cell>
        </row>
        <row r="240">
          <cell r="A240" t="str">
            <v>C04640062347</v>
          </cell>
          <cell r="B240">
            <v>100</v>
          </cell>
        </row>
        <row r="241">
          <cell r="A241" t="str">
            <v>C04640062349</v>
          </cell>
          <cell r="B241">
            <v>1</v>
          </cell>
        </row>
        <row r="242">
          <cell r="A242" t="str">
            <v>C04640062385</v>
          </cell>
          <cell r="B242">
            <v>3</v>
          </cell>
        </row>
        <row r="243">
          <cell r="A243" t="str">
            <v>C04640062517</v>
          </cell>
          <cell r="B243">
            <v>3</v>
          </cell>
        </row>
        <row r="244">
          <cell r="A244" t="str">
            <v>C04640062523</v>
          </cell>
          <cell r="B244">
            <v>10</v>
          </cell>
        </row>
        <row r="245">
          <cell r="A245" t="str">
            <v>C04640062524</v>
          </cell>
          <cell r="B245">
            <v>10</v>
          </cell>
        </row>
        <row r="246">
          <cell r="A246" t="str">
            <v>C04640063614</v>
          </cell>
          <cell r="B246">
            <v>115</v>
          </cell>
        </row>
        <row r="247">
          <cell r="A247" t="str">
            <v>C04640063757</v>
          </cell>
          <cell r="B247">
            <v>26</v>
          </cell>
        </row>
        <row r="248">
          <cell r="A248" t="str">
            <v>C04640063788</v>
          </cell>
          <cell r="B248">
            <v>2</v>
          </cell>
        </row>
        <row r="249">
          <cell r="A249" t="str">
            <v>C04640064088</v>
          </cell>
          <cell r="B249">
            <v>14</v>
          </cell>
        </row>
        <row r="250">
          <cell r="A250" t="str">
            <v>C04640064248</v>
          </cell>
          <cell r="B250">
            <v>10</v>
          </cell>
        </row>
        <row r="251">
          <cell r="A251" t="str">
            <v>C04640064330</v>
          </cell>
          <cell r="B251">
            <v>2</v>
          </cell>
        </row>
        <row r="252">
          <cell r="A252" t="str">
            <v>C04640064886</v>
          </cell>
          <cell r="B252">
            <v>666</v>
          </cell>
        </row>
        <row r="253">
          <cell r="A253" t="str">
            <v>C04640065039</v>
          </cell>
          <cell r="B253">
            <v>15</v>
          </cell>
        </row>
        <row r="254">
          <cell r="A254" t="str">
            <v>C04640065157</v>
          </cell>
          <cell r="B254">
            <v>40</v>
          </cell>
        </row>
        <row r="255">
          <cell r="A255" t="str">
            <v>C04840037927</v>
          </cell>
          <cell r="B255">
            <v>3</v>
          </cell>
        </row>
        <row r="256">
          <cell r="A256" t="str">
            <v>C04840038891</v>
          </cell>
          <cell r="B256">
            <v>6</v>
          </cell>
        </row>
        <row r="257">
          <cell r="A257" t="str">
            <v>C04840041315</v>
          </cell>
          <cell r="B257">
            <v>78</v>
          </cell>
        </row>
        <row r="258">
          <cell r="A258" t="str">
            <v>C04840043571</v>
          </cell>
          <cell r="B258">
            <v>15</v>
          </cell>
        </row>
        <row r="259">
          <cell r="A259" t="str">
            <v>C04840043584</v>
          </cell>
          <cell r="B259">
            <v>10</v>
          </cell>
        </row>
        <row r="260">
          <cell r="A260" t="str">
            <v>C04840044138</v>
          </cell>
          <cell r="B260">
            <v>34</v>
          </cell>
        </row>
        <row r="261">
          <cell r="A261" t="str">
            <v>C04840049658</v>
          </cell>
          <cell r="B261">
            <v>5</v>
          </cell>
        </row>
        <row r="262">
          <cell r="A262" t="str">
            <v>C04840049729</v>
          </cell>
          <cell r="B262">
            <v>17</v>
          </cell>
        </row>
        <row r="263">
          <cell r="A263" t="str">
            <v>C04840049906</v>
          </cell>
          <cell r="B263">
            <v>50</v>
          </cell>
        </row>
        <row r="264">
          <cell r="A264" t="str">
            <v>C04840049949</v>
          </cell>
          <cell r="B264">
            <v>10</v>
          </cell>
        </row>
        <row r="265">
          <cell r="A265" t="str">
            <v>C04840050073</v>
          </cell>
          <cell r="B265">
            <v>5</v>
          </cell>
        </row>
        <row r="266">
          <cell r="A266" t="str">
            <v>C04840050411</v>
          </cell>
          <cell r="B266">
            <v>57</v>
          </cell>
        </row>
        <row r="267">
          <cell r="A267" t="str">
            <v>C04840050590</v>
          </cell>
          <cell r="B267">
            <v>2</v>
          </cell>
        </row>
        <row r="268">
          <cell r="A268" t="str">
            <v>C04840057928</v>
          </cell>
          <cell r="B268">
            <v>50</v>
          </cell>
        </row>
        <row r="269">
          <cell r="A269" t="str">
            <v>C04840058544</v>
          </cell>
          <cell r="B269">
            <v>1</v>
          </cell>
        </row>
        <row r="270">
          <cell r="A270" t="str">
            <v>C04840058612</v>
          </cell>
          <cell r="B270">
            <v>5</v>
          </cell>
        </row>
        <row r="271">
          <cell r="A271" t="str">
            <v>C04840059268</v>
          </cell>
          <cell r="B271">
            <v>1</v>
          </cell>
        </row>
        <row r="272">
          <cell r="A272" t="str">
            <v>C04840059401</v>
          </cell>
          <cell r="B272">
            <v>8</v>
          </cell>
        </row>
        <row r="273">
          <cell r="A273" t="str">
            <v>C04840059425</v>
          </cell>
          <cell r="B273">
            <v>2</v>
          </cell>
        </row>
        <row r="274">
          <cell r="A274" t="str">
            <v>C04840059477</v>
          </cell>
          <cell r="B274">
            <v>1</v>
          </cell>
        </row>
        <row r="275">
          <cell r="A275" t="str">
            <v>C04840059764</v>
          </cell>
          <cell r="B275">
            <v>10</v>
          </cell>
        </row>
        <row r="276">
          <cell r="A276" t="str">
            <v>C04840059774</v>
          </cell>
          <cell r="B276">
            <v>5</v>
          </cell>
        </row>
        <row r="277">
          <cell r="A277" t="str">
            <v>C04840060029</v>
          </cell>
          <cell r="B277">
            <v>35</v>
          </cell>
        </row>
        <row r="278">
          <cell r="A278" t="str">
            <v>C04840060030</v>
          </cell>
          <cell r="B278">
            <v>100</v>
          </cell>
        </row>
        <row r="279">
          <cell r="A279" t="str">
            <v>C04840060034</v>
          </cell>
          <cell r="B279">
            <v>200</v>
          </cell>
        </row>
        <row r="280">
          <cell r="A280" t="str">
            <v>C04840060449</v>
          </cell>
          <cell r="B280">
            <v>5</v>
          </cell>
        </row>
        <row r="281">
          <cell r="A281" t="str">
            <v>C04840060450</v>
          </cell>
          <cell r="B281">
            <v>5</v>
          </cell>
        </row>
        <row r="282">
          <cell r="A282" t="str">
            <v>C04840060517</v>
          </cell>
          <cell r="B282">
            <v>100</v>
          </cell>
        </row>
        <row r="283">
          <cell r="A283" t="str">
            <v>C04840060535</v>
          </cell>
          <cell r="B283">
            <v>7</v>
          </cell>
        </row>
        <row r="284">
          <cell r="A284" t="str">
            <v>C04840060737</v>
          </cell>
          <cell r="B284">
            <v>5</v>
          </cell>
        </row>
        <row r="285">
          <cell r="A285" t="str">
            <v>C04840060914</v>
          </cell>
          <cell r="B285">
            <v>300</v>
          </cell>
        </row>
        <row r="286">
          <cell r="A286" t="str">
            <v>C04840061000</v>
          </cell>
          <cell r="B286">
            <v>11</v>
          </cell>
        </row>
        <row r="287">
          <cell r="A287" t="str">
            <v>C04840062014</v>
          </cell>
          <cell r="B287">
            <v>5</v>
          </cell>
        </row>
        <row r="288">
          <cell r="A288" t="str">
            <v>C04840062017</v>
          </cell>
          <cell r="B288">
            <v>43</v>
          </cell>
        </row>
        <row r="289">
          <cell r="A289" t="str">
            <v>C04840062018</v>
          </cell>
          <cell r="B289">
            <v>16</v>
          </cell>
        </row>
        <row r="290">
          <cell r="A290" t="str">
            <v>C04840062023</v>
          </cell>
          <cell r="B290">
            <v>200</v>
          </cell>
        </row>
        <row r="291">
          <cell r="A291" t="str">
            <v>C04840062071</v>
          </cell>
          <cell r="B291">
            <v>61</v>
          </cell>
        </row>
        <row r="292">
          <cell r="A292" t="str">
            <v>C04840062265</v>
          </cell>
          <cell r="B292">
            <v>50</v>
          </cell>
        </row>
        <row r="293">
          <cell r="A293" t="str">
            <v>C04840062325</v>
          </cell>
          <cell r="B293">
            <v>2</v>
          </cell>
        </row>
        <row r="294">
          <cell r="A294" t="str">
            <v>C04840062326</v>
          </cell>
          <cell r="B294">
            <v>2</v>
          </cell>
        </row>
        <row r="295">
          <cell r="A295" t="str">
            <v>C04840062328</v>
          </cell>
          <cell r="B295">
            <v>4</v>
          </cell>
        </row>
        <row r="296">
          <cell r="A296" t="str">
            <v>C04840062332</v>
          </cell>
          <cell r="B296">
            <v>15</v>
          </cell>
        </row>
        <row r="297">
          <cell r="A297" t="str">
            <v>C04840062334</v>
          </cell>
          <cell r="B297">
            <v>7</v>
          </cell>
        </row>
        <row r="298">
          <cell r="A298" t="str">
            <v>C04840062336</v>
          </cell>
          <cell r="B298">
            <v>5</v>
          </cell>
        </row>
        <row r="299">
          <cell r="A299" t="str">
            <v>C04840062343</v>
          </cell>
          <cell r="B299">
            <v>50</v>
          </cell>
        </row>
        <row r="300">
          <cell r="A300" t="str">
            <v>C04840062345</v>
          </cell>
          <cell r="B300">
            <v>34</v>
          </cell>
        </row>
        <row r="301">
          <cell r="A301" t="str">
            <v>C04840062464</v>
          </cell>
          <cell r="B301">
            <v>27</v>
          </cell>
        </row>
        <row r="302">
          <cell r="A302" t="str">
            <v>C04840062518</v>
          </cell>
          <cell r="B302">
            <v>30</v>
          </cell>
        </row>
        <row r="303">
          <cell r="A303" t="str">
            <v>C04840062523</v>
          </cell>
          <cell r="B303">
            <v>2</v>
          </cell>
        </row>
        <row r="304">
          <cell r="A304" t="str">
            <v>C04840062524</v>
          </cell>
          <cell r="B304">
            <v>4</v>
          </cell>
        </row>
        <row r="305">
          <cell r="A305" t="str">
            <v>C04840062537</v>
          </cell>
          <cell r="B305">
            <v>40</v>
          </cell>
        </row>
        <row r="306">
          <cell r="A306" t="str">
            <v>C04840062858</v>
          </cell>
          <cell r="B306">
            <v>1</v>
          </cell>
        </row>
        <row r="307">
          <cell r="A307" t="str">
            <v>C04840063016</v>
          </cell>
          <cell r="B307">
            <v>32</v>
          </cell>
        </row>
        <row r="308">
          <cell r="A308" t="str">
            <v>C04840063018</v>
          </cell>
          <cell r="B308">
            <v>100</v>
          </cell>
        </row>
        <row r="309">
          <cell r="A309" t="str">
            <v>C04840063020</v>
          </cell>
          <cell r="B309">
            <v>100</v>
          </cell>
        </row>
        <row r="310">
          <cell r="A310" t="str">
            <v>C04840063021</v>
          </cell>
          <cell r="B310">
            <v>200</v>
          </cell>
        </row>
        <row r="311">
          <cell r="A311" t="str">
            <v>C04840063022</v>
          </cell>
          <cell r="B311">
            <v>65</v>
          </cell>
        </row>
        <row r="312">
          <cell r="A312" t="str">
            <v>C04840063025</v>
          </cell>
          <cell r="B312">
            <v>150</v>
          </cell>
        </row>
        <row r="313">
          <cell r="A313" t="str">
            <v>C04840063168</v>
          </cell>
          <cell r="B313">
            <v>215</v>
          </cell>
        </row>
        <row r="314">
          <cell r="A314" t="str">
            <v>C04840063178</v>
          </cell>
          <cell r="B314">
            <v>126</v>
          </cell>
        </row>
        <row r="315">
          <cell r="A315" t="str">
            <v>C04840063198</v>
          </cell>
          <cell r="B315">
            <v>1</v>
          </cell>
        </row>
        <row r="316">
          <cell r="A316" t="str">
            <v>C04840063476</v>
          </cell>
          <cell r="B316">
            <v>10</v>
          </cell>
        </row>
        <row r="317">
          <cell r="A317" t="str">
            <v>C04840063483</v>
          </cell>
          <cell r="B317">
            <v>220</v>
          </cell>
        </row>
        <row r="318">
          <cell r="A318" t="str">
            <v>C04840063489</v>
          </cell>
          <cell r="B318">
            <v>67</v>
          </cell>
        </row>
        <row r="319">
          <cell r="A319" t="str">
            <v>C04840063491</v>
          </cell>
          <cell r="B319">
            <v>16</v>
          </cell>
        </row>
        <row r="320">
          <cell r="A320" t="str">
            <v>C04840063573</v>
          </cell>
          <cell r="B320">
            <v>3</v>
          </cell>
        </row>
        <row r="321">
          <cell r="A321" t="str">
            <v>C04840063581</v>
          </cell>
          <cell r="B321">
            <v>34</v>
          </cell>
        </row>
        <row r="322">
          <cell r="A322" t="str">
            <v>C04840063637</v>
          </cell>
          <cell r="B322">
            <v>29</v>
          </cell>
        </row>
        <row r="323">
          <cell r="A323" t="str">
            <v>C04840063659</v>
          </cell>
          <cell r="B323">
            <v>50</v>
          </cell>
        </row>
        <row r="324">
          <cell r="A324" t="str">
            <v>C04840063685</v>
          </cell>
          <cell r="B324">
            <v>25</v>
          </cell>
        </row>
        <row r="325">
          <cell r="A325" t="str">
            <v>C04840063686</v>
          </cell>
          <cell r="B325">
            <v>67</v>
          </cell>
        </row>
        <row r="326">
          <cell r="A326" t="str">
            <v>C04840063688</v>
          </cell>
          <cell r="B326">
            <v>75</v>
          </cell>
        </row>
        <row r="327">
          <cell r="A327" t="str">
            <v>C04840063689</v>
          </cell>
          <cell r="B327">
            <v>25</v>
          </cell>
        </row>
        <row r="328">
          <cell r="A328" t="str">
            <v>C04840063699</v>
          </cell>
          <cell r="B328">
            <v>26</v>
          </cell>
        </row>
        <row r="329">
          <cell r="A329" t="str">
            <v>C04840063700</v>
          </cell>
          <cell r="B329">
            <v>12</v>
          </cell>
        </row>
        <row r="330">
          <cell r="A330" t="str">
            <v>C04840063747</v>
          </cell>
          <cell r="B330">
            <v>105</v>
          </cell>
        </row>
        <row r="331">
          <cell r="A331" t="str">
            <v>C04840063753</v>
          </cell>
          <cell r="B331">
            <v>40</v>
          </cell>
        </row>
        <row r="332">
          <cell r="A332" t="str">
            <v>C04840063756</v>
          </cell>
          <cell r="B332">
            <v>31</v>
          </cell>
        </row>
        <row r="333">
          <cell r="A333" t="str">
            <v>C04840063757</v>
          </cell>
          <cell r="B333">
            <v>130</v>
          </cell>
        </row>
        <row r="334">
          <cell r="A334" t="str">
            <v>C04840063794</v>
          </cell>
          <cell r="B334">
            <v>1</v>
          </cell>
        </row>
        <row r="335">
          <cell r="A335" t="str">
            <v>C04840063805</v>
          </cell>
          <cell r="B335">
            <v>24</v>
          </cell>
        </row>
        <row r="336">
          <cell r="A336" t="str">
            <v>C04840064105</v>
          </cell>
          <cell r="B336">
            <v>9</v>
          </cell>
        </row>
        <row r="337">
          <cell r="A337" t="str">
            <v>C04840064164</v>
          </cell>
          <cell r="B337">
            <v>9</v>
          </cell>
        </row>
        <row r="338">
          <cell r="A338" t="str">
            <v>C04840064428</v>
          </cell>
          <cell r="B338">
            <v>19</v>
          </cell>
        </row>
        <row r="339">
          <cell r="A339" t="str">
            <v>C04840064430</v>
          </cell>
          <cell r="B339">
            <v>2</v>
          </cell>
        </row>
        <row r="340">
          <cell r="A340" t="str">
            <v>C04840064472</v>
          </cell>
          <cell r="B340">
            <v>30</v>
          </cell>
        </row>
        <row r="341">
          <cell r="A341" t="str">
            <v>C04840064518</v>
          </cell>
          <cell r="B341">
            <v>1</v>
          </cell>
        </row>
        <row r="342">
          <cell r="A342" t="str">
            <v>C04840064535</v>
          </cell>
          <cell r="B342">
            <v>20</v>
          </cell>
        </row>
        <row r="343">
          <cell r="A343" t="str">
            <v>C04840064558</v>
          </cell>
          <cell r="B343">
            <v>10</v>
          </cell>
        </row>
        <row r="344">
          <cell r="A344" t="str">
            <v>C04840064562</v>
          </cell>
          <cell r="B344">
            <v>200</v>
          </cell>
        </row>
        <row r="345">
          <cell r="A345" t="str">
            <v>C04840064709</v>
          </cell>
          <cell r="B345">
            <v>9</v>
          </cell>
        </row>
        <row r="346">
          <cell r="A346" t="str">
            <v>C04840064710</v>
          </cell>
          <cell r="B346">
            <v>10</v>
          </cell>
        </row>
        <row r="347">
          <cell r="A347" t="str">
            <v>C04840064728</v>
          </cell>
          <cell r="B347">
            <v>94</v>
          </cell>
        </row>
        <row r="348">
          <cell r="A348" t="str">
            <v>C04840064844</v>
          </cell>
          <cell r="B348">
            <v>20</v>
          </cell>
        </row>
        <row r="349">
          <cell r="A349" t="str">
            <v>C04840064881</v>
          </cell>
          <cell r="B349">
            <v>24</v>
          </cell>
        </row>
        <row r="350">
          <cell r="A350" t="str">
            <v>C04840064885</v>
          </cell>
          <cell r="B350">
            <v>19</v>
          </cell>
        </row>
        <row r="351">
          <cell r="A351" t="str">
            <v>C04840064886</v>
          </cell>
          <cell r="B351">
            <v>5</v>
          </cell>
        </row>
        <row r="352">
          <cell r="A352" t="str">
            <v>C04840065039</v>
          </cell>
          <cell r="B352">
            <v>4</v>
          </cell>
        </row>
        <row r="353">
          <cell r="A353" t="str">
            <v>C04840065167</v>
          </cell>
          <cell r="B353">
            <v>1</v>
          </cell>
        </row>
        <row r="354">
          <cell r="A354" t="str">
            <v>C04840065256</v>
          </cell>
          <cell r="B354">
            <v>1</v>
          </cell>
        </row>
        <row r="355">
          <cell r="A355" t="str">
            <v>C04840065273</v>
          </cell>
          <cell r="B355">
            <v>28</v>
          </cell>
        </row>
        <row r="356">
          <cell r="A356" t="str">
            <v>C04840065278</v>
          </cell>
          <cell r="B356">
            <v>150</v>
          </cell>
        </row>
        <row r="357">
          <cell r="A357" t="str">
            <v>C04840065336</v>
          </cell>
          <cell r="B357">
            <v>128</v>
          </cell>
        </row>
        <row r="358">
          <cell r="A358" t="str">
            <v>C04840065338</v>
          </cell>
          <cell r="B358">
            <v>7</v>
          </cell>
        </row>
        <row r="359">
          <cell r="A359" t="str">
            <v>C04840065345</v>
          </cell>
          <cell r="B359">
            <v>41</v>
          </cell>
        </row>
        <row r="360">
          <cell r="A360" t="str">
            <v>C04840065346</v>
          </cell>
          <cell r="B360">
            <v>5</v>
          </cell>
        </row>
        <row r="361">
          <cell r="A361" t="str">
            <v>C04840065350</v>
          </cell>
          <cell r="B361">
            <v>40</v>
          </cell>
        </row>
        <row r="362">
          <cell r="A362" t="str">
            <v>C04840065352</v>
          </cell>
          <cell r="B362">
            <v>9</v>
          </cell>
        </row>
        <row r="363">
          <cell r="A363" t="str">
            <v>C04840065374</v>
          </cell>
          <cell r="B363">
            <v>47</v>
          </cell>
        </row>
        <row r="364">
          <cell r="A364" t="str">
            <v>C04840065915</v>
          </cell>
          <cell r="B364">
            <v>157</v>
          </cell>
        </row>
        <row r="365">
          <cell r="A365" t="str">
            <v>C04840065917</v>
          </cell>
          <cell r="B365">
            <v>368</v>
          </cell>
        </row>
        <row r="366">
          <cell r="A366" t="str">
            <v>C10240043571</v>
          </cell>
          <cell r="B366">
            <v>75</v>
          </cell>
        </row>
        <row r="367">
          <cell r="A367" t="str">
            <v>C10240049949</v>
          </cell>
          <cell r="B367">
            <v>250</v>
          </cell>
        </row>
        <row r="368">
          <cell r="A368" t="str">
            <v>C10240058326</v>
          </cell>
          <cell r="B368">
            <v>80</v>
          </cell>
        </row>
        <row r="369">
          <cell r="A369" t="str">
            <v>C10240059605</v>
          </cell>
          <cell r="B369">
            <v>200</v>
          </cell>
        </row>
        <row r="370">
          <cell r="A370" t="str">
            <v>C10240060029</v>
          </cell>
          <cell r="B370">
            <v>81</v>
          </cell>
        </row>
        <row r="371">
          <cell r="A371" t="str">
            <v>C10240060030</v>
          </cell>
          <cell r="B371">
            <v>1000</v>
          </cell>
        </row>
        <row r="372">
          <cell r="A372" t="str">
            <v>C10240060450</v>
          </cell>
          <cell r="B372">
            <v>150</v>
          </cell>
        </row>
        <row r="373">
          <cell r="A373" t="str">
            <v>C10240060738</v>
          </cell>
          <cell r="B373">
            <v>48</v>
          </cell>
        </row>
        <row r="374">
          <cell r="A374" t="str">
            <v>C10240062332</v>
          </cell>
          <cell r="B374">
            <v>50</v>
          </cell>
        </row>
        <row r="375">
          <cell r="A375" t="str">
            <v>C10240062523</v>
          </cell>
          <cell r="B375">
            <v>200</v>
          </cell>
        </row>
        <row r="376">
          <cell r="A376" t="str">
            <v>C10240063407</v>
          </cell>
          <cell r="B376">
            <v>200</v>
          </cell>
        </row>
        <row r="377">
          <cell r="A377" t="str">
            <v>C10240063612</v>
          </cell>
          <cell r="B377">
            <v>1</v>
          </cell>
        </row>
        <row r="378">
          <cell r="A378" t="str">
            <v>C10240063685</v>
          </cell>
          <cell r="B378">
            <v>128</v>
          </cell>
        </row>
        <row r="379">
          <cell r="A379" t="str">
            <v>C10240064535</v>
          </cell>
          <cell r="B379">
            <v>200</v>
          </cell>
        </row>
        <row r="380">
          <cell r="A380" t="str">
            <v>C11140049949</v>
          </cell>
          <cell r="B380">
            <v>120</v>
          </cell>
        </row>
        <row r="381">
          <cell r="A381" t="str">
            <v>C11140059654</v>
          </cell>
          <cell r="B381">
            <v>100</v>
          </cell>
        </row>
        <row r="382">
          <cell r="A382" t="str">
            <v>C11140060029</v>
          </cell>
          <cell r="B382">
            <v>247</v>
          </cell>
        </row>
        <row r="383">
          <cell r="A383" t="str">
            <v>C11140060030</v>
          </cell>
          <cell r="B383">
            <v>200</v>
          </cell>
        </row>
        <row r="384">
          <cell r="A384" t="str">
            <v>C11140060034</v>
          </cell>
          <cell r="B384">
            <v>10</v>
          </cell>
        </row>
        <row r="385">
          <cell r="A385" t="str">
            <v>C11140060449</v>
          </cell>
          <cell r="B385">
            <v>50</v>
          </cell>
        </row>
        <row r="386">
          <cell r="A386" t="str">
            <v>C11140060450</v>
          </cell>
          <cell r="B386">
            <v>50</v>
          </cell>
        </row>
        <row r="387">
          <cell r="A387" t="str">
            <v>C11140060535</v>
          </cell>
          <cell r="B387">
            <v>2</v>
          </cell>
        </row>
        <row r="388">
          <cell r="A388" t="str">
            <v>C11140061999</v>
          </cell>
          <cell r="B388">
            <v>130</v>
          </cell>
        </row>
        <row r="389">
          <cell r="A389" t="str">
            <v>C11140062265</v>
          </cell>
          <cell r="B389">
            <v>139</v>
          </cell>
        </row>
        <row r="390">
          <cell r="A390" t="str">
            <v>C11140062523</v>
          </cell>
          <cell r="B390">
            <v>100</v>
          </cell>
        </row>
        <row r="391">
          <cell r="A391" t="str">
            <v>C11140063483</v>
          </cell>
          <cell r="B391">
            <v>100</v>
          </cell>
        </row>
        <row r="392">
          <cell r="A392" t="str">
            <v>C11140063685</v>
          </cell>
          <cell r="B392">
            <v>49</v>
          </cell>
        </row>
        <row r="393">
          <cell r="A393" t="str">
            <v>C11140063686</v>
          </cell>
          <cell r="B393">
            <v>64</v>
          </cell>
        </row>
        <row r="394">
          <cell r="A394" t="str">
            <v>C11140063967</v>
          </cell>
          <cell r="B394">
            <v>150</v>
          </cell>
        </row>
        <row r="395">
          <cell r="A395" t="str">
            <v>C11140064088</v>
          </cell>
          <cell r="B395">
            <v>200</v>
          </cell>
        </row>
        <row r="396">
          <cell r="A396" t="str">
            <v>C11140064535</v>
          </cell>
          <cell r="B396">
            <v>69</v>
          </cell>
        </row>
        <row r="397">
          <cell r="A397" t="str">
            <v>C11140064695</v>
          </cell>
          <cell r="B397">
            <v>40</v>
          </cell>
        </row>
        <row r="398">
          <cell r="A398" t="str">
            <v>C11140064907</v>
          </cell>
          <cell r="B398">
            <v>25</v>
          </cell>
        </row>
        <row r="399">
          <cell r="A399" t="str">
            <v>C11140065292</v>
          </cell>
          <cell r="B399">
            <v>300</v>
          </cell>
        </row>
        <row r="400">
          <cell r="A400" t="str">
            <v>C13140043584</v>
          </cell>
          <cell r="B400">
            <v>100</v>
          </cell>
        </row>
        <row r="401">
          <cell r="A401" t="str">
            <v>C13140049658</v>
          </cell>
          <cell r="B401">
            <v>200</v>
          </cell>
        </row>
        <row r="402">
          <cell r="A402" t="str">
            <v>C13140049949</v>
          </cell>
          <cell r="B402">
            <v>140</v>
          </cell>
        </row>
        <row r="403">
          <cell r="A403" t="str">
            <v>C13140050728</v>
          </cell>
          <cell r="B403">
            <v>109</v>
          </cell>
        </row>
        <row r="404">
          <cell r="A404" t="str">
            <v>C13140057243</v>
          </cell>
          <cell r="B404">
            <v>1000</v>
          </cell>
        </row>
        <row r="405">
          <cell r="A405" t="str">
            <v>C13140057975</v>
          </cell>
          <cell r="B405">
            <v>150</v>
          </cell>
        </row>
        <row r="406">
          <cell r="A406" t="str">
            <v>C13140059648</v>
          </cell>
          <cell r="B406">
            <v>70</v>
          </cell>
        </row>
        <row r="407">
          <cell r="A407" t="str">
            <v>C13140060029</v>
          </cell>
          <cell r="B407">
            <v>566</v>
          </cell>
        </row>
        <row r="408">
          <cell r="A408" t="str">
            <v>C13140060030</v>
          </cell>
          <cell r="B408">
            <v>400</v>
          </cell>
        </row>
        <row r="409">
          <cell r="A409" t="str">
            <v>C13140060034</v>
          </cell>
          <cell r="B409">
            <v>100</v>
          </cell>
        </row>
        <row r="410">
          <cell r="A410" t="str">
            <v>C13140060450</v>
          </cell>
          <cell r="B410">
            <v>170</v>
          </cell>
        </row>
        <row r="411">
          <cell r="A411" t="str">
            <v>C13140061668</v>
          </cell>
          <cell r="B411">
            <v>5</v>
          </cell>
        </row>
        <row r="412">
          <cell r="A412" t="str">
            <v>C13140062265</v>
          </cell>
          <cell r="B412">
            <v>100</v>
          </cell>
        </row>
        <row r="413">
          <cell r="A413" t="str">
            <v>C13140062332</v>
          </cell>
          <cell r="B413">
            <v>78</v>
          </cell>
        </row>
        <row r="414">
          <cell r="A414" t="str">
            <v>C13140062519</v>
          </cell>
          <cell r="B414">
            <v>30</v>
          </cell>
        </row>
        <row r="415">
          <cell r="A415" t="str">
            <v>C13140063275</v>
          </cell>
          <cell r="B415">
            <v>10</v>
          </cell>
        </row>
        <row r="416">
          <cell r="A416" t="str">
            <v>C13140063500</v>
          </cell>
          <cell r="B416">
            <v>46</v>
          </cell>
        </row>
        <row r="417">
          <cell r="A417" t="str">
            <v>C13140063540</v>
          </cell>
          <cell r="B417">
            <v>150</v>
          </cell>
        </row>
        <row r="418">
          <cell r="A418" t="str">
            <v>C13140063612</v>
          </cell>
          <cell r="B418">
            <v>1</v>
          </cell>
        </row>
        <row r="419">
          <cell r="A419" t="str">
            <v>C13140063686</v>
          </cell>
          <cell r="B419">
            <v>200</v>
          </cell>
        </row>
        <row r="420">
          <cell r="A420" t="str">
            <v>C13140063967</v>
          </cell>
          <cell r="B420">
            <v>100</v>
          </cell>
        </row>
        <row r="421">
          <cell r="A421" t="str">
            <v>C13140064427</v>
          </cell>
          <cell r="B421">
            <v>27</v>
          </cell>
        </row>
        <row r="422">
          <cell r="A422" t="str">
            <v>C13140064876</v>
          </cell>
          <cell r="B422">
            <v>500</v>
          </cell>
        </row>
        <row r="423">
          <cell r="A423" t="str">
            <v>C13140064907</v>
          </cell>
          <cell r="B423">
            <v>13</v>
          </cell>
        </row>
        <row r="424">
          <cell r="A424" t="str">
            <v>C13140064913</v>
          </cell>
          <cell r="B424">
            <v>289</v>
          </cell>
        </row>
        <row r="425">
          <cell r="A425" t="str">
            <v>C13140064990</v>
          </cell>
          <cell r="B425">
            <v>100</v>
          </cell>
        </row>
        <row r="426">
          <cell r="A426" t="str">
            <v>C13140065292</v>
          </cell>
          <cell r="B426">
            <v>300</v>
          </cell>
        </row>
        <row r="427">
          <cell r="A427" t="str">
            <v>C13140065336</v>
          </cell>
          <cell r="B427">
            <v>175</v>
          </cell>
        </row>
        <row r="428">
          <cell r="A428" t="str">
            <v>C13140065352</v>
          </cell>
          <cell r="B428">
            <v>120</v>
          </cell>
        </row>
        <row r="429">
          <cell r="A429" t="str">
            <v>Grand Total</v>
          </cell>
          <cell r="B429">
            <v>27426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rishnapamu87@gmail.com" TargetMode="External"/><Relationship Id="rId13" Type="http://schemas.openxmlformats.org/officeDocument/2006/relationships/hyperlink" Target="mailto:rwhpur@godrejcp.com" TargetMode="External"/><Relationship Id="rId18" Type="http://schemas.openxmlformats.org/officeDocument/2006/relationships/hyperlink" Target="mailto:yadav139721vishvjeet@gmail.com" TargetMode="External"/><Relationship Id="rId26" Type="http://schemas.openxmlformats.org/officeDocument/2006/relationships/hyperlink" Target="mailto:pateldheeraj60656@gmail.com" TargetMode="External"/><Relationship Id="rId3" Type="http://schemas.openxmlformats.org/officeDocument/2006/relationships/hyperlink" Target="mailto:kumarbalwand2@gmail.com" TargetMode="External"/><Relationship Id="rId21" Type="http://schemas.openxmlformats.org/officeDocument/2006/relationships/hyperlink" Target="mailto:pp6438828@gmail.com" TargetMode="External"/><Relationship Id="rId34" Type="http://schemas.openxmlformats.org/officeDocument/2006/relationships/hyperlink" Target="mailto:kumarmolpu@gmail.com" TargetMode="External"/><Relationship Id="rId7" Type="http://schemas.openxmlformats.org/officeDocument/2006/relationships/hyperlink" Target="mailto:singhumesh15589@gmail.com" TargetMode="External"/><Relationship Id="rId12" Type="http://schemas.openxmlformats.org/officeDocument/2006/relationships/hyperlink" Target="mailto:abhay.lad.007@gmail.com" TargetMode="External"/><Relationship Id="rId17" Type="http://schemas.openxmlformats.org/officeDocument/2006/relationships/hyperlink" Target="mailto:nileshchavan1407@gmail.com" TargetMode="External"/><Relationship Id="rId25" Type="http://schemas.openxmlformats.org/officeDocument/2006/relationships/hyperlink" Target="mailto:dubeybhupendra969@gmail.com" TargetMode="External"/><Relationship Id="rId33" Type="http://schemas.openxmlformats.org/officeDocument/2006/relationships/hyperlink" Target="mailto:arunarunkumar5526@gmail.com" TargetMode="External"/><Relationship Id="rId2" Type="http://schemas.openxmlformats.org/officeDocument/2006/relationships/hyperlink" Target="mailto:ashoku417@gmail.com" TargetMode="External"/><Relationship Id="rId16" Type="http://schemas.openxmlformats.org/officeDocument/2006/relationships/hyperlink" Target="mailto:Sarvadnyatare@rpmgroupindia.com" TargetMode="External"/><Relationship Id="rId20" Type="http://schemas.openxmlformats.org/officeDocument/2006/relationships/hyperlink" Target="mailto:kdharmendra2902@gmail.com" TargetMode="External"/><Relationship Id="rId29" Type="http://schemas.openxmlformats.org/officeDocument/2006/relationships/hyperlink" Target="mailto:pameshrk@gmail.com" TargetMode="External"/><Relationship Id="rId1" Type="http://schemas.openxmlformats.org/officeDocument/2006/relationships/hyperlink" Target="mailto:sk6783976@gmail.com" TargetMode="External"/><Relationship Id="rId6" Type="http://schemas.openxmlformats.org/officeDocument/2006/relationships/hyperlink" Target="mailto:pawankumara78216@gmail.com" TargetMode="External"/><Relationship Id="rId11" Type="http://schemas.openxmlformats.org/officeDocument/2006/relationships/hyperlink" Target="mailto:AMANVERMA2228@gmail.com" TargetMode="External"/><Relationship Id="rId24" Type="http://schemas.openxmlformats.org/officeDocument/2006/relationships/hyperlink" Target="mailto:Thakurakku932@gmail.com" TargetMode="External"/><Relationship Id="rId32" Type="http://schemas.openxmlformats.org/officeDocument/2006/relationships/hyperlink" Target="mailto:shridharpanda0@gmail.com" TargetMode="External"/><Relationship Id="rId5" Type="http://schemas.openxmlformats.org/officeDocument/2006/relationships/hyperlink" Target="mailto:mk9135639044@gmail.com" TargetMode="External"/><Relationship Id="rId15" Type="http://schemas.openxmlformats.org/officeDocument/2006/relationships/hyperlink" Target="mailto:yogesh.satale@godrejcp.com" TargetMode="External"/><Relationship Id="rId23" Type="http://schemas.openxmlformats.org/officeDocument/2006/relationships/hyperlink" Target="mailto:kumardeepakthakur01234@gmail.com" TargetMode="External"/><Relationship Id="rId28" Type="http://schemas.openxmlformats.org/officeDocument/2006/relationships/hyperlink" Target="mailto:sk4707829@gmail.com" TargetMode="External"/><Relationship Id="rId10" Type="http://schemas.openxmlformats.org/officeDocument/2006/relationships/hyperlink" Target="mailto:vikaspandey6372@gmail.com" TargetMode="External"/><Relationship Id="rId19" Type="http://schemas.openxmlformats.org/officeDocument/2006/relationships/hyperlink" Target="mailto:narendramishra732@gmail.com" TargetMode="External"/><Relationship Id="rId31" Type="http://schemas.openxmlformats.org/officeDocument/2006/relationships/hyperlink" Target="mailto:indhuie12@gmail.com" TargetMode="External"/><Relationship Id="rId4" Type="http://schemas.openxmlformats.org/officeDocument/2006/relationships/hyperlink" Target="mailto:rahul104760@gmail.com" TargetMode="External"/><Relationship Id="rId9" Type="http://schemas.openxmlformats.org/officeDocument/2006/relationships/hyperlink" Target="mailto:roshanmhatre222@gmail.com" TargetMode="External"/><Relationship Id="rId14" Type="http://schemas.openxmlformats.org/officeDocument/2006/relationships/hyperlink" Target="mailto:yogeshss22@gmail.com" TargetMode="External"/><Relationship Id="rId22" Type="http://schemas.openxmlformats.org/officeDocument/2006/relationships/hyperlink" Target="mailto:dhirajpateldhiraj619@gmail.com" TargetMode="External"/><Relationship Id="rId27" Type="http://schemas.openxmlformats.org/officeDocument/2006/relationships/hyperlink" Target="mailto:yadavpriti762@gmail.com" TargetMode="External"/><Relationship Id="rId30" Type="http://schemas.openxmlformats.org/officeDocument/2006/relationships/hyperlink" Target="mailto:aru725141@gmail.com" TargetMode="External"/><Relationship Id="rId35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2"/>
  <sheetViews>
    <sheetView zoomScale="90" zoomScaleNormal="90" workbookViewId="0">
      <selection activeCell="E2" sqref="E2"/>
    </sheetView>
  </sheetViews>
  <sheetFormatPr defaultRowHeight="15" x14ac:dyDescent="0.25"/>
  <cols>
    <col min="1" max="2" width="9.140625" customWidth="1"/>
    <col min="3" max="3" width="6.7109375" customWidth="1"/>
    <col min="4" max="6" width="11.28515625" customWidth="1"/>
    <col min="7" max="7" width="8.7109375" customWidth="1"/>
    <col min="8" max="12" width="13.42578125" customWidth="1"/>
    <col min="13" max="13" width="11.140625" bestFit="1" customWidth="1"/>
    <col min="14" max="16" width="10.5703125" customWidth="1"/>
    <col min="17" max="18" width="12.85546875" customWidth="1"/>
  </cols>
  <sheetData>
    <row r="1" spans="1:18" s="16" customFormat="1" ht="60" x14ac:dyDescent="0.25">
      <c r="C1" s="17" t="s">
        <v>2</v>
      </c>
      <c r="D1" s="17" t="s">
        <v>19</v>
      </c>
      <c r="E1" s="18" t="s">
        <v>31</v>
      </c>
      <c r="F1" s="18" t="s">
        <v>32</v>
      </c>
      <c r="G1" s="18" t="s">
        <v>33</v>
      </c>
      <c r="H1" s="18" t="s">
        <v>35</v>
      </c>
      <c r="I1" s="18" t="s">
        <v>36</v>
      </c>
      <c r="J1" s="18" t="s">
        <v>34</v>
      </c>
      <c r="K1" s="18" t="s">
        <v>38</v>
      </c>
      <c r="L1" s="18" t="s">
        <v>39</v>
      </c>
      <c r="M1" s="18" t="s">
        <v>37</v>
      </c>
      <c r="N1" s="18" t="s">
        <v>77</v>
      </c>
      <c r="O1" s="18" t="s">
        <v>76</v>
      </c>
      <c r="P1" s="18" t="s">
        <v>78</v>
      </c>
      <c r="Q1" s="18" t="s">
        <v>40</v>
      </c>
      <c r="R1" s="18" t="s">
        <v>41</v>
      </c>
    </row>
    <row r="2" spans="1:18" x14ac:dyDescent="0.25">
      <c r="A2" t="s">
        <v>9</v>
      </c>
      <c r="B2" t="s">
        <v>30</v>
      </c>
      <c r="C2" s="6" t="s">
        <v>10</v>
      </c>
      <c r="D2" s="6" t="s">
        <v>20</v>
      </c>
      <c r="E2" s="6">
        <f>SUMIFS(PUSH!E:E,PUSH!F:F,MIS!C2,PUSH!H:H,MIS!A2)</f>
        <v>2757</v>
      </c>
      <c r="F2" s="6">
        <f>G2-E2</f>
        <v>4462</v>
      </c>
      <c r="G2" s="6">
        <f>SUMIFS(PUSH!E:E,PUSH!F:F,MIS!C2)</f>
        <v>7219</v>
      </c>
      <c r="H2" s="6">
        <f>SUMIFS(PUSH!O:O,PUSH!F:F,MIS!C2,PUSH!H:H,MIS!A2)</f>
        <v>2191</v>
      </c>
      <c r="I2" s="6">
        <f>J2-H2</f>
        <v>2454</v>
      </c>
      <c r="J2" s="6">
        <f>SUMIFS(PUSH!O:O,PUSH!F:F,MIS!C2)</f>
        <v>4645</v>
      </c>
      <c r="K2" s="11">
        <f>IFERROR(H2/E2,0)</f>
        <v>0.79470438882843675</v>
      </c>
      <c r="L2" s="11">
        <f>IFERROR(I2/F2,0)</f>
        <v>0.54997758852532497</v>
      </c>
      <c r="M2" s="11">
        <f>IFERROR(J2/G2,0)</f>
        <v>0.64344091979498541</v>
      </c>
      <c r="N2" s="6">
        <f>COUNTIFS(Indent!I:I,MIS!D2)</f>
        <v>0</v>
      </c>
      <c r="O2" s="6">
        <f>COUNTIFS(Indent!O:O,MIS!B2,Indent!I:I,MIS!D2)</f>
        <v>0</v>
      </c>
      <c r="P2" s="11">
        <f>IFERROR(O2/N2,0)</f>
        <v>0</v>
      </c>
      <c r="Q2" s="11">
        <f>IFERROR(H2/J2,0)</f>
        <v>0.47168998923573735</v>
      </c>
      <c r="R2" s="11">
        <f>IFERROR(I2/J2,0)</f>
        <v>0.52831001076426265</v>
      </c>
    </row>
    <row r="3" spans="1:18" x14ac:dyDescent="0.25">
      <c r="A3" t="s">
        <v>9</v>
      </c>
      <c r="B3" t="s">
        <v>30</v>
      </c>
      <c r="C3" s="6" t="s">
        <v>11</v>
      </c>
      <c r="D3" s="6" t="s">
        <v>21</v>
      </c>
      <c r="E3" s="6">
        <f>SUMIFS(PUSH!E:E,PUSH!F:F,MIS!C3,PUSH!H:H,MIS!A3)</f>
        <v>2930</v>
      </c>
      <c r="F3" s="6">
        <f t="shared" ref="F3:F11" si="0">G3-E3</f>
        <v>2679</v>
      </c>
      <c r="G3" s="6">
        <f>SUMIFS(PUSH!E:E,PUSH!F:F,MIS!C3)</f>
        <v>5609</v>
      </c>
      <c r="H3" s="6">
        <f>SUMIFS(PUSH!O:O,PUSH!F:F,MIS!C3,PUSH!H:H,MIS!A3)</f>
        <v>2226</v>
      </c>
      <c r="I3" s="6">
        <f t="shared" ref="I3:I11" si="1">J3-H3</f>
        <v>2238</v>
      </c>
      <c r="J3" s="6">
        <f>SUMIFS(PUSH!O:O,PUSH!F:F,MIS!C3)</f>
        <v>4464</v>
      </c>
      <c r="K3" s="11">
        <f t="shared" ref="K3:K12" si="2">IFERROR(H3/E3,0)</f>
        <v>0.75972696245733784</v>
      </c>
      <c r="L3" s="11">
        <f t="shared" ref="L3:L12" si="3">IFERROR(I3/F3,0)</f>
        <v>0.83538633818589025</v>
      </c>
      <c r="M3" s="11">
        <f t="shared" ref="M3:M12" si="4">IFERROR(J3/G3,0)</f>
        <v>0.79586379033695842</v>
      </c>
      <c r="N3" s="6">
        <f>COUNTIFS(Indent!I:I,MIS!D3)</f>
        <v>4</v>
      </c>
      <c r="O3" s="6">
        <f>COUNTIFS(Indent!O:O,MIS!B3,Indent!I:I,MIS!D3)</f>
        <v>4</v>
      </c>
      <c r="P3" s="11">
        <f t="shared" ref="P3:P12" si="5">IFERROR(O3/N3,0)</f>
        <v>1</v>
      </c>
      <c r="Q3" s="11">
        <f t="shared" ref="Q3:Q12" si="6">IFERROR(H3/J3,0)</f>
        <v>0.49865591397849462</v>
      </c>
      <c r="R3" s="11">
        <f t="shared" ref="R3:R12" si="7">IFERROR(I3/J3,0)</f>
        <v>0.50134408602150538</v>
      </c>
    </row>
    <row r="4" spans="1:18" x14ac:dyDescent="0.25">
      <c r="A4" t="s">
        <v>9</v>
      </c>
      <c r="B4" t="s">
        <v>30</v>
      </c>
      <c r="C4" s="6" t="s">
        <v>14</v>
      </c>
      <c r="D4" s="6" t="s">
        <v>22</v>
      </c>
      <c r="E4" s="6">
        <f>SUMIFS(PUSH!E:E,PUSH!F:F,MIS!C4,PUSH!H:H,MIS!A4)</f>
        <v>0</v>
      </c>
      <c r="F4" s="6">
        <f t="shared" si="0"/>
        <v>0</v>
      </c>
      <c r="G4" s="6">
        <f>SUMIFS(PUSH!E:E,PUSH!F:F,MIS!C4)</f>
        <v>0</v>
      </c>
      <c r="H4" s="6">
        <f>SUMIFS(PUSH!O:O,PUSH!F:F,MIS!C4,PUSH!H:H,MIS!A4)</f>
        <v>0</v>
      </c>
      <c r="I4" s="6">
        <f t="shared" si="1"/>
        <v>0</v>
      </c>
      <c r="J4" s="6">
        <f>SUMIFS(PUSH!O:O,PUSH!F:F,MIS!C4)</f>
        <v>0</v>
      </c>
      <c r="K4" s="11">
        <f t="shared" si="2"/>
        <v>0</v>
      </c>
      <c r="L4" s="11">
        <f t="shared" si="3"/>
        <v>0</v>
      </c>
      <c r="M4" s="11">
        <f t="shared" si="4"/>
        <v>0</v>
      </c>
      <c r="N4" s="6">
        <f>COUNTIFS(Indent!I:I,MIS!D4)</f>
        <v>0</v>
      </c>
      <c r="O4" s="6">
        <f>COUNTIFS(Indent!O:O,MIS!B4,Indent!I:I,MIS!D4)</f>
        <v>0</v>
      </c>
      <c r="P4" s="11">
        <f t="shared" si="5"/>
        <v>0</v>
      </c>
      <c r="Q4" s="11">
        <f t="shared" si="6"/>
        <v>0</v>
      </c>
      <c r="R4" s="11">
        <f t="shared" si="7"/>
        <v>0</v>
      </c>
    </row>
    <row r="5" spans="1:18" x14ac:dyDescent="0.25">
      <c r="A5" t="s">
        <v>9</v>
      </c>
      <c r="B5" t="s">
        <v>30</v>
      </c>
      <c r="C5" s="6" t="s">
        <v>13</v>
      </c>
      <c r="D5" s="6" t="s">
        <v>23</v>
      </c>
      <c r="E5" s="6">
        <f>SUMIFS(PUSH!E:E,PUSH!F:F,MIS!C5,PUSH!H:H,MIS!A5)</f>
        <v>2156</v>
      </c>
      <c r="F5" s="6">
        <f t="shared" si="0"/>
        <v>1237</v>
      </c>
      <c r="G5" s="6">
        <f>SUMIFS(PUSH!E:E,PUSH!F:F,MIS!C5)</f>
        <v>3393</v>
      </c>
      <c r="H5" s="6">
        <f>SUMIFS(PUSH!O:O,PUSH!F:F,MIS!C5,PUSH!H:H,MIS!A5)</f>
        <v>834</v>
      </c>
      <c r="I5" s="6">
        <f t="shared" si="1"/>
        <v>439</v>
      </c>
      <c r="J5" s="6">
        <f>SUMIFS(PUSH!O:O,PUSH!F:F,MIS!C5)</f>
        <v>1273</v>
      </c>
      <c r="K5" s="11">
        <f t="shared" si="2"/>
        <v>0.38682745825602971</v>
      </c>
      <c r="L5" s="11">
        <f t="shared" si="3"/>
        <v>0.35489086499595796</v>
      </c>
      <c r="M5" s="11">
        <f t="shared" si="4"/>
        <v>0.37518420277040965</v>
      </c>
      <c r="N5" s="6">
        <f>COUNTIFS(Indent!I:I,MIS!D5)</f>
        <v>2</v>
      </c>
      <c r="O5" s="6">
        <f>COUNTIFS(Indent!O:O,MIS!B5,Indent!I:I,MIS!D5)</f>
        <v>1</v>
      </c>
      <c r="P5" s="11">
        <f t="shared" si="5"/>
        <v>0.5</v>
      </c>
      <c r="Q5" s="11">
        <f t="shared" si="6"/>
        <v>0.65514532600157105</v>
      </c>
      <c r="R5" s="11">
        <f t="shared" si="7"/>
        <v>0.3448546739984289</v>
      </c>
    </row>
    <row r="6" spans="1:18" x14ac:dyDescent="0.25">
      <c r="A6" t="s">
        <v>9</v>
      </c>
      <c r="B6" t="s">
        <v>30</v>
      </c>
      <c r="C6" s="6" t="s">
        <v>8</v>
      </c>
      <c r="D6" s="6" t="s">
        <v>29</v>
      </c>
      <c r="E6" s="6">
        <f>SUMIFS(PUSH!E:E,PUSH!F:F,MIS!C6,PUSH!H:H,MIS!A6)</f>
        <v>4082</v>
      </c>
      <c r="F6" s="6">
        <f t="shared" si="0"/>
        <v>2753</v>
      </c>
      <c r="G6" s="6">
        <f>SUMIFS(PUSH!E:E,PUSH!F:F,MIS!C6)</f>
        <v>6835</v>
      </c>
      <c r="H6" s="6">
        <f>SUMIFS(PUSH!O:O,PUSH!F:F,MIS!C6,PUSH!H:H,MIS!A6)</f>
        <v>2739</v>
      </c>
      <c r="I6" s="6">
        <f t="shared" si="1"/>
        <v>2448</v>
      </c>
      <c r="J6" s="6">
        <f>SUMIFS(PUSH!O:O,PUSH!F:F,MIS!C6)</f>
        <v>5187</v>
      </c>
      <c r="K6" s="11">
        <f t="shared" si="2"/>
        <v>0.67099461048505638</v>
      </c>
      <c r="L6" s="11">
        <f t="shared" si="3"/>
        <v>0.88921176897929533</v>
      </c>
      <c r="M6" s="11">
        <f t="shared" si="4"/>
        <v>0.7588880760790051</v>
      </c>
      <c r="N6" s="6">
        <f>COUNTIFS(Indent!I:I,MIS!D6)</f>
        <v>2</v>
      </c>
      <c r="O6" s="6">
        <f>COUNTIFS(Indent!O:O,MIS!B6,Indent!I:I,MIS!D6)</f>
        <v>2</v>
      </c>
      <c r="P6" s="11">
        <f t="shared" si="5"/>
        <v>1</v>
      </c>
      <c r="Q6" s="11">
        <f t="shared" si="6"/>
        <v>0.52805089647194914</v>
      </c>
      <c r="R6" s="11">
        <f t="shared" si="7"/>
        <v>0.47194910352805092</v>
      </c>
    </row>
    <row r="7" spans="1:18" x14ac:dyDescent="0.25">
      <c r="A7" t="s">
        <v>9</v>
      </c>
      <c r="B7" t="s">
        <v>30</v>
      </c>
      <c r="C7" s="6" t="s">
        <v>15</v>
      </c>
      <c r="D7" s="6" t="s">
        <v>24</v>
      </c>
      <c r="E7" s="6">
        <f>SUMIFS(PUSH!E:E,PUSH!F:F,MIS!C7,PUSH!H:H,MIS!A7)</f>
        <v>0</v>
      </c>
      <c r="F7" s="6">
        <f t="shared" si="0"/>
        <v>0</v>
      </c>
      <c r="G7" s="6">
        <f>SUMIFS(PUSH!E:E,PUSH!F:F,MIS!C7)</f>
        <v>0</v>
      </c>
      <c r="H7" s="6">
        <f>SUMIFS(PUSH!O:O,PUSH!F:F,MIS!C7,PUSH!H:H,MIS!A7)</f>
        <v>0</v>
      </c>
      <c r="I7" s="6">
        <f t="shared" si="1"/>
        <v>0</v>
      </c>
      <c r="J7" s="6">
        <f>SUMIFS(PUSH!O:O,PUSH!F:F,MIS!C7)</f>
        <v>0</v>
      </c>
      <c r="K7" s="11">
        <f t="shared" si="2"/>
        <v>0</v>
      </c>
      <c r="L7" s="11">
        <f t="shared" si="3"/>
        <v>0</v>
      </c>
      <c r="M7" s="11">
        <f t="shared" si="4"/>
        <v>0</v>
      </c>
      <c r="N7" s="6">
        <f>COUNTIFS(Indent!I:I,MIS!D7)</f>
        <v>0</v>
      </c>
      <c r="O7" s="6">
        <f>COUNTIFS(Indent!O:O,MIS!B7,Indent!I:I,MIS!D7)</f>
        <v>0</v>
      </c>
      <c r="P7" s="11">
        <f t="shared" si="5"/>
        <v>0</v>
      </c>
      <c r="Q7" s="11">
        <f t="shared" si="6"/>
        <v>0</v>
      </c>
      <c r="R7" s="11">
        <f t="shared" si="7"/>
        <v>0</v>
      </c>
    </row>
    <row r="8" spans="1:18" x14ac:dyDescent="0.25">
      <c r="A8" t="s">
        <v>9</v>
      </c>
      <c r="B8" t="s">
        <v>30</v>
      </c>
      <c r="C8" s="6" t="s">
        <v>16</v>
      </c>
      <c r="D8" s="6" t="s">
        <v>25</v>
      </c>
      <c r="E8" s="6">
        <f>SUMIFS(PUSH!E:E,PUSH!F:F,MIS!C8,PUSH!H:H,MIS!A8)</f>
        <v>372</v>
      </c>
      <c r="F8" s="6">
        <f t="shared" si="0"/>
        <v>2666</v>
      </c>
      <c r="G8" s="6">
        <f>SUMIFS(PUSH!E:E,PUSH!F:F,MIS!C8)</f>
        <v>3038</v>
      </c>
      <c r="H8" s="6">
        <f>SUMIFS(PUSH!O:O,PUSH!F:F,MIS!C8,PUSH!H:H,MIS!A8)</f>
        <v>372</v>
      </c>
      <c r="I8" s="6">
        <f t="shared" si="1"/>
        <v>1773</v>
      </c>
      <c r="J8" s="6">
        <f>SUMIFS(PUSH!O:O,PUSH!F:F,MIS!C8)</f>
        <v>2145</v>
      </c>
      <c r="K8" s="11">
        <f t="shared" si="2"/>
        <v>1</v>
      </c>
      <c r="L8" s="11">
        <f t="shared" si="3"/>
        <v>0.66504126031507882</v>
      </c>
      <c r="M8" s="11">
        <f t="shared" si="4"/>
        <v>0.70605661619486504</v>
      </c>
      <c r="N8" s="6">
        <f>COUNTIFS(Indent!I:I,MIS!D8)</f>
        <v>1</v>
      </c>
      <c r="O8" s="6">
        <f>COUNTIFS(Indent!O:O,MIS!B8,Indent!I:I,MIS!D8)</f>
        <v>1</v>
      </c>
      <c r="P8" s="11">
        <f t="shared" si="5"/>
        <v>1</v>
      </c>
      <c r="Q8" s="11">
        <f t="shared" si="6"/>
        <v>0.17342657342657342</v>
      </c>
      <c r="R8" s="11">
        <f t="shared" si="7"/>
        <v>0.82657342657342658</v>
      </c>
    </row>
    <row r="9" spans="1:18" x14ac:dyDescent="0.25">
      <c r="A9" t="s">
        <v>9</v>
      </c>
      <c r="B9" t="s">
        <v>30</v>
      </c>
      <c r="C9" s="6" t="s">
        <v>12</v>
      </c>
      <c r="D9" s="6" t="s">
        <v>26</v>
      </c>
      <c r="E9" s="6">
        <f>SUMIFS(PUSH!E:E,PUSH!F:F,MIS!C9,PUSH!H:H,MIS!A9)</f>
        <v>0</v>
      </c>
      <c r="F9" s="6">
        <f t="shared" si="0"/>
        <v>0</v>
      </c>
      <c r="G9" s="6">
        <f>SUMIFS(PUSH!E:E,PUSH!F:F,MIS!C9)</f>
        <v>0</v>
      </c>
      <c r="H9" s="6">
        <f>SUMIFS(PUSH!O:O,PUSH!F:F,MIS!C9,PUSH!H:H,MIS!A9)</f>
        <v>0</v>
      </c>
      <c r="I9" s="6">
        <f t="shared" si="1"/>
        <v>0</v>
      </c>
      <c r="J9" s="6">
        <f>SUMIFS(PUSH!O:O,PUSH!F:F,MIS!C9)</f>
        <v>0</v>
      </c>
      <c r="K9" s="11">
        <f t="shared" si="2"/>
        <v>0</v>
      </c>
      <c r="L9" s="11">
        <f t="shared" si="3"/>
        <v>0</v>
      </c>
      <c r="M9" s="11">
        <f t="shared" si="4"/>
        <v>0</v>
      </c>
      <c r="N9" s="6">
        <f>COUNTIFS(Indent!I:I,MIS!D9)</f>
        <v>1</v>
      </c>
      <c r="O9" s="6">
        <f>COUNTIFS(Indent!O:O,MIS!B9,Indent!I:I,MIS!D9)</f>
        <v>1</v>
      </c>
      <c r="P9" s="11">
        <f t="shared" si="5"/>
        <v>1</v>
      </c>
      <c r="Q9" s="11">
        <f t="shared" si="6"/>
        <v>0</v>
      </c>
      <c r="R9" s="11">
        <f t="shared" si="7"/>
        <v>0</v>
      </c>
    </row>
    <row r="10" spans="1:18" x14ac:dyDescent="0.25">
      <c r="A10" t="s">
        <v>9</v>
      </c>
      <c r="B10" t="s">
        <v>30</v>
      </c>
      <c r="C10" s="6" t="s">
        <v>17</v>
      </c>
      <c r="D10" s="6" t="s">
        <v>27</v>
      </c>
      <c r="E10" s="6">
        <f>SUMIFS(PUSH!E:E,PUSH!F:F,MIS!C10,PUSH!H:H,MIS!A10)</f>
        <v>1123</v>
      </c>
      <c r="F10" s="6">
        <f t="shared" si="0"/>
        <v>5030</v>
      </c>
      <c r="G10" s="6">
        <f>SUMIFS(PUSH!E:E,PUSH!F:F,MIS!C10)</f>
        <v>6153</v>
      </c>
      <c r="H10" s="6">
        <f>SUMIFS(PUSH!O:O,PUSH!F:F,MIS!C10,PUSH!H:H,MIS!A10)</f>
        <v>1123</v>
      </c>
      <c r="I10" s="6">
        <f t="shared" si="1"/>
        <v>4126</v>
      </c>
      <c r="J10" s="6">
        <f>SUMIFS(PUSH!O:O,PUSH!F:F,MIS!C10)</f>
        <v>5249</v>
      </c>
      <c r="K10" s="11">
        <f t="shared" si="2"/>
        <v>1</v>
      </c>
      <c r="L10" s="11">
        <f t="shared" si="3"/>
        <v>0.82027833001988071</v>
      </c>
      <c r="M10" s="11">
        <f t="shared" si="4"/>
        <v>0.85307979847228999</v>
      </c>
      <c r="N10" s="6">
        <f>COUNTIFS(Indent!I:I,MIS!D10)</f>
        <v>3</v>
      </c>
      <c r="O10" s="6">
        <f>COUNTIFS(Indent!O:O,MIS!B10,Indent!I:I,MIS!D10)</f>
        <v>3</v>
      </c>
      <c r="P10" s="11">
        <f t="shared" si="5"/>
        <v>1</v>
      </c>
      <c r="Q10" s="11">
        <f t="shared" si="6"/>
        <v>0.21394551343112975</v>
      </c>
      <c r="R10" s="11">
        <f t="shared" si="7"/>
        <v>0.78605448656887023</v>
      </c>
    </row>
    <row r="11" spans="1:18" x14ac:dyDescent="0.25">
      <c r="A11" t="s">
        <v>9</v>
      </c>
      <c r="B11" t="s">
        <v>30</v>
      </c>
      <c r="C11" s="6" t="s">
        <v>18</v>
      </c>
      <c r="D11" s="6" t="s">
        <v>28</v>
      </c>
      <c r="E11" s="6">
        <f>SUMIFS(PUSH!E:E,PUSH!F:F,MIS!C11,PUSH!H:H,MIS!A11)</f>
        <v>0</v>
      </c>
      <c r="F11" s="6">
        <f t="shared" si="0"/>
        <v>180</v>
      </c>
      <c r="G11" s="6">
        <f>SUMIFS(PUSH!E:E,PUSH!F:F,MIS!C11)</f>
        <v>180</v>
      </c>
      <c r="H11" s="6">
        <f>SUMIFS(PUSH!O:O,PUSH!F:F,MIS!C11,PUSH!H:H,MIS!A11)</f>
        <v>0</v>
      </c>
      <c r="I11" s="6">
        <f t="shared" si="1"/>
        <v>0</v>
      </c>
      <c r="J11" s="6">
        <f>SUMIFS(PUSH!O:O,PUSH!F:F,MIS!C11)</f>
        <v>0</v>
      </c>
      <c r="K11" s="11">
        <f t="shared" si="2"/>
        <v>0</v>
      </c>
      <c r="L11" s="11">
        <f t="shared" si="3"/>
        <v>0</v>
      </c>
      <c r="M11" s="11">
        <f t="shared" si="4"/>
        <v>0</v>
      </c>
      <c r="N11" s="6">
        <f>COUNTIFS(Indent!I:I,MIS!D11)</f>
        <v>0</v>
      </c>
      <c r="O11" s="6">
        <f>COUNTIFS(Indent!O:O,MIS!B11,Indent!I:I,MIS!D11)</f>
        <v>0</v>
      </c>
      <c r="P11" s="11">
        <f t="shared" si="5"/>
        <v>0</v>
      </c>
      <c r="Q11" s="11">
        <f t="shared" si="6"/>
        <v>0</v>
      </c>
      <c r="R11" s="11">
        <f t="shared" si="7"/>
        <v>0</v>
      </c>
    </row>
    <row r="12" spans="1:18" s="12" customFormat="1" x14ac:dyDescent="0.25">
      <c r="C12" s="7"/>
      <c r="D12" s="7" t="s">
        <v>7</v>
      </c>
      <c r="E12" s="15">
        <f t="shared" ref="E12:J12" si="8">SUM(E2:E11)</f>
        <v>13420</v>
      </c>
      <c r="F12" s="15">
        <f t="shared" si="8"/>
        <v>19007</v>
      </c>
      <c r="G12" s="15">
        <f t="shared" si="8"/>
        <v>32427</v>
      </c>
      <c r="H12" s="15">
        <f t="shared" si="8"/>
        <v>9485</v>
      </c>
      <c r="I12" s="15">
        <f t="shared" si="8"/>
        <v>13478</v>
      </c>
      <c r="J12" s="7">
        <f t="shared" si="8"/>
        <v>22963</v>
      </c>
      <c r="K12" s="13">
        <f t="shared" si="2"/>
        <v>0.7067809239940388</v>
      </c>
      <c r="L12" s="13">
        <f t="shared" si="3"/>
        <v>0.70910717104224763</v>
      </c>
      <c r="M12" s="13">
        <f t="shared" si="4"/>
        <v>0.70814444752829431</v>
      </c>
      <c r="N12" s="7">
        <f>SUM(N2:N11)</f>
        <v>13</v>
      </c>
      <c r="O12" s="7">
        <f>SUM(O2:O11)</f>
        <v>12</v>
      </c>
      <c r="P12" s="13">
        <f t="shared" si="5"/>
        <v>0.92307692307692313</v>
      </c>
      <c r="Q12" s="13">
        <f t="shared" si="6"/>
        <v>0.41305578539389454</v>
      </c>
      <c r="R12" s="13">
        <f t="shared" si="7"/>
        <v>0.58694421460610546</v>
      </c>
    </row>
  </sheetData>
  <sortState xmlns:xlrd2="http://schemas.microsoft.com/office/spreadsheetml/2017/richdata2" ref="C1:C12">
    <sortCondition ref="C2"/>
  </sortState>
  <conditionalFormatting sqref="K2:K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R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15"/>
  <sheetViews>
    <sheetView topLeftCell="A31" workbookViewId="0">
      <selection activeCell="N45" sqref="N45"/>
    </sheetView>
  </sheetViews>
  <sheetFormatPr defaultRowHeight="15" x14ac:dyDescent="0.25"/>
  <cols>
    <col min="1" max="1" width="13.28515625" style="1" bestFit="1" customWidth="1"/>
    <col min="2" max="2" width="12.140625" style="1" bestFit="1" customWidth="1"/>
    <col min="3" max="3" width="13.5703125" style="1" bestFit="1" customWidth="1"/>
    <col min="4" max="4" width="9" style="1" bestFit="1" customWidth="1"/>
    <col min="5" max="5" width="11.7109375" style="1" bestFit="1" customWidth="1"/>
    <col min="6" max="6" width="8" style="1" bestFit="1" customWidth="1"/>
    <col min="7" max="7" width="8.42578125" style="1" bestFit="1" customWidth="1"/>
    <col min="8" max="9" width="9.140625" style="1"/>
    <col min="10" max="10" width="11.5703125" style="1" bestFit="1" customWidth="1"/>
    <col min="11" max="11" width="46.5703125" style="1" bestFit="1" customWidth="1"/>
    <col min="12" max="16384" width="9.140625" style="1"/>
  </cols>
  <sheetData>
    <row r="1" spans="1:12" x14ac:dyDescent="0.25">
      <c r="A1" s="38" t="s">
        <v>69</v>
      </c>
      <c r="B1" s="38" t="s">
        <v>70</v>
      </c>
      <c r="C1" s="38" t="s">
        <v>71</v>
      </c>
      <c r="D1" s="38" t="s">
        <v>72</v>
      </c>
      <c r="E1" s="38" t="s">
        <v>73</v>
      </c>
      <c r="F1" s="38" t="s">
        <v>74</v>
      </c>
      <c r="G1" s="38" t="s">
        <v>75</v>
      </c>
      <c r="J1" s="35" t="s">
        <v>130</v>
      </c>
      <c r="K1" s="36" t="s">
        <v>112</v>
      </c>
    </row>
    <row r="2" spans="1:12" x14ac:dyDescent="0.25">
      <c r="A2" s="38"/>
      <c r="B2" s="38"/>
      <c r="C2" s="38"/>
      <c r="D2" s="38"/>
      <c r="E2" s="38"/>
      <c r="F2" s="38"/>
      <c r="G2" s="38"/>
      <c r="J2" s="38" t="s">
        <v>131</v>
      </c>
      <c r="K2" s="46" t="s">
        <v>150</v>
      </c>
    </row>
    <row r="3" spans="1:12" x14ac:dyDescent="0.25">
      <c r="A3" s="38"/>
      <c r="B3" s="38"/>
      <c r="C3" s="38"/>
      <c r="D3" s="38"/>
      <c r="E3" s="38"/>
      <c r="F3" s="38"/>
      <c r="G3" s="38"/>
      <c r="J3" s="38" t="s">
        <v>132</v>
      </c>
      <c r="K3" s="46" t="s">
        <v>113</v>
      </c>
    </row>
    <row r="4" spans="1:12" x14ac:dyDescent="0.25">
      <c r="A4" s="38"/>
      <c r="B4" s="38"/>
      <c r="C4" s="38"/>
      <c r="D4" s="38"/>
      <c r="E4" s="38"/>
      <c r="F4" s="38"/>
      <c r="G4" s="38"/>
      <c r="J4" s="40" t="s">
        <v>133</v>
      </c>
      <c r="K4" s="46" t="s">
        <v>114</v>
      </c>
    </row>
    <row r="5" spans="1:12" x14ac:dyDescent="0.25">
      <c r="A5" s="38"/>
      <c r="B5" s="38"/>
      <c r="C5" s="38"/>
      <c r="D5" s="38"/>
      <c r="E5" s="38"/>
      <c r="F5" s="38"/>
      <c r="G5" s="38"/>
      <c r="J5" s="40" t="s">
        <v>134</v>
      </c>
      <c r="K5" s="46" t="s">
        <v>115</v>
      </c>
    </row>
    <row r="6" spans="1:12" x14ac:dyDescent="0.25">
      <c r="A6" s="38"/>
      <c r="B6" s="38"/>
      <c r="C6" s="38"/>
      <c r="D6" s="38"/>
      <c r="E6" s="38"/>
      <c r="F6" s="38"/>
      <c r="G6" s="38"/>
      <c r="J6" s="40" t="s">
        <v>135</v>
      </c>
      <c r="K6" s="46" t="s">
        <v>116</v>
      </c>
    </row>
    <row r="7" spans="1:12" x14ac:dyDescent="0.25">
      <c r="A7" s="38"/>
      <c r="B7" s="38"/>
      <c r="C7" s="38"/>
      <c r="D7" s="38"/>
      <c r="E7" s="38"/>
      <c r="F7" s="38"/>
      <c r="G7" s="38"/>
      <c r="J7" s="40" t="s">
        <v>136</v>
      </c>
      <c r="K7" s="46" t="s">
        <v>117</v>
      </c>
      <c r="L7" s="34"/>
    </row>
    <row r="8" spans="1:12" x14ac:dyDescent="0.25">
      <c r="A8" s="38"/>
      <c r="B8" s="38"/>
      <c r="C8" s="38"/>
      <c r="D8" s="38"/>
      <c r="E8" s="38"/>
      <c r="F8" s="38"/>
      <c r="G8" s="38"/>
      <c r="J8" s="40" t="s">
        <v>137</v>
      </c>
      <c r="K8" s="46" t="s">
        <v>118</v>
      </c>
      <c r="L8" s="34"/>
    </row>
    <row r="9" spans="1:12" x14ac:dyDescent="0.25">
      <c r="A9" s="38"/>
      <c r="B9" s="38"/>
      <c r="C9" s="38"/>
      <c r="D9" s="38"/>
      <c r="E9" s="38"/>
      <c r="F9" s="38"/>
      <c r="G9" s="38"/>
      <c r="J9" s="40" t="s">
        <v>138</v>
      </c>
      <c r="K9" s="47" t="s">
        <v>119</v>
      </c>
      <c r="L9" s="34"/>
    </row>
    <row r="10" spans="1:12" x14ac:dyDescent="0.25">
      <c r="A10" s="38"/>
      <c r="B10" s="38"/>
      <c r="C10" s="38"/>
      <c r="D10" s="38"/>
      <c r="E10" s="38"/>
      <c r="F10" s="38"/>
      <c r="G10" s="38"/>
      <c r="J10" s="40" t="s">
        <v>139</v>
      </c>
      <c r="K10" s="47" t="s">
        <v>120</v>
      </c>
    </row>
    <row r="11" spans="1:12" x14ac:dyDescent="0.25">
      <c r="A11" s="38"/>
      <c r="B11" s="38"/>
      <c r="C11" s="38"/>
      <c r="D11" s="38"/>
      <c r="E11" s="38"/>
      <c r="F11" s="38"/>
      <c r="G11" s="38"/>
      <c r="J11" s="40" t="s">
        <v>140</v>
      </c>
      <c r="K11" s="47" t="s">
        <v>121</v>
      </c>
    </row>
    <row r="12" spans="1:12" x14ac:dyDescent="0.25">
      <c r="A12" s="38"/>
      <c r="B12" s="38"/>
      <c r="C12" s="38"/>
      <c r="D12" s="38"/>
      <c r="E12" s="38"/>
      <c r="F12" s="38"/>
      <c r="G12" s="38"/>
      <c r="J12" s="40" t="s">
        <v>141</v>
      </c>
      <c r="K12" s="47" t="s">
        <v>122</v>
      </c>
    </row>
    <row r="13" spans="1:12" x14ac:dyDescent="0.25">
      <c r="A13" s="38"/>
      <c r="B13" s="38"/>
      <c r="C13" s="38"/>
      <c r="D13" s="38"/>
      <c r="E13" s="38"/>
      <c r="F13" s="38"/>
      <c r="G13" s="38"/>
      <c r="J13" s="40" t="s">
        <v>142</v>
      </c>
      <c r="K13" s="47" t="s">
        <v>123</v>
      </c>
    </row>
    <row r="14" spans="1:12" x14ac:dyDescent="0.25">
      <c r="A14" s="38"/>
      <c r="B14" s="38"/>
      <c r="C14" s="38"/>
      <c r="D14" s="38"/>
      <c r="E14" s="38"/>
      <c r="F14" s="38"/>
      <c r="G14" s="38"/>
      <c r="J14" s="40" t="s">
        <v>143</v>
      </c>
      <c r="K14" s="47" t="s">
        <v>124</v>
      </c>
    </row>
    <row r="15" spans="1:12" x14ac:dyDescent="0.25">
      <c r="A15" s="38"/>
      <c r="B15" s="38"/>
      <c r="C15" s="38"/>
      <c r="D15" s="38"/>
      <c r="E15" s="38"/>
      <c r="F15" s="38"/>
      <c r="G15" s="38"/>
      <c r="J15" s="40" t="s">
        <v>144</v>
      </c>
      <c r="K15" s="46" t="s">
        <v>125</v>
      </c>
    </row>
    <row r="16" spans="1:12" x14ac:dyDescent="0.25">
      <c r="A16" s="38"/>
      <c r="B16" s="38"/>
      <c r="C16" s="38"/>
      <c r="D16" s="38"/>
      <c r="E16" s="38"/>
      <c r="F16" s="38"/>
      <c r="G16" s="38"/>
      <c r="J16" s="40" t="s">
        <v>145</v>
      </c>
      <c r="K16" s="47" t="s">
        <v>126</v>
      </c>
    </row>
    <row r="17" spans="1:12" x14ac:dyDescent="0.25">
      <c r="A17" s="38"/>
      <c r="B17" s="38"/>
      <c r="C17" s="38"/>
      <c r="D17" s="38"/>
      <c r="E17" s="38"/>
      <c r="F17" s="38"/>
      <c r="G17" s="38"/>
      <c r="J17" s="40" t="s">
        <v>145</v>
      </c>
      <c r="K17" s="47" t="s">
        <v>127</v>
      </c>
    </row>
    <row r="18" spans="1:12" x14ac:dyDescent="0.25">
      <c r="A18" s="38"/>
      <c r="B18" s="38"/>
      <c r="C18" s="38"/>
      <c r="D18" s="38"/>
      <c r="E18" s="38"/>
      <c r="F18" s="38"/>
      <c r="G18" s="38"/>
      <c r="J18" s="38" t="s">
        <v>147</v>
      </c>
      <c r="K18" s="47" t="s">
        <v>128</v>
      </c>
      <c r="L18" s="34"/>
    </row>
    <row r="19" spans="1:12" x14ac:dyDescent="0.25">
      <c r="A19" s="38"/>
      <c r="B19" s="38"/>
      <c r="C19" s="38"/>
      <c r="D19" s="38"/>
      <c r="E19" s="38"/>
      <c r="F19" s="38"/>
      <c r="G19" s="38"/>
      <c r="J19" s="38" t="s">
        <v>146</v>
      </c>
      <c r="K19" s="47" t="s">
        <v>129</v>
      </c>
    </row>
    <row r="20" spans="1:12" x14ac:dyDescent="0.25">
      <c r="A20" s="38"/>
      <c r="B20" s="38"/>
      <c r="C20" s="38"/>
      <c r="D20" s="38"/>
      <c r="E20" s="38"/>
      <c r="F20" s="38"/>
      <c r="G20" s="38"/>
      <c r="J20" s="38" t="s">
        <v>148</v>
      </c>
      <c r="K20" s="47" t="s">
        <v>149</v>
      </c>
    </row>
    <row r="21" spans="1:12" x14ac:dyDescent="0.25">
      <c r="A21" s="38"/>
      <c r="B21" s="38"/>
      <c r="C21" s="38"/>
      <c r="D21" s="38"/>
      <c r="E21" s="38"/>
      <c r="F21" s="38"/>
      <c r="G21" s="38"/>
      <c r="J21" s="38" t="s">
        <v>151</v>
      </c>
      <c r="K21" s="47" t="s">
        <v>152</v>
      </c>
    </row>
    <row r="22" spans="1:12" x14ac:dyDescent="0.25">
      <c r="A22" s="38"/>
      <c r="B22" s="38"/>
      <c r="C22" s="38"/>
      <c r="D22" s="38"/>
      <c r="E22" s="38"/>
      <c r="F22" s="38"/>
      <c r="G22" s="38"/>
      <c r="J22" s="38"/>
      <c r="K22" s="47" t="s">
        <v>153</v>
      </c>
    </row>
    <row r="23" spans="1:12" x14ac:dyDescent="0.25">
      <c r="A23" s="38"/>
      <c r="B23" s="38"/>
      <c r="C23" s="38"/>
      <c r="D23" s="38"/>
      <c r="E23" s="38"/>
      <c r="F23" s="38"/>
      <c r="G23" s="38"/>
      <c r="K23" s="47" t="s">
        <v>154</v>
      </c>
    </row>
    <row r="24" spans="1:12" x14ac:dyDescent="0.25">
      <c r="A24" s="38"/>
      <c r="B24" s="38"/>
      <c r="C24" s="38"/>
      <c r="D24" s="38"/>
      <c r="E24" s="38"/>
      <c r="F24" s="38"/>
      <c r="G24" s="38"/>
      <c r="K24" s="47" t="s">
        <v>155</v>
      </c>
    </row>
    <row r="25" spans="1:12" x14ac:dyDescent="0.25">
      <c r="A25" s="38"/>
      <c r="B25" s="38"/>
      <c r="C25" s="38"/>
      <c r="D25" s="38"/>
      <c r="E25" s="38"/>
      <c r="F25" s="38"/>
      <c r="G25" s="38"/>
      <c r="K25" s="47" t="s">
        <v>156</v>
      </c>
    </row>
    <row r="26" spans="1:12" x14ac:dyDescent="0.25">
      <c r="A26" s="38"/>
      <c r="B26" s="38"/>
      <c r="C26" s="38"/>
      <c r="D26" s="38"/>
      <c r="E26" s="38"/>
      <c r="F26" s="38"/>
      <c r="G26" s="38"/>
      <c r="K26" s="47" t="s">
        <v>157</v>
      </c>
    </row>
    <row r="27" spans="1:12" x14ac:dyDescent="0.25">
      <c r="A27" s="38"/>
      <c r="B27" s="38"/>
      <c r="C27" s="38"/>
      <c r="D27" s="38"/>
      <c r="E27" s="38"/>
      <c r="F27" s="38"/>
      <c r="G27" s="38"/>
      <c r="K27" s="47" t="s">
        <v>158</v>
      </c>
    </row>
    <row r="28" spans="1:12" x14ac:dyDescent="0.25">
      <c r="A28" s="38"/>
      <c r="B28" s="38"/>
      <c r="C28" s="38"/>
      <c r="D28" s="38"/>
      <c r="E28" s="38"/>
      <c r="F28" s="38"/>
      <c r="G28" s="38"/>
      <c r="K28" s="47" t="s">
        <v>159</v>
      </c>
    </row>
    <row r="29" spans="1:12" x14ac:dyDescent="0.25">
      <c r="A29" s="38"/>
      <c r="B29" s="38"/>
      <c r="C29" s="38"/>
      <c r="D29" s="38"/>
      <c r="E29" s="38"/>
      <c r="F29" s="38"/>
      <c r="G29" s="38"/>
      <c r="K29" s="48" t="s">
        <v>160</v>
      </c>
    </row>
    <row r="30" spans="1:12" x14ac:dyDescent="0.25">
      <c r="A30" s="38"/>
      <c r="B30" s="38"/>
      <c r="C30" s="38"/>
      <c r="D30" s="38"/>
      <c r="E30" s="38"/>
      <c r="F30" s="38"/>
      <c r="G30" s="38"/>
      <c r="K30" s="47" t="s">
        <v>161</v>
      </c>
    </row>
    <row r="31" spans="1:12" x14ac:dyDescent="0.25">
      <c r="A31" s="38"/>
      <c r="B31" s="38"/>
      <c r="C31" s="38"/>
      <c r="D31" s="38"/>
      <c r="E31" s="40"/>
      <c r="F31" s="38"/>
      <c r="G31" s="38"/>
      <c r="K31" s="47" t="s">
        <v>162</v>
      </c>
    </row>
    <row r="32" spans="1:12" x14ac:dyDescent="0.25">
      <c r="A32" s="38"/>
      <c r="B32" s="38"/>
      <c r="C32" s="38"/>
      <c r="D32" s="38"/>
      <c r="E32" s="40"/>
      <c r="F32" s="57"/>
      <c r="G32" s="38"/>
      <c r="K32" s="47" t="s">
        <v>163</v>
      </c>
    </row>
    <row r="33" spans="1:11" x14ac:dyDescent="0.25">
      <c r="A33" s="38"/>
      <c r="B33" s="38"/>
      <c r="C33" s="38"/>
      <c r="D33" s="38"/>
      <c r="E33" s="40"/>
      <c r="F33" s="57"/>
      <c r="G33" s="38"/>
      <c r="J33" s="1" t="s">
        <v>165</v>
      </c>
      <c r="K33" s="49" t="s">
        <v>164</v>
      </c>
    </row>
    <row r="34" spans="1:11" x14ac:dyDescent="0.25">
      <c r="A34" s="38"/>
      <c r="B34" s="38"/>
      <c r="C34" s="38"/>
      <c r="D34" s="38"/>
      <c r="E34" s="40"/>
      <c r="F34" s="57"/>
      <c r="G34" s="38"/>
      <c r="J34" s="1" t="s">
        <v>166</v>
      </c>
      <c r="K34" s="47" t="s">
        <v>167</v>
      </c>
    </row>
    <row r="35" spans="1:11" x14ac:dyDescent="0.25">
      <c r="A35" s="38"/>
      <c r="B35" s="38"/>
      <c r="C35" s="38"/>
      <c r="D35" s="38"/>
      <c r="E35" s="50"/>
      <c r="F35" s="57"/>
      <c r="G35" s="38"/>
      <c r="K35" s="47" t="s">
        <v>168</v>
      </c>
    </row>
    <row r="36" spans="1:11" x14ac:dyDescent="0.25">
      <c r="A36" s="38"/>
      <c r="B36" s="38"/>
      <c r="C36" s="38"/>
      <c r="D36" s="38"/>
      <c r="E36" s="40">
        <v>40042437</v>
      </c>
      <c r="F36" s="57">
        <v>70</v>
      </c>
      <c r="G36" s="38"/>
      <c r="K36" s="47" t="s">
        <v>169</v>
      </c>
    </row>
    <row r="37" spans="1:11" x14ac:dyDescent="0.25">
      <c r="A37" s="38"/>
      <c r="B37" s="38"/>
      <c r="C37" s="38"/>
      <c r="D37" s="38"/>
      <c r="E37" s="56"/>
      <c r="F37" s="38"/>
      <c r="G37" s="38"/>
    </row>
    <row r="38" spans="1:11" x14ac:dyDescent="0.25">
      <c r="A38" s="38"/>
      <c r="B38" s="38"/>
      <c r="C38" s="38"/>
      <c r="D38" s="38"/>
      <c r="E38" s="38"/>
      <c r="F38" s="38"/>
      <c r="G38" s="38"/>
    </row>
    <row r="39" spans="1:11" x14ac:dyDescent="0.25">
      <c r="A39" s="38"/>
      <c r="B39" s="38"/>
      <c r="C39" s="38"/>
      <c r="D39" s="38"/>
      <c r="E39" s="38"/>
      <c r="F39" s="38"/>
      <c r="G39" s="38"/>
    </row>
    <row r="40" spans="1:11" ht="15.75" x14ac:dyDescent="0.25">
      <c r="A40" s="38"/>
      <c r="B40" s="54" t="s">
        <v>179</v>
      </c>
      <c r="C40" s="38"/>
      <c r="D40" s="38"/>
      <c r="E40" s="38"/>
      <c r="F40" s="38"/>
      <c r="G40" s="38"/>
    </row>
    <row r="41" spans="1:11" ht="15.75" x14ac:dyDescent="0.25">
      <c r="A41" s="38"/>
      <c r="B41" s="54" t="s">
        <v>180</v>
      </c>
      <c r="C41" s="38"/>
      <c r="D41" s="38"/>
      <c r="E41" s="38"/>
      <c r="F41" s="38"/>
      <c r="G41" s="38"/>
    </row>
    <row r="42" spans="1:11" x14ac:dyDescent="0.25">
      <c r="A42" s="38"/>
      <c r="B42" s="38"/>
      <c r="C42" s="38"/>
      <c r="D42" s="38"/>
      <c r="E42" s="38"/>
      <c r="F42" s="38"/>
      <c r="G42" s="38"/>
    </row>
    <row r="43" spans="1:11" ht="15.75" x14ac:dyDescent="0.25">
      <c r="A43" s="38"/>
      <c r="B43" s="54" t="s">
        <v>181</v>
      </c>
      <c r="C43" s="38"/>
      <c r="D43" s="38"/>
      <c r="E43" s="38"/>
      <c r="F43" s="38"/>
      <c r="G43" s="38"/>
      <c r="K43" t="s">
        <v>170</v>
      </c>
    </row>
    <row r="44" spans="1:11" ht="15.75" x14ac:dyDescent="0.25">
      <c r="A44" s="38"/>
      <c r="B44" s="55" t="s">
        <v>166</v>
      </c>
      <c r="C44" s="38"/>
      <c r="D44" s="38"/>
      <c r="E44" s="38"/>
      <c r="F44" s="38"/>
      <c r="G44" s="38"/>
    </row>
    <row r="45" spans="1:11" x14ac:dyDescent="0.25">
      <c r="A45" s="38"/>
      <c r="B45" s="38"/>
      <c r="C45" s="38"/>
      <c r="D45" s="38"/>
      <c r="E45" s="38"/>
      <c r="F45" s="38"/>
      <c r="G45" s="38"/>
    </row>
    <row r="46" spans="1:11" x14ac:dyDescent="0.25">
      <c r="A46" s="38"/>
      <c r="B46" s="38"/>
      <c r="C46" s="38"/>
      <c r="D46" s="38"/>
      <c r="E46" s="38"/>
      <c r="F46" s="38"/>
      <c r="G46" s="38"/>
      <c r="K46" t="s">
        <v>182</v>
      </c>
    </row>
    <row r="47" spans="1:11" x14ac:dyDescent="0.25">
      <c r="A47" s="38"/>
      <c r="B47" s="38"/>
      <c r="C47" s="38"/>
      <c r="D47" s="38"/>
      <c r="E47" s="38"/>
      <c r="F47" s="38"/>
      <c r="G47" s="38"/>
    </row>
    <row r="48" spans="1:11" x14ac:dyDescent="0.25">
      <c r="A48" s="38"/>
      <c r="B48" s="38"/>
      <c r="C48" s="38"/>
      <c r="D48" s="38"/>
      <c r="E48" s="38"/>
      <c r="F48" s="38"/>
      <c r="G48" s="38"/>
    </row>
    <row r="49" spans="1:7" x14ac:dyDescent="0.25">
      <c r="A49" s="38"/>
      <c r="B49" s="38"/>
      <c r="C49" s="38"/>
      <c r="D49" s="38"/>
      <c r="E49" s="38"/>
      <c r="F49" s="38"/>
      <c r="G49" s="38"/>
    </row>
    <row r="50" spans="1:7" x14ac:dyDescent="0.25">
      <c r="A50" s="38"/>
      <c r="B50" s="38"/>
      <c r="C50" s="38"/>
      <c r="D50" s="38"/>
      <c r="E50" s="38"/>
      <c r="F50" s="38"/>
      <c r="G50" s="38"/>
    </row>
    <row r="51" spans="1:7" x14ac:dyDescent="0.25">
      <c r="A51" s="38"/>
      <c r="B51" s="38"/>
      <c r="C51" s="38"/>
      <c r="D51" s="38"/>
      <c r="E51" s="38"/>
      <c r="F51" s="38"/>
      <c r="G51" s="38"/>
    </row>
    <row r="52" spans="1:7" x14ac:dyDescent="0.25">
      <c r="A52" s="38"/>
      <c r="B52" s="38"/>
      <c r="C52" s="38"/>
      <c r="D52" s="38"/>
      <c r="E52" s="38"/>
      <c r="F52" s="38"/>
      <c r="G52" s="38"/>
    </row>
    <row r="53" spans="1:7" x14ac:dyDescent="0.25">
      <c r="A53" s="38"/>
      <c r="B53" s="38"/>
      <c r="C53" s="38"/>
      <c r="D53" s="38"/>
      <c r="E53" s="38"/>
      <c r="F53" s="38"/>
      <c r="G53" s="38"/>
    </row>
    <row r="54" spans="1:7" x14ac:dyDescent="0.25">
      <c r="A54" s="38"/>
      <c r="B54" s="38"/>
      <c r="C54" s="38"/>
      <c r="D54" s="38"/>
      <c r="E54" s="38"/>
      <c r="F54" s="38"/>
      <c r="G54" s="38"/>
    </row>
    <row r="55" spans="1:7" x14ac:dyDescent="0.25">
      <c r="A55" s="38"/>
      <c r="B55" s="38"/>
      <c r="C55" s="38"/>
      <c r="D55" s="38"/>
      <c r="E55" s="38"/>
      <c r="F55" s="38"/>
      <c r="G55" s="38"/>
    </row>
    <row r="56" spans="1:7" x14ac:dyDescent="0.25">
      <c r="A56" s="38"/>
      <c r="B56" s="38"/>
      <c r="C56" s="38"/>
      <c r="D56" s="38"/>
      <c r="E56" s="38"/>
      <c r="F56" s="38"/>
      <c r="G56" s="38"/>
    </row>
    <row r="57" spans="1:7" x14ac:dyDescent="0.25">
      <c r="A57" s="38"/>
      <c r="B57" s="38"/>
      <c r="C57" s="38"/>
      <c r="D57" s="38"/>
      <c r="E57" s="38"/>
      <c r="F57" s="38"/>
      <c r="G57" s="38"/>
    </row>
    <row r="58" spans="1:7" x14ac:dyDescent="0.25">
      <c r="A58" s="38"/>
      <c r="B58" s="38"/>
      <c r="C58" s="38"/>
      <c r="D58" s="38"/>
      <c r="E58" s="38"/>
      <c r="F58" s="38"/>
      <c r="G58" s="38"/>
    </row>
    <row r="59" spans="1:7" x14ac:dyDescent="0.25">
      <c r="A59" s="38"/>
      <c r="B59" s="38"/>
      <c r="C59" s="38"/>
      <c r="D59" s="38"/>
      <c r="E59" s="38"/>
      <c r="F59" s="38"/>
      <c r="G59" s="38"/>
    </row>
    <row r="60" spans="1:7" x14ac:dyDescent="0.25">
      <c r="A60" s="38"/>
      <c r="B60" s="38"/>
      <c r="C60" s="38"/>
      <c r="D60" s="38"/>
      <c r="E60" s="38"/>
      <c r="F60" s="38"/>
      <c r="G60" s="38"/>
    </row>
    <row r="61" spans="1:7" x14ac:dyDescent="0.25">
      <c r="A61" s="38"/>
      <c r="B61" s="38"/>
      <c r="C61" s="38"/>
      <c r="D61" s="38"/>
      <c r="E61" s="38"/>
      <c r="F61" s="38"/>
      <c r="G61" s="38"/>
    </row>
    <row r="62" spans="1:7" x14ac:dyDescent="0.25">
      <c r="A62" s="38"/>
      <c r="B62" s="38"/>
      <c r="C62" s="38"/>
      <c r="D62" s="38"/>
      <c r="E62" s="38"/>
      <c r="F62" s="38"/>
      <c r="G62" s="38"/>
    </row>
    <row r="63" spans="1:7" x14ac:dyDescent="0.25">
      <c r="A63" s="38"/>
      <c r="B63" s="38"/>
      <c r="C63" s="38"/>
      <c r="D63" s="38"/>
      <c r="E63" s="38"/>
      <c r="F63" s="38"/>
      <c r="G63" s="38"/>
    </row>
    <row r="64" spans="1:7" x14ac:dyDescent="0.25">
      <c r="A64" s="38"/>
      <c r="B64" s="38"/>
      <c r="C64" s="38"/>
      <c r="D64" s="38"/>
      <c r="E64" s="38"/>
      <c r="F64" s="38"/>
      <c r="G64" s="38"/>
    </row>
    <row r="65" spans="1:7" x14ac:dyDescent="0.25">
      <c r="A65" s="38"/>
      <c r="B65" s="38"/>
      <c r="C65" s="38"/>
      <c r="D65" s="38"/>
      <c r="E65" s="38"/>
      <c r="F65" s="38"/>
      <c r="G65" s="38"/>
    </row>
    <row r="66" spans="1:7" x14ac:dyDescent="0.25">
      <c r="A66" s="38"/>
      <c r="B66" s="38"/>
      <c r="C66" s="38"/>
      <c r="D66" s="38"/>
      <c r="E66" s="38"/>
      <c r="F66" s="38"/>
      <c r="G66" s="38"/>
    </row>
    <row r="67" spans="1:7" x14ac:dyDescent="0.25">
      <c r="A67" s="38"/>
      <c r="B67" s="38"/>
      <c r="C67" s="38"/>
      <c r="D67" s="38"/>
      <c r="E67" s="38"/>
      <c r="F67" s="38"/>
      <c r="G67" s="38"/>
    </row>
    <row r="68" spans="1:7" x14ac:dyDescent="0.25">
      <c r="A68" s="38"/>
      <c r="B68" s="38"/>
      <c r="C68" s="38"/>
      <c r="D68" s="38"/>
      <c r="E68" s="38"/>
      <c r="F68" s="38"/>
      <c r="G68" s="38"/>
    </row>
    <row r="69" spans="1:7" x14ac:dyDescent="0.25">
      <c r="A69" s="38"/>
      <c r="B69" s="38"/>
      <c r="C69" s="38"/>
      <c r="D69" s="38"/>
      <c r="E69" s="38"/>
      <c r="F69" s="38"/>
      <c r="G69" s="38"/>
    </row>
    <row r="70" spans="1:7" x14ac:dyDescent="0.25">
      <c r="A70" s="38"/>
      <c r="B70" s="38"/>
      <c r="C70" s="38"/>
      <c r="D70" s="38"/>
      <c r="E70" s="38"/>
      <c r="F70" s="38"/>
      <c r="G70" s="38"/>
    </row>
    <row r="71" spans="1:7" x14ac:dyDescent="0.25">
      <c r="A71" s="38"/>
      <c r="B71" s="38"/>
      <c r="C71" s="38"/>
      <c r="D71" s="38"/>
      <c r="E71" s="38"/>
      <c r="F71" s="38"/>
      <c r="G71" s="38"/>
    </row>
    <row r="72" spans="1:7" x14ac:dyDescent="0.25">
      <c r="A72" s="38"/>
      <c r="B72" s="38"/>
      <c r="C72" s="38"/>
      <c r="D72" s="38"/>
      <c r="E72" s="38"/>
      <c r="F72" s="38"/>
      <c r="G72" s="38"/>
    </row>
    <row r="73" spans="1:7" x14ac:dyDescent="0.25">
      <c r="A73" s="38"/>
      <c r="B73" s="38"/>
      <c r="C73" s="38"/>
      <c r="D73" s="38"/>
      <c r="E73" s="38"/>
      <c r="F73" s="38"/>
      <c r="G73" s="38"/>
    </row>
    <row r="74" spans="1:7" x14ac:dyDescent="0.25">
      <c r="A74" s="38"/>
      <c r="B74" s="38"/>
      <c r="C74" s="38"/>
      <c r="D74" s="38"/>
      <c r="E74" s="38"/>
      <c r="F74" s="38"/>
      <c r="G74" s="38"/>
    </row>
    <row r="75" spans="1:7" x14ac:dyDescent="0.25">
      <c r="A75" s="38"/>
      <c r="B75" s="38"/>
      <c r="C75" s="38"/>
      <c r="D75" s="38"/>
      <c r="E75" s="38"/>
      <c r="F75" s="38"/>
      <c r="G75" s="38"/>
    </row>
    <row r="76" spans="1:7" x14ac:dyDescent="0.25">
      <c r="A76" s="38"/>
      <c r="B76" s="38"/>
      <c r="C76" s="38"/>
      <c r="D76" s="38"/>
      <c r="E76" s="38"/>
      <c r="F76" s="38"/>
      <c r="G76" s="38"/>
    </row>
    <row r="77" spans="1:7" x14ac:dyDescent="0.25">
      <c r="A77" s="38"/>
      <c r="B77" s="38"/>
      <c r="C77" s="38"/>
      <c r="D77" s="38"/>
      <c r="E77" s="38"/>
      <c r="F77" s="38"/>
      <c r="G77" s="38"/>
    </row>
    <row r="78" spans="1:7" x14ac:dyDescent="0.25">
      <c r="A78" s="38"/>
      <c r="B78" s="38"/>
      <c r="C78" s="38"/>
      <c r="D78" s="38"/>
      <c r="E78" s="38"/>
      <c r="F78" s="38"/>
      <c r="G78" s="38"/>
    </row>
    <row r="79" spans="1:7" x14ac:dyDescent="0.25">
      <c r="A79" s="38"/>
      <c r="B79" s="38"/>
      <c r="C79" s="38"/>
      <c r="D79" s="38"/>
      <c r="E79" s="38"/>
      <c r="F79" s="38"/>
      <c r="G79" s="38"/>
    </row>
    <row r="80" spans="1:7" x14ac:dyDescent="0.25">
      <c r="A80" s="38"/>
      <c r="B80" s="38"/>
      <c r="C80" s="38"/>
      <c r="D80" s="38"/>
      <c r="E80" s="38"/>
      <c r="F80" s="38"/>
      <c r="G80" s="38"/>
    </row>
    <row r="81" spans="1:7" x14ac:dyDescent="0.25">
      <c r="A81" s="38"/>
      <c r="B81" s="38"/>
      <c r="C81" s="38"/>
      <c r="D81" s="38"/>
      <c r="E81" s="38"/>
      <c r="F81" s="38"/>
      <c r="G81" s="38"/>
    </row>
    <row r="82" spans="1:7" x14ac:dyDescent="0.25">
      <c r="A82" s="38"/>
      <c r="B82" s="38"/>
      <c r="C82" s="38"/>
      <c r="D82" s="38"/>
      <c r="E82" s="38"/>
      <c r="F82" s="38"/>
      <c r="G82" s="38"/>
    </row>
    <row r="83" spans="1:7" x14ac:dyDescent="0.25">
      <c r="A83" s="38"/>
      <c r="B83" s="38"/>
      <c r="C83" s="38"/>
      <c r="D83" s="38"/>
      <c r="E83" s="38"/>
      <c r="F83" s="38"/>
      <c r="G83" s="38"/>
    </row>
    <row r="84" spans="1:7" x14ac:dyDescent="0.25">
      <c r="A84" s="38"/>
      <c r="B84" s="38"/>
      <c r="C84" s="38"/>
      <c r="D84" s="38"/>
      <c r="E84" s="38"/>
      <c r="F84" s="38"/>
      <c r="G84" s="38"/>
    </row>
    <row r="85" spans="1:7" x14ac:dyDescent="0.25">
      <c r="A85" s="38"/>
      <c r="B85" s="38"/>
      <c r="C85" s="38"/>
      <c r="D85" s="38"/>
      <c r="E85" s="38"/>
      <c r="F85" s="38"/>
      <c r="G85" s="38"/>
    </row>
    <row r="86" spans="1:7" x14ac:dyDescent="0.25">
      <c r="A86" s="38"/>
      <c r="B86" s="38"/>
      <c r="C86" s="38"/>
      <c r="D86" s="38"/>
      <c r="E86" s="38"/>
      <c r="F86" s="38"/>
      <c r="G86" s="38"/>
    </row>
    <row r="87" spans="1:7" x14ac:dyDescent="0.25">
      <c r="A87" s="38"/>
      <c r="B87" s="38"/>
      <c r="C87" s="38"/>
      <c r="D87" s="38"/>
      <c r="E87" s="38"/>
      <c r="F87" s="38"/>
      <c r="G87" s="38"/>
    </row>
    <row r="88" spans="1:7" x14ac:dyDescent="0.25">
      <c r="A88" s="38"/>
      <c r="B88" s="38"/>
      <c r="C88" s="38"/>
      <c r="D88" s="38"/>
      <c r="E88" s="38"/>
      <c r="F88" s="38"/>
      <c r="G88" s="38"/>
    </row>
    <row r="89" spans="1:7" x14ac:dyDescent="0.25">
      <c r="A89" s="38"/>
      <c r="B89" s="38"/>
      <c r="C89" s="38"/>
      <c r="D89" s="38"/>
      <c r="E89" s="38"/>
      <c r="F89" s="38"/>
      <c r="G89" s="38"/>
    </row>
    <row r="90" spans="1:7" x14ac:dyDescent="0.25">
      <c r="A90" s="38"/>
      <c r="B90" s="38"/>
      <c r="C90" s="38"/>
      <c r="D90" s="38"/>
      <c r="E90" s="38"/>
      <c r="F90" s="38"/>
      <c r="G90" s="38"/>
    </row>
    <row r="91" spans="1:7" x14ac:dyDescent="0.25">
      <c r="A91" s="38"/>
      <c r="B91" s="38"/>
      <c r="C91" s="38"/>
      <c r="D91" s="38"/>
      <c r="E91" s="38"/>
      <c r="F91" s="38"/>
      <c r="G91" s="38"/>
    </row>
    <row r="92" spans="1:7" x14ac:dyDescent="0.25">
      <c r="A92" s="38"/>
      <c r="B92" s="38"/>
      <c r="C92" s="38"/>
      <c r="D92" s="38"/>
      <c r="E92" s="38"/>
      <c r="F92" s="38"/>
      <c r="G92" s="38"/>
    </row>
    <row r="93" spans="1:7" x14ac:dyDescent="0.25">
      <c r="A93" s="38"/>
      <c r="B93" s="38"/>
      <c r="C93" s="38"/>
      <c r="D93" s="38"/>
      <c r="E93" s="38"/>
      <c r="F93" s="38"/>
      <c r="G93" s="38"/>
    </row>
    <row r="94" spans="1:7" x14ac:dyDescent="0.25">
      <c r="A94" s="38"/>
      <c r="B94" s="38"/>
      <c r="C94" s="38"/>
      <c r="D94" s="38"/>
      <c r="E94" s="38"/>
      <c r="F94" s="38"/>
      <c r="G94" s="38"/>
    </row>
    <row r="95" spans="1:7" x14ac:dyDescent="0.25">
      <c r="A95" s="38"/>
      <c r="B95" s="38"/>
      <c r="C95" s="38"/>
      <c r="D95" s="38"/>
      <c r="E95" s="38"/>
      <c r="F95" s="38"/>
      <c r="G95" s="38"/>
    </row>
    <row r="96" spans="1:7" x14ac:dyDescent="0.25">
      <c r="A96" s="38"/>
      <c r="B96" s="38"/>
      <c r="C96" s="38"/>
      <c r="D96" s="38"/>
      <c r="E96" s="38"/>
      <c r="F96" s="38"/>
      <c r="G96" s="38"/>
    </row>
    <row r="97" spans="1:7" x14ac:dyDescent="0.25">
      <c r="A97" s="38"/>
      <c r="B97" s="38"/>
      <c r="C97" s="38"/>
      <c r="D97" s="38"/>
      <c r="E97" s="38"/>
      <c r="F97" s="38"/>
      <c r="G97" s="38"/>
    </row>
    <row r="98" spans="1:7" x14ac:dyDescent="0.25">
      <c r="A98" s="38"/>
      <c r="B98" s="38"/>
      <c r="C98" s="38"/>
      <c r="D98" s="38"/>
      <c r="E98" s="38"/>
      <c r="F98" s="38"/>
      <c r="G98" s="38"/>
    </row>
    <row r="99" spans="1:7" x14ac:dyDescent="0.25">
      <c r="A99" s="38"/>
      <c r="B99" s="38"/>
      <c r="C99" s="38"/>
      <c r="D99" s="38"/>
      <c r="E99" s="38"/>
      <c r="F99" s="38"/>
      <c r="G99" s="38"/>
    </row>
    <row r="100" spans="1:7" x14ac:dyDescent="0.25">
      <c r="A100" s="38"/>
      <c r="B100" s="38"/>
      <c r="C100" s="38"/>
      <c r="D100" s="38"/>
      <c r="E100" s="38"/>
      <c r="F100" s="38"/>
      <c r="G100" s="38"/>
    </row>
    <row r="101" spans="1:7" x14ac:dyDescent="0.25">
      <c r="A101" s="38"/>
      <c r="B101" s="38"/>
      <c r="C101" s="38"/>
      <c r="D101" s="38"/>
      <c r="E101" s="38"/>
      <c r="F101" s="38"/>
      <c r="G101" s="38"/>
    </row>
    <row r="102" spans="1:7" x14ac:dyDescent="0.25">
      <c r="A102" s="38"/>
      <c r="B102" s="38"/>
      <c r="C102" s="38"/>
      <c r="D102" s="38"/>
      <c r="E102" s="38"/>
      <c r="F102" s="38"/>
      <c r="G102" s="38"/>
    </row>
    <row r="103" spans="1:7" x14ac:dyDescent="0.25">
      <c r="A103" s="38"/>
      <c r="B103" s="38"/>
      <c r="C103" s="38"/>
      <c r="D103" s="38"/>
      <c r="E103" s="38"/>
      <c r="F103" s="38"/>
      <c r="G103" s="38"/>
    </row>
    <row r="104" spans="1:7" x14ac:dyDescent="0.25">
      <c r="A104" s="38"/>
      <c r="B104" s="38"/>
      <c r="C104" s="38"/>
      <c r="D104" s="38"/>
      <c r="E104" s="38"/>
      <c r="F104" s="38"/>
      <c r="G104" s="38"/>
    </row>
    <row r="105" spans="1:7" x14ac:dyDescent="0.25">
      <c r="A105" s="38"/>
      <c r="B105" s="38"/>
      <c r="C105" s="38"/>
      <c r="D105" s="38"/>
      <c r="E105" s="38"/>
      <c r="F105" s="38"/>
      <c r="G105" s="38"/>
    </row>
    <row r="106" spans="1:7" x14ac:dyDescent="0.25">
      <c r="A106" s="38"/>
      <c r="B106" s="38"/>
      <c r="C106" s="38"/>
      <c r="D106" s="38"/>
      <c r="E106" s="38"/>
      <c r="F106" s="38"/>
      <c r="G106" s="38"/>
    </row>
    <row r="107" spans="1:7" x14ac:dyDescent="0.25">
      <c r="A107" s="38"/>
      <c r="B107" s="38"/>
      <c r="C107" s="38"/>
      <c r="D107" s="38"/>
      <c r="E107" s="38"/>
      <c r="F107" s="38"/>
      <c r="G107" s="38"/>
    </row>
    <row r="108" spans="1:7" x14ac:dyDescent="0.25">
      <c r="A108" s="38"/>
      <c r="B108" s="38"/>
      <c r="C108" s="38"/>
      <c r="D108" s="38"/>
      <c r="E108" s="38"/>
      <c r="F108" s="38"/>
      <c r="G108" s="38"/>
    </row>
    <row r="109" spans="1:7" x14ac:dyDescent="0.25">
      <c r="A109" s="38"/>
      <c r="B109" s="38"/>
      <c r="C109" s="38"/>
      <c r="D109" s="38"/>
      <c r="E109" s="38"/>
      <c r="F109" s="38"/>
      <c r="G109" s="38"/>
    </row>
    <row r="110" spans="1:7" x14ac:dyDescent="0.25">
      <c r="A110" s="38"/>
      <c r="B110" s="38"/>
      <c r="C110" s="38"/>
      <c r="D110" s="38"/>
      <c r="E110" s="38"/>
      <c r="F110" s="38"/>
      <c r="G110" s="38"/>
    </row>
    <row r="111" spans="1:7" x14ac:dyDescent="0.25">
      <c r="A111" s="38"/>
      <c r="B111" s="38"/>
      <c r="C111" s="38"/>
      <c r="D111" s="38"/>
      <c r="E111" s="38"/>
      <c r="F111" s="38"/>
      <c r="G111" s="38"/>
    </row>
    <row r="112" spans="1:7" x14ac:dyDescent="0.25">
      <c r="A112" s="38"/>
      <c r="B112" s="38"/>
      <c r="C112" s="38"/>
      <c r="D112" s="38"/>
      <c r="E112" s="38"/>
      <c r="F112" s="38"/>
      <c r="G112" s="38"/>
    </row>
    <row r="113" spans="1:7" x14ac:dyDescent="0.25">
      <c r="A113" s="38"/>
      <c r="B113" s="38"/>
      <c r="C113" s="38"/>
      <c r="D113" s="38"/>
      <c r="E113" s="38"/>
      <c r="F113" s="38"/>
      <c r="G113" s="38"/>
    </row>
    <row r="114" spans="1:7" x14ac:dyDescent="0.25">
      <c r="A114" s="38"/>
      <c r="B114" s="38"/>
      <c r="C114" s="38"/>
      <c r="D114" s="38"/>
      <c r="E114" s="38"/>
      <c r="F114" s="38"/>
      <c r="G114" s="38"/>
    </row>
    <row r="115" spans="1:7" x14ac:dyDescent="0.25">
      <c r="A115" s="38"/>
      <c r="B115" s="38"/>
      <c r="C115" s="38"/>
      <c r="D115" s="38"/>
      <c r="E115" s="38"/>
      <c r="F115" s="38"/>
      <c r="G115" s="38"/>
    </row>
    <row r="116" spans="1:7" x14ac:dyDescent="0.25">
      <c r="A116" s="38"/>
      <c r="B116" s="38"/>
      <c r="C116" s="38"/>
      <c r="D116" s="38"/>
      <c r="E116" s="38"/>
      <c r="F116" s="38"/>
      <c r="G116" s="38"/>
    </row>
    <row r="117" spans="1:7" x14ac:dyDescent="0.25">
      <c r="A117" s="38"/>
      <c r="B117" s="38"/>
      <c r="C117" s="38"/>
      <c r="D117" s="38"/>
      <c r="E117" s="38"/>
      <c r="F117" s="38"/>
      <c r="G117" s="38"/>
    </row>
    <row r="118" spans="1:7" x14ac:dyDescent="0.25">
      <c r="A118" s="38"/>
      <c r="B118" s="38"/>
      <c r="C118" s="38"/>
      <c r="D118" s="38"/>
      <c r="E118" s="38"/>
      <c r="F118" s="38"/>
      <c r="G118" s="38"/>
    </row>
    <row r="119" spans="1:7" x14ac:dyDescent="0.25">
      <c r="A119" s="38"/>
      <c r="B119" s="38"/>
      <c r="C119" s="38"/>
      <c r="D119" s="38"/>
      <c r="E119" s="38"/>
      <c r="F119" s="38"/>
      <c r="G119" s="38"/>
    </row>
    <row r="120" spans="1:7" x14ac:dyDescent="0.25">
      <c r="A120" s="38"/>
      <c r="B120" s="38"/>
      <c r="C120" s="38"/>
      <c r="D120" s="38"/>
      <c r="E120" s="38"/>
      <c r="F120" s="38"/>
      <c r="G120" s="38"/>
    </row>
    <row r="121" spans="1:7" x14ac:dyDescent="0.25">
      <c r="A121" s="38"/>
      <c r="B121" s="38"/>
      <c r="C121" s="38"/>
      <c r="D121" s="38"/>
      <c r="E121" s="38"/>
      <c r="F121" s="38"/>
      <c r="G121" s="38"/>
    </row>
    <row r="122" spans="1:7" x14ac:dyDescent="0.25">
      <c r="A122" s="38"/>
      <c r="B122" s="38"/>
      <c r="C122" s="38"/>
      <c r="D122" s="38"/>
      <c r="E122" s="38"/>
      <c r="F122" s="38"/>
      <c r="G122" s="38"/>
    </row>
    <row r="123" spans="1:7" x14ac:dyDescent="0.25">
      <c r="A123" s="38"/>
      <c r="B123" s="38"/>
      <c r="C123" s="38"/>
      <c r="D123" s="38"/>
      <c r="E123" s="38"/>
      <c r="F123" s="38"/>
      <c r="G123" s="38"/>
    </row>
    <row r="124" spans="1:7" x14ac:dyDescent="0.25">
      <c r="A124" s="38"/>
      <c r="B124" s="38"/>
      <c r="C124" s="38"/>
      <c r="D124" s="38"/>
      <c r="E124" s="38"/>
      <c r="F124" s="38"/>
      <c r="G124" s="38"/>
    </row>
    <row r="125" spans="1:7" x14ac:dyDescent="0.25">
      <c r="A125" s="38"/>
      <c r="B125" s="38"/>
      <c r="C125" s="38"/>
      <c r="D125" s="38"/>
      <c r="E125" s="38"/>
      <c r="F125" s="38"/>
      <c r="G125" s="38"/>
    </row>
    <row r="126" spans="1:7" x14ac:dyDescent="0.25">
      <c r="A126" s="38"/>
      <c r="B126" s="38"/>
      <c r="C126" s="38"/>
      <c r="D126" s="38"/>
      <c r="E126" s="38"/>
      <c r="F126" s="38"/>
      <c r="G126" s="38"/>
    </row>
    <row r="127" spans="1:7" x14ac:dyDescent="0.25">
      <c r="A127" s="38"/>
      <c r="B127" s="38"/>
      <c r="C127" s="38"/>
      <c r="D127" s="38"/>
      <c r="E127" s="38"/>
      <c r="F127" s="38"/>
      <c r="G127" s="38"/>
    </row>
    <row r="128" spans="1:7" x14ac:dyDescent="0.25">
      <c r="A128" s="38"/>
      <c r="B128" s="38"/>
      <c r="C128" s="38"/>
      <c r="D128" s="38"/>
      <c r="E128" s="38"/>
      <c r="F128" s="38"/>
      <c r="G128" s="38"/>
    </row>
    <row r="129" spans="1:7" x14ac:dyDescent="0.25">
      <c r="A129" s="38"/>
      <c r="B129" s="38"/>
      <c r="C129" s="38"/>
      <c r="D129" s="38"/>
      <c r="E129" s="38"/>
      <c r="F129" s="38"/>
      <c r="G129" s="38"/>
    </row>
    <row r="130" spans="1:7" x14ac:dyDescent="0.25">
      <c r="A130" s="38"/>
      <c r="B130" s="38"/>
      <c r="C130" s="38"/>
      <c r="D130" s="38"/>
      <c r="E130" s="38"/>
      <c r="F130" s="38"/>
      <c r="G130" s="38"/>
    </row>
    <row r="131" spans="1:7" x14ac:dyDescent="0.25">
      <c r="A131" s="38"/>
      <c r="B131" s="38"/>
      <c r="C131" s="38"/>
      <c r="D131" s="38"/>
      <c r="E131" s="38"/>
      <c r="F131" s="38"/>
      <c r="G131" s="38"/>
    </row>
    <row r="132" spans="1:7" x14ac:dyDescent="0.25">
      <c r="A132" s="38"/>
      <c r="B132" s="38"/>
      <c r="C132" s="38"/>
      <c r="D132" s="38"/>
      <c r="E132" s="38"/>
      <c r="F132" s="38"/>
      <c r="G132" s="38"/>
    </row>
    <row r="133" spans="1:7" x14ac:dyDescent="0.25">
      <c r="A133" s="38"/>
      <c r="B133" s="38"/>
      <c r="C133" s="38"/>
      <c r="D133" s="38"/>
      <c r="E133" s="38"/>
      <c r="F133" s="38"/>
      <c r="G133" s="38"/>
    </row>
    <row r="134" spans="1:7" x14ac:dyDescent="0.25">
      <c r="A134" s="38"/>
      <c r="B134" s="38"/>
      <c r="C134" s="38"/>
      <c r="D134" s="38"/>
      <c r="E134" s="38"/>
      <c r="F134" s="38"/>
      <c r="G134" s="38"/>
    </row>
    <row r="135" spans="1:7" x14ac:dyDescent="0.25">
      <c r="A135" s="38"/>
      <c r="B135" s="38"/>
      <c r="C135" s="38"/>
      <c r="D135" s="38"/>
      <c r="E135" s="38"/>
      <c r="F135" s="38"/>
      <c r="G135" s="38"/>
    </row>
    <row r="136" spans="1:7" x14ac:dyDescent="0.25">
      <c r="A136" s="38"/>
      <c r="B136" s="38"/>
      <c r="C136" s="38"/>
      <c r="D136" s="38"/>
      <c r="E136" s="38"/>
      <c r="F136" s="38"/>
      <c r="G136" s="38"/>
    </row>
    <row r="137" spans="1:7" x14ac:dyDescent="0.25">
      <c r="A137" s="38"/>
      <c r="B137" s="38"/>
      <c r="C137" s="38"/>
      <c r="D137" s="38"/>
      <c r="E137" s="38"/>
      <c r="F137" s="38"/>
      <c r="G137" s="38"/>
    </row>
    <row r="138" spans="1:7" x14ac:dyDescent="0.25">
      <c r="A138" s="38"/>
      <c r="B138" s="38"/>
      <c r="C138" s="38"/>
      <c r="D138" s="38"/>
      <c r="E138" s="38"/>
      <c r="F138" s="38"/>
      <c r="G138" s="38"/>
    </row>
    <row r="139" spans="1:7" x14ac:dyDescent="0.25">
      <c r="A139" s="38"/>
      <c r="B139" s="38"/>
      <c r="C139" s="38"/>
      <c r="D139" s="38"/>
      <c r="E139" s="38"/>
      <c r="F139" s="38"/>
      <c r="G139" s="38"/>
    </row>
    <row r="140" spans="1:7" x14ac:dyDescent="0.25">
      <c r="A140" s="38"/>
      <c r="B140" s="38"/>
      <c r="C140" s="38"/>
      <c r="D140" s="38"/>
      <c r="E140" s="38"/>
      <c r="F140" s="38"/>
      <c r="G140" s="38"/>
    </row>
    <row r="141" spans="1:7" x14ac:dyDescent="0.25">
      <c r="A141" s="38"/>
      <c r="B141" s="38"/>
      <c r="C141" s="38"/>
      <c r="D141" s="38"/>
      <c r="E141" s="38"/>
      <c r="F141" s="38"/>
      <c r="G141" s="38"/>
    </row>
    <row r="142" spans="1:7" x14ac:dyDescent="0.25">
      <c r="A142" s="38"/>
      <c r="B142" s="38"/>
      <c r="C142" s="38"/>
      <c r="D142" s="38"/>
      <c r="E142" s="38"/>
      <c r="F142" s="38"/>
      <c r="G142" s="38"/>
    </row>
    <row r="143" spans="1:7" x14ac:dyDescent="0.25">
      <c r="A143" s="38"/>
      <c r="B143" s="38"/>
      <c r="C143" s="38"/>
      <c r="D143" s="38"/>
      <c r="E143" s="38"/>
      <c r="F143" s="38"/>
      <c r="G143" s="38"/>
    </row>
    <row r="144" spans="1:7" x14ac:dyDescent="0.25">
      <c r="A144" s="38"/>
      <c r="B144" s="38"/>
      <c r="C144" s="38"/>
      <c r="D144" s="38"/>
      <c r="E144" s="38"/>
      <c r="F144" s="38"/>
      <c r="G144" s="38"/>
    </row>
    <row r="145" spans="1:7" x14ac:dyDescent="0.25">
      <c r="A145" s="38"/>
      <c r="B145" s="38"/>
      <c r="C145" s="38"/>
      <c r="D145" s="38"/>
      <c r="E145" s="38"/>
      <c r="F145" s="38"/>
      <c r="G145" s="38"/>
    </row>
    <row r="146" spans="1:7" x14ac:dyDescent="0.25">
      <c r="A146" s="38"/>
      <c r="B146" s="38"/>
      <c r="C146" s="38"/>
      <c r="D146" s="38"/>
      <c r="E146" s="38"/>
      <c r="F146" s="38"/>
      <c r="G146" s="38"/>
    </row>
    <row r="147" spans="1:7" x14ac:dyDescent="0.25">
      <c r="A147" s="38"/>
      <c r="B147" s="38"/>
      <c r="C147" s="38"/>
      <c r="D147" s="38"/>
      <c r="E147" s="38"/>
      <c r="F147" s="38"/>
      <c r="G147" s="38"/>
    </row>
    <row r="148" spans="1:7" x14ac:dyDescent="0.25">
      <c r="A148" s="38"/>
      <c r="B148" s="38"/>
      <c r="C148" s="38"/>
      <c r="D148" s="38"/>
      <c r="E148" s="38"/>
      <c r="F148" s="38"/>
      <c r="G148" s="38"/>
    </row>
    <row r="149" spans="1:7" x14ac:dyDescent="0.25">
      <c r="A149" s="38"/>
      <c r="B149" s="38"/>
      <c r="C149" s="38"/>
      <c r="D149" s="38"/>
      <c r="E149" s="38"/>
      <c r="F149" s="38"/>
      <c r="G149" s="38"/>
    </row>
    <row r="150" spans="1:7" x14ac:dyDescent="0.25">
      <c r="A150" s="38"/>
      <c r="B150" s="38"/>
      <c r="C150" s="38"/>
      <c r="D150" s="38"/>
      <c r="E150" s="38"/>
      <c r="F150" s="38"/>
      <c r="G150" s="38"/>
    </row>
    <row r="151" spans="1:7" x14ac:dyDescent="0.25">
      <c r="A151" s="38"/>
      <c r="B151" s="38"/>
      <c r="C151" s="38"/>
      <c r="D151" s="38"/>
      <c r="E151" s="38"/>
      <c r="F151" s="38"/>
      <c r="G151" s="38"/>
    </row>
    <row r="152" spans="1:7" x14ac:dyDescent="0.25">
      <c r="A152" s="38"/>
      <c r="B152" s="38"/>
      <c r="C152" s="38"/>
      <c r="D152" s="38"/>
      <c r="E152" s="38"/>
      <c r="F152" s="38"/>
      <c r="G152" s="38"/>
    </row>
    <row r="153" spans="1:7" x14ac:dyDescent="0.25">
      <c r="A153" s="38"/>
      <c r="B153" s="38"/>
      <c r="C153" s="38"/>
      <c r="D153" s="38"/>
      <c r="E153" s="38"/>
      <c r="F153" s="38"/>
      <c r="G153" s="38"/>
    </row>
    <row r="154" spans="1:7" x14ac:dyDescent="0.25">
      <c r="A154" s="38"/>
      <c r="B154" s="38"/>
      <c r="C154" s="38"/>
      <c r="D154" s="38"/>
      <c r="E154" s="38"/>
      <c r="F154" s="38"/>
      <c r="G154" s="38"/>
    </row>
    <row r="155" spans="1:7" x14ac:dyDescent="0.25">
      <c r="A155" s="38"/>
      <c r="B155" s="38"/>
      <c r="C155" s="38"/>
      <c r="D155" s="38"/>
      <c r="E155" s="38"/>
      <c r="F155" s="38"/>
      <c r="G155" s="38"/>
    </row>
    <row r="156" spans="1:7" x14ac:dyDescent="0.25">
      <c r="A156" s="38"/>
      <c r="B156" s="38"/>
      <c r="C156" s="38"/>
      <c r="D156" s="38"/>
      <c r="E156" s="38"/>
      <c r="F156" s="38"/>
      <c r="G156" s="38"/>
    </row>
    <row r="157" spans="1:7" x14ac:dyDescent="0.25">
      <c r="A157" s="38"/>
      <c r="B157" s="38"/>
      <c r="C157" s="38"/>
      <c r="D157" s="38"/>
      <c r="E157" s="38"/>
      <c r="F157" s="38"/>
      <c r="G157" s="38"/>
    </row>
    <row r="158" spans="1:7" x14ac:dyDescent="0.25">
      <c r="A158" s="38"/>
      <c r="B158" s="38"/>
      <c r="C158" s="38"/>
      <c r="D158" s="38"/>
      <c r="E158" s="38"/>
      <c r="F158" s="38"/>
      <c r="G158" s="38"/>
    </row>
    <row r="159" spans="1:7" x14ac:dyDescent="0.25">
      <c r="A159" s="38"/>
      <c r="B159" s="38"/>
      <c r="C159" s="38"/>
      <c r="D159" s="38"/>
      <c r="E159" s="38"/>
      <c r="F159" s="38"/>
      <c r="G159" s="38"/>
    </row>
    <row r="160" spans="1:7" x14ac:dyDescent="0.25">
      <c r="A160" s="38"/>
      <c r="B160" s="38"/>
      <c r="C160" s="38"/>
      <c r="D160" s="38"/>
      <c r="E160" s="38"/>
      <c r="F160" s="38"/>
      <c r="G160" s="38"/>
    </row>
    <row r="161" spans="1:7" x14ac:dyDescent="0.25">
      <c r="A161" s="38"/>
      <c r="B161" s="38"/>
      <c r="C161" s="38"/>
      <c r="D161" s="38"/>
      <c r="E161" s="38"/>
      <c r="F161" s="38"/>
      <c r="G161" s="38"/>
    </row>
    <row r="162" spans="1:7" x14ac:dyDescent="0.25">
      <c r="A162" s="38"/>
      <c r="B162" s="38"/>
      <c r="C162" s="38"/>
      <c r="D162" s="38"/>
      <c r="E162" s="38"/>
      <c r="F162" s="38"/>
      <c r="G162" s="38"/>
    </row>
    <row r="163" spans="1:7" x14ac:dyDescent="0.25">
      <c r="A163" s="38"/>
      <c r="B163" s="38"/>
      <c r="C163" s="38"/>
      <c r="D163" s="38"/>
      <c r="E163" s="38"/>
      <c r="F163" s="38"/>
      <c r="G163" s="38"/>
    </row>
    <row r="164" spans="1:7" x14ac:dyDescent="0.25">
      <c r="A164" s="38"/>
      <c r="B164" s="38"/>
      <c r="C164" s="38"/>
      <c r="D164" s="38"/>
      <c r="E164" s="38"/>
      <c r="F164" s="38"/>
      <c r="G164" s="38"/>
    </row>
    <row r="165" spans="1:7" x14ac:dyDescent="0.25">
      <c r="A165" s="38"/>
      <c r="B165" s="38"/>
      <c r="C165" s="38"/>
      <c r="D165" s="38"/>
      <c r="E165" s="38"/>
      <c r="F165" s="38"/>
      <c r="G165" s="38"/>
    </row>
    <row r="166" spans="1:7" x14ac:dyDescent="0.25">
      <c r="A166" s="38"/>
      <c r="B166" s="38"/>
      <c r="C166" s="38"/>
      <c r="D166" s="38"/>
      <c r="E166" s="38"/>
      <c r="F166" s="38"/>
      <c r="G166" s="38"/>
    </row>
    <row r="167" spans="1:7" x14ac:dyDescent="0.25">
      <c r="A167" s="38"/>
      <c r="B167" s="38"/>
      <c r="C167" s="38"/>
      <c r="D167" s="38"/>
      <c r="E167" s="38"/>
      <c r="F167" s="38"/>
      <c r="G167" s="38"/>
    </row>
    <row r="168" spans="1:7" x14ac:dyDescent="0.25">
      <c r="A168" s="38"/>
      <c r="B168" s="38"/>
      <c r="C168" s="38"/>
      <c r="D168" s="38"/>
      <c r="E168" s="38"/>
      <c r="F168" s="38"/>
      <c r="G168" s="38"/>
    </row>
    <row r="169" spans="1:7" x14ac:dyDescent="0.25">
      <c r="A169" s="38"/>
      <c r="B169" s="38"/>
      <c r="C169" s="38"/>
      <c r="D169" s="38"/>
      <c r="E169" s="38"/>
      <c r="F169" s="38"/>
      <c r="G169" s="38"/>
    </row>
    <row r="170" spans="1:7" x14ac:dyDescent="0.25">
      <c r="A170" s="38"/>
      <c r="B170" s="38"/>
      <c r="C170" s="38"/>
      <c r="D170" s="38"/>
      <c r="E170" s="38"/>
      <c r="F170" s="38"/>
      <c r="G170" s="38"/>
    </row>
    <row r="171" spans="1:7" x14ac:dyDescent="0.25">
      <c r="A171" s="38"/>
      <c r="B171" s="38"/>
      <c r="C171" s="38"/>
      <c r="D171" s="38"/>
      <c r="E171" s="38"/>
      <c r="F171" s="38"/>
      <c r="G171" s="38"/>
    </row>
    <row r="172" spans="1:7" x14ac:dyDescent="0.25">
      <c r="A172" s="38"/>
      <c r="B172" s="38"/>
      <c r="C172" s="38"/>
      <c r="D172" s="38"/>
      <c r="E172" s="38"/>
      <c r="F172" s="38"/>
      <c r="G172" s="38"/>
    </row>
    <row r="173" spans="1:7" x14ac:dyDescent="0.25">
      <c r="A173" s="38"/>
      <c r="B173" s="38"/>
      <c r="C173" s="38"/>
      <c r="D173" s="38"/>
      <c r="E173" s="38"/>
      <c r="F173" s="38"/>
      <c r="G173" s="38"/>
    </row>
    <row r="174" spans="1:7" x14ac:dyDescent="0.25">
      <c r="A174" s="38"/>
      <c r="B174" s="38"/>
      <c r="C174" s="38"/>
      <c r="D174" s="38"/>
      <c r="E174" s="38"/>
      <c r="F174" s="38"/>
      <c r="G174" s="38"/>
    </row>
    <row r="175" spans="1:7" x14ac:dyDescent="0.25">
      <c r="A175" s="38"/>
      <c r="B175" s="38"/>
      <c r="C175" s="38"/>
      <c r="D175" s="38"/>
      <c r="E175" s="38"/>
      <c r="F175" s="38"/>
      <c r="G175" s="38"/>
    </row>
    <row r="176" spans="1:7" x14ac:dyDescent="0.25">
      <c r="A176" s="38"/>
      <c r="B176" s="38"/>
      <c r="C176" s="38"/>
      <c r="D176" s="38"/>
      <c r="E176" s="38"/>
      <c r="F176" s="38"/>
      <c r="G176" s="38"/>
    </row>
    <row r="177" spans="1:7" x14ac:dyDescent="0.25">
      <c r="A177" s="38"/>
      <c r="B177" s="38"/>
      <c r="C177" s="38"/>
      <c r="D177" s="38"/>
      <c r="E177" s="38"/>
      <c r="F177" s="38"/>
      <c r="G177" s="38"/>
    </row>
    <row r="178" spans="1:7" x14ac:dyDescent="0.25">
      <c r="A178" s="38"/>
      <c r="B178" s="38"/>
      <c r="C178" s="38"/>
      <c r="D178" s="38"/>
      <c r="E178" s="38"/>
      <c r="F178" s="38"/>
      <c r="G178" s="38"/>
    </row>
    <row r="179" spans="1:7" x14ac:dyDescent="0.25">
      <c r="A179" s="38"/>
      <c r="B179" s="38"/>
      <c r="C179" s="38"/>
      <c r="D179" s="38"/>
      <c r="E179" s="38"/>
      <c r="F179" s="38"/>
      <c r="G179" s="38"/>
    </row>
    <row r="180" spans="1:7" x14ac:dyDescent="0.25">
      <c r="A180" s="38"/>
      <c r="B180" s="38"/>
      <c r="C180" s="38"/>
      <c r="D180" s="38"/>
      <c r="E180" s="38"/>
      <c r="F180" s="38"/>
      <c r="G180" s="38"/>
    </row>
    <row r="181" spans="1:7" x14ac:dyDescent="0.25">
      <c r="A181" s="38"/>
      <c r="B181" s="38"/>
      <c r="C181" s="38"/>
      <c r="D181" s="38"/>
      <c r="E181" s="38"/>
      <c r="F181" s="38"/>
      <c r="G181" s="38"/>
    </row>
    <row r="182" spans="1:7" x14ac:dyDescent="0.25">
      <c r="A182" s="38"/>
      <c r="B182" s="38"/>
      <c r="C182" s="38"/>
      <c r="D182" s="38"/>
      <c r="E182" s="38"/>
      <c r="F182" s="38"/>
      <c r="G182" s="38"/>
    </row>
    <row r="183" spans="1:7" x14ac:dyDescent="0.25">
      <c r="A183" s="38"/>
      <c r="B183" s="38"/>
      <c r="C183" s="38"/>
      <c r="D183" s="38"/>
      <c r="E183" s="38"/>
      <c r="F183" s="38"/>
      <c r="G183" s="38"/>
    </row>
    <row r="184" spans="1:7" x14ac:dyDescent="0.25">
      <c r="A184" s="38"/>
      <c r="B184" s="38"/>
      <c r="C184" s="38"/>
      <c r="D184" s="38"/>
      <c r="E184" s="38"/>
      <c r="F184" s="38"/>
      <c r="G184" s="38"/>
    </row>
    <row r="185" spans="1:7" x14ac:dyDescent="0.25">
      <c r="A185" s="38"/>
      <c r="B185" s="38"/>
      <c r="C185" s="38"/>
      <c r="D185" s="38"/>
      <c r="E185" s="38"/>
      <c r="F185" s="38"/>
      <c r="G185" s="38"/>
    </row>
    <row r="186" spans="1:7" x14ac:dyDescent="0.25">
      <c r="A186" s="38"/>
      <c r="B186" s="38"/>
      <c r="C186" s="38"/>
      <c r="D186" s="38"/>
      <c r="E186" s="38"/>
      <c r="F186" s="38"/>
      <c r="G186" s="38"/>
    </row>
    <row r="187" spans="1:7" x14ac:dyDescent="0.25">
      <c r="A187" s="38"/>
      <c r="B187" s="38"/>
      <c r="C187" s="38"/>
      <c r="D187" s="38"/>
      <c r="E187" s="38"/>
      <c r="F187" s="38"/>
      <c r="G187" s="38"/>
    </row>
    <row r="188" spans="1:7" x14ac:dyDescent="0.25">
      <c r="A188" s="38"/>
      <c r="B188" s="38"/>
      <c r="C188" s="38"/>
      <c r="D188" s="38"/>
      <c r="E188" s="38"/>
      <c r="F188" s="38"/>
      <c r="G188" s="38"/>
    </row>
    <row r="189" spans="1:7" x14ac:dyDescent="0.25">
      <c r="A189" s="38"/>
      <c r="B189" s="38"/>
      <c r="C189" s="38"/>
      <c r="D189" s="38"/>
      <c r="E189" s="38"/>
      <c r="F189" s="38"/>
      <c r="G189" s="38"/>
    </row>
    <row r="190" spans="1:7" x14ac:dyDescent="0.25">
      <c r="A190" s="38"/>
      <c r="B190" s="38"/>
      <c r="C190" s="38"/>
      <c r="D190" s="38"/>
      <c r="E190" s="38"/>
      <c r="F190" s="38"/>
      <c r="G190" s="38"/>
    </row>
    <row r="191" spans="1:7" x14ac:dyDescent="0.25">
      <c r="A191" s="38"/>
      <c r="B191" s="38"/>
      <c r="C191" s="38"/>
      <c r="D191" s="38"/>
      <c r="E191" s="38"/>
      <c r="F191" s="38"/>
      <c r="G191" s="38"/>
    </row>
    <row r="192" spans="1:7" x14ac:dyDescent="0.25">
      <c r="A192" s="38"/>
      <c r="B192" s="38"/>
      <c r="C192" s="38"/>
      <c r="D192" s="38"/>
      <c r="E192" s="38"/>
      <c r="F192" s="38"/>
      <c r="G192" s="38"/>
    </row>
    <row r="193" spans="1:7" x14ac:dyDescent="0.25">
      <c r="A193" s="38"/>
      <c r="B193" s="38"/>
      <c r="C193" s="38"/>
      <c r="D193" s="38"/>
      <c r="E193" s="38"/>
      <c r="F193" s="38"/>
      <c r="G193" s="38"/>
    </row>
    <row r="194" spans="1:7" x14ac:dyDescent="0.25">
      <c r="A194" s="38"/>
      <c r="B194" s="38"/>
      <c r="C194" s="38"/>
      <c r="D194" s="38"/>
      <c r="E194" s="38"/>
      <c r="F194" s="38"/>
      <c r="G194" s="38"/>
    </row>
    <row r="195" spans="1:7" x14ac:dyDescent="0.25">
      <c r="A195" s="38"/>
      <c r="B195" s="38"/>
      <c r="C195" s="38"/>
      <c r="D195" s="38"/>
      <c r="E195" s="38"/>
      <c r="F195" s="38"/>
      <c r="G195" s="38"/>
    </row>
    <row r="196" spans="1:7" x14ac:dyDescent="0.25">
      <c r="A196" s="38"/>
      <c r="B196" s="38"/>
      <c r="C196" s="38"/>
      <c r="D196" s="38"/>
      <c r="E196" s="38"/>
      <c r="F196" s="38"/>
      <c r="G196" s="38"/>
    </row>
    <row r="197" spans="1:7" x14ac:dyDescent="0.25">
      <c r="A197" s="38"/>
      <c r="B197" s="38"/>
      <c r="C197" s="38"/>
      <c r="D197" s="38"/>
      <c r="E197" s="38"/>
      <c r="F197" s="38"/>
      <c r="G197" s="38"/>
    </row>
    <row r="198" spans="1:7" x14ac:dyDescent="0.25">
      <c r="A198" s="38"/>
      <c r="B198" s="38"/>
      <c r="C198" s="38"/>
      <c r="D198" s="38"/>
      <c r="E198" s="38"/>
      <c r="F198" s="38"/>
      <c r="G198" s="38"/>
    </row>
    <row r="199" spans="1:7" x14ac:dyDescent="0.25">
      <c r="A199" s="38"/>
      <c r="B199" s="38"/>
      <c r="C199" s="38"/>
      <c r="D199" s="38"/>
      <c r="E199" s="38"/>
      <c r="F199" s="38"/>
      <c r="G199" s="38"/>
    </row>
    <row r="200" spans="1:7" x14ac:dyDescent="0.25">
      <c r="A200" s="38"/>
      <c r="B200" s="38"/>
      <c r="C200" s="38"/>
      <c r="D200" s="38"/>
      <c r="E200" s="38"/>
      <c r="F200" s="38"/>
      <c r="G200" s="38"/>
    </row>
    <row r="201" spans="1:7" x14ac:dyDescent="0.25">
      <c r="A201" s="38"/>
      <c r="B201" s="38"/>
      <c r="C201" s="38"/>
      <c r="D201" s="38"/>
      <c r="E201" s="38"/>
      <c r="F201" s="38"/>
      <c r="G201" s="38"/>
    </row>
    <row r="202" spans="1:7" x14ac:dyDescent="0.25">
      <c r="A202" s="38"/>
      <c r="B202" s="38"/>
      <c r="C202" s="38"/>
      <c r="D202" s="38"/>
      <c r="E202" s="38"/>
      <c r="F202" s="38"/>
      <c r="G202" s="38"/>
    </row>
    <row r="203" spans="1:7" x14ac:dyDescent="0.25">
      <c r="A203" s="38"/>
      <c r="B203" s="38"/>
      <c r="C203" s="38"/>
      <c r="D203" s="38"/>
      <c r="E203" s="38"/>
      <c r="F203" s="38"/>
      <c r="G203" s="38"/>
    </row>
    <row r="204" spans="1:7" x14ac:dyDescent="0.25">
      <c r="A204" s="38"/>
      <c r="B204" s="38"/>
      <c r="C204" s="38"/>
      <c r="D204" s="38"/>
      <c r="E204" s="38"/>
      <c r="F204" s="38"/>
      <c r="G204" s="38"/>
    </row>
    <row r="205" spans="1:7" x14ac:dyDescent="0.25">
      <c r="A205" s="38"/>
      <c r="B205" s="38"/>
      <c r="C205" s="38"/>
      <c r="D205" s="38"/>
      <c r="E205" s="38"/>
      <c r="F205" s="38"/>
      <c r="G205" s="38"/>
    </row>
    <row r="206" spans="1:7" x14ac:dyDescent="0.25">
      <c r="A206" s="38"/>
      <c r="B206" s="38"/>
      <c r="C206" s="38"/>
      <c r="D206" s="38"/>
      <c r="E206" s="38"/>
      <c r="F206" s="38"/>
      <c r="G206" s="38"/>
    </row>
    <row r="207" spans="1:7" x14ac:dyDescent="0.25">
      <c r="A207" s="38"/>
      <c r="B207" s="38"/>
      <c r="C207" s="38"/>
      <c r="D207" s="38"/>
      <c r="E207" s="38"/>
      <c r="F207" s="38"/>
      <c r="G207" s="38"/>
    </row>
    <row r="208" spans="1:7" x14ac:dyDescent="0.25">
      <c r="A208" s="38"/>
      <c r="B208" s="38"/>
      <c r="C208" s="38"/>
      <c r="D208" s="38"/>
      <c r="E208" s="38"/>
      <c r="F208" s="38"/>
      <c r="G208" s="38"/>
    </row>
    <row r="209" spans="1:7" x14ac:dyDescent="0.25">
      <c r="A209" s="38"/>
      <c r="B209" s="38"/>
      <c r="C209" s="38"/>
      <c r="D209" s="38"/>
      <c r="E209" s="38"/>
      <c r="F209" s="38"/>
      <c r="G209" s="38"/>
    </row>
    <row r="210" spans="1:7" x14ac:dyDescent="0.25">
      <c r="A210" s="38"/>
      <c r="B210" s="38"/>
      <c r="C210" s="38"/>
      <c r="D210" s="38"/>
      <c r="E210" s="38"/>
      <c r="F210" s="38"/>
      <c r="G210" s="38"/>
    </row>
    <row r="211" spans="1:7" x14ac:dyDescent="0.25">
      <c r="A211" s="38"/>
      <c r="B211" s="38"/>
      <c r="C211" s="38"/>
      <c r="D211" s="38"/>
      <c r="E211" s="38"/>
      <c r="F211" s="38"/>
      <c r="G211" s="38"/>
    </row>
    <row r="212" spans="1:7" x14ac:dyDescent="0.25">
      <c r="A212" s="38"/>
      <c r="B212" s="38"/>
      <c r="C212" s="38"/>
      <c r="D212" s="38"/>
      <c r="E212" s="38"/>
      <c r="F212" s="38"/>
      <c r="G212" s="38"/>
    </row>
    <row r="213" spans="1:7" x14ac:dyDescent="0.25">
      <c r="A213" s="38"/>
      <c r="B213" s="38"/>
      <c r="C213" s="38"/>
      <c r="D213" s="38"/>
      <c r="E213" s="38"/>
      <c r="F213" s="38"/>
      <c r="G213" s="38"/>
    </row>
    <row r="214" spans="1:7" x14ac:dyDescent="0.25">
      <c r="A214" s="38"/>
      <c r="B214" s="38"/>
      <c r="C214" s="38"/>
      <c r="D214" s="38"/>
      <c r="E214" s="38"/>
      <c r="F214" s="38"/>
      <c r="G214" s="38"/>
    </row>
    <row r="215" spans="1:7" x14ac:dyDescent="0.25">
      <c r="A215" s="38"/>
      <c r="B215" s="38"/>
      <c r="C215" s="38"/>
      <c r="D215" s="38"/>
      <c r="E215" s="38"/>
      <c r="F215" s="38"/>
      <c r="G215" s="38"/>
    </row>
    <row r="216" spans="1:7" x14ac:dyDescent="0.25">
      <c r="A216" s="38"/>
      <c r="B216" s="38"/>
      <c r="C216" s="38"/>
      <c r="D216" s="38"/>
      <c r="E216" s="38"/>
      <c r="F216" s="38"/>
      <c r="G216" s="38"/>
    </row>
    <row r="217" spans="1:7" x14ac:dyDescent="0.25">
      <c r="A217" s="38"/>
      <c r="B217" s="38"/>
      <c r="C217" s="38"/>
      <c r="D217" s="38"/>
      <c r="E217" s="38"/>
      <c r="F217" s="38"/>
      <c r="G217" s="38"/>
    </row>
    <row r="218" spans="1:7" x14ac:dyDescent="0.25">
      <c r="A218" s="38"/>
      <c r="B218" s="38"/>
      <c r="C218" s="38"/>
      <c r="D218" s="38"/>
      <c r="E218" s="38"/>
      <c r="F218" s="38"/>
      <c r="G218" s="38"/>
    </row>
    <row r="219" spans="1:7" x14ac:dyDescent="0.25">
      <c r="A219" s="38"/>
      <c r="B219" s="38"/>
      <c r="C219" s="38"/>
      <c r="D219" s="38"/>
      <c r="E219" s="38"/>
      <c r="F219" s="38"/>
      <c r="G219" s="38"/>
    </row>
    <row r="220" spans="1:7" x14ac:dyDescent="0.25">
      <c r="A220" s="38"/>
      <c r="B220" s="38"/>
      <c r="C220" s="38"/>
      <c r="D220" s="38"/>
      <c r="E220" s="38"/>
      <c r="F220" s="38"/>
      <c r="G220" s="38"/>
    </row>
    <row r="221" spans="1:7" x14ac:dyDescent="0.25">
      <c r="A221" s="38"/>
      <c r="B221" s="38"/>
      <c r="C221" s="38"/>
      <c r="D221" s="38"/>
      <c r="E221" s="38"/>
      <c r="F221" s="38"/>
      <c r="G221" s="38"/>
    </row>
    <row r="222" spans="1:7" x14ac:dyDescent="0.25">
      <c r="A222" s="38"/>
      <c r="B222" s="38"/>
      <c r="C222" s="38"/>
      <c r="D222" s="38"/>
      <c r="E222" s="38"/>
      <c r="F222" s="38"/>
      <c r="G222" s="38"/>
    </row>
    <row r="223" spans="1:7" x14ac:dyDescent="0.25">
      <c r="A223" s="38"/>
      <c r="B223" s="38"/>
      <c r="C223" s="38"/>
      <c r="D223" s="38"/>
      <c r="E223" s="38"/>
      <c r="F223" s="38"/>
      <c r="G223" s="38"/>
    </row>
    <row r="224" spans="1:7" x14ac:dyDescent="0.25">
      <c r="A224" s="38"/>
      <c r="B224" s="38"/>
      <c r="C224" s="38"/>
      <c r="D224" s="38"/>
      <c r="E224" s="38"/>
      <c r="F224" s="38"/>
      <c r="G224" s="38"/>
    </row>
    <row r="225" spans="1:7" x14ac:dyDescent="0.25">
      <c r="A225" s="38"/>
      <c r="B225" s="38"/>
      <c r="C225" s="38"/>
      <c r="D225" s="38"/>
      <c r="E225" s="38"/>
      <c r="F225" s="38"/>
      <c r="G225" s="38"/>
    </row>
    <row r="226" spans="1:7" x14ac:dyDescent="0.25">
      <c r="A226" s="38"/>
      <c r="B226" s="38"/>
      <c r="C226" s="38"/>
      <c r="D226" s="38"/>
      <c r="E226" s="38"/>
      <c r="F226" s="38"/>
      <c r="G226" s="38"/>
    </row>
    <row r="227" spans="1:7" x14ac:dyDescent="0.25">
      <c r="A227" s="38"/>
      <c r="B227" s="38"/>
      <c r="C227" s="38"/>
      <c r="D227" s="38"/>
      <c r="E227" s="38"/>
      <c r="F227" s="38"/>
      <c r="G227" s="38"/>
    </row>
    <row r="228" spans="1:7" x14ac:dyDescent="0.25">
      <c r="A228" s="38"/>
      <c r="B228" s="38"/>
      <c r="C228" s="38"/>
      <c r="D228" s="38"/>
      <c r="E228" s="38"/>
      <c r="F228" s="38"/>
      <c r="G228" s="38"/>
    </row>
    <row r="229" spans="1:7" x14ac:dyDescent="0.25">
      <c r="A229" s="38"/>
      <c r="B229" s="38"/>
      <c r="C229" s="38"/>
      <c r="D229" s="38"/>
      <c r="E229" s="38"/>
      <c r="F229" s="38"/>
      <c r="G229" s="38"/>
    </row>
    <row r="230" spans="1:7" x14ac:dyDescent="0.25">
      <c r="A230" s="38"/>
      <c r="B230" s="38"/>
      <c r="C230" s="38"/>
      <c r="D230" s="38"/>
      <c r="E230" s="38"/>
      <c r="F230" s="38"/>
      <c r="G230" s="38"/>
    </row>
    <row r="231" spans="1:7" x14ac:dyDescent="0.25">
      <c r="A231" s="38"/>
      <c r="B231" s="38"/>
      <c r="C231" s="38"/>
      <c r="D231" s="38"/>
      <c r="E231" s="38"/>
      <c r="F231" s="38"/>
      <c r="G231" s="38"/>
    </row>
    <row r="232" spans="1:7" x14ac:dyDescent="0.25">
      <c r="A232" s="38"/>
      <c r="B232" s="38"/>
      <c r="C232" s="38"/>
      <c r="D232" s="38"/>
      <c r="E232" s="38"/>
      <c r="F232" s="38"/>
      <c r="G232" s="38"/>
    </row>
    <row r="233" spans="1:7" x14ac:dyDescent="0.25">
      <c r="A233" s="38"/>
      <c r="B233" s="38"/>
      <c r="C233" s="38"/>
      <c r="D233" s="38"/>
      <c r="E233" s="38"/>
      <c r="F233" s="38"/>
      <c r="G233" s="38"/>
    </row>
    <row r="234" spans="1:7" x14ac:dyDescent="0.25">
      <c r="A234" s="38"/>
      <c r="B234" s="38"/>
      <c r="C234" s="38"/>
      <c r="D234" s="38"/>
      <c r="E234" s="38"/>
      <c r="F234" s="38"/>
      <c r="G234" s="38"/>
    </row>
    <row r="235" spans="1:7" x14ac:dyDescent="0.25">
      <c r="A235" s="38"/>
      <c r="B235" s="38"/>
      <c r="C235" s="38"/>
      <c r="D235" s="38"/>
      <c r="E235" s="38"/>
      <c r="F235" s="38"/>
      <c r="G235" s="38"/>
    </row>
    <row r="236" spans="1:7" x14ac:dyDescent="0.25">
      <c r="A236" s="38"/>
      <c r="B236" s="38"/>
      <c r="C236" s="38"/>
      <c r="D236" s="38"/>
      <c r="E236" s="38"/>
      <c r="F236" s="38"/>
      <c r="G236" s="38"/>
    </row>
    <row r="237" spans="1:7" x14ac:dyDescent="0.25">
      <c r="A237" s="38"/>
      <c r="B237" s="38"/>
      <c r="C237" s="38"/>
      <c r="D237" s="38"/>
      <c r="E237" s="38"/>
      <c r="F237" s="38"/>
      <c r="G237" s="38"/>
    </row>
    <row r="238" spans="1:7" x14ac:dyDescent="0.25">
      <c r="A238" s="38"/>
      <c r="B238" s="38"/>
      <c r="C238" s="38"/>
      <c r="D238" s="38"/>
      <c r="E238" s="38"/>
      <c r="F238" s="38"/>
      <c r="G238" s="38"/>
    </row>
    <row r="239" spans="1:7" x14ac:dyDescent="0.25">
      <c r="A239" s="38"/>
      <c r="B239" s="38"/>
      <c r="C239" s="38"/>
      <c r="D239" s="38"/>
      <c r="E239" s="38"/>
      <c r="F239" s="38"/>
      <c r="G239" s="38"/>
    </row>
    <row r="240" spans="1:7" x14ac:dyDescent="0.25">
      <c r="A240" s="38"/>
      <c r="B240" s="38"/>
      <c r="C240" s="38"/>
      <c r="D240" s="38"/>
      <c r="E240" s="38"/>
      <c r="F240" s="38"/>
      <c r="G240" s="38"/>
    </row>
    <row r="241" spans="1:7" x14ac:dyDescent="0.25">
      <c r="A241" s="38"/>
      <c r="B241" s="38"/>
      <c r="C241" s="38"/>
      <c r="D241" s="38"/>
      <c r="E241" s="38"/>
      <c r="F241" s="38"/>
      <c r="G241" s="38"/>
    </row>
    <row r="242" spans="1:7" x14ac:dyDescent="0.25">
      <c r="A242" s="38"/>
      <c r="B242" s="38"/>
      <c r="C242" s="38"/>
      <c r="D242" s="38"/>
      <c r="E242" s="38"/>
      <c r="F242" s="38"/>
      <c r="G242" s="38"/>
    </row>
    <row r="243" spans="1:7" x14ac:dyDescent="0.25">
      <c r="A243" s="38"/>
      <c r="B243" s="38"/>
      <c r="C243" s="38"/>
      <c r="D243" s="38"/>
      <c r="E243" s="38"/>
      <c r="F243" s="38"/>
      <c r="G243" s="38"/>
    </row>
    <row r="244" spans="1:7" x14ac:dyDescent="0.25">
      <c r="A244" s="38"/>
      <c r="B244" s="38"/>
      <c r="C244" s="38"/>
      <c r="D244" s="38"/>
      <c r="E244" s="38"/>
      <c r="F244" s="38"/>
      <c r="G244" s="38"/>
    </row>
    <row r="245" spans="1:7" x14ac:dyDescent="0.25">
      <c r="A245" s="38"/>
      <c r="B245" s="38"/>
      <c r="C245" s="38"/>
      <c r="D245" s="38"/>
      <c r="E245" s="38"/>
      <c r="F245" s="38"/>
      <c r="G245" s="38"/>
    </row>
    <row r="246" spans="1:7" x14ac:dyDescent="0.25">
      <c r="A246" s="38"/>
      <c r="B246" s="38"/>
      <c r="C246" s="38"/>
      <c r="D246" s="38"/>
      <c r="E246" s="38"/>
      <c r="F246" s="38"/>
      <c r="G246" s="38"/>
    </row>
    <row r="247" spans="1:7" x14ac:dyDescent="0.25">
      <c r="A247" s="38"/>
      <c r="B247" s="38"/>
      <c r="C247" s="38"/>
      <c r="D247" s="38"/>
      <c r="E247" s="38"/>
      <c r="F247" s="38"/>
      <c r="G247" s="38"/>
    </row>
    <row r="248" spans="1:7" x14ac:dyDescent="0.25">
      <c r="A248" s="38"/>
      <c r="B248" s="38"/>
      <c r="C248" s="38"/>
      <c r="D248" s="38"/>
      <c r="E248" s="38"/>
      <c r="F248" s="38"/>
      <c r="G248" s="38"/>
    </row>
    <row r="249" spans="1:7" x14ac:dyDescent="0.25">
      <c r="A249" s="38"/>
      <c r="B249" s="38"/>
      <c r="C249" s="38"/>
      <c r="D249" s="38"/>
      <c r="E249" s="38"/>
      <c r="F249" s="38"/>
      <c r="G249" s="38"/>
    </row>
    <row r="250" spans="1:7" x14ac:dyDescent="0.25">
      <c r="A250" s="38"/>
      <c r="B250" s="38"/>
      <c r="C250" s="38"/>
      <c r="D250" s="38"/>
      <c r="E250" s="38"/>
      <c r="F250" s="38"/>
      <c r="G250" s="38"/>
    </row>
    <row r="251" spans="1:7" x14ac:dyDescent="0.25">
      <c r="A251" s="38"/>
      <c r="B251" s="38"/>
      <c r="C251" s="38"/>
      <c r="D251" s="38"/>
      <c r="E251" s="38"/>
      <c r="F251" s="38"/>
      <c r="G251" s="38"/>
    </row>
    <row r="252" spans="1:7" x14ac:dyDescent="0.25">
      <c r="A252" s="38"/>
      <c r="B252" s="38"/>
      <c r="C252" s="38"/>
      <c r="D252" s="38"/>
      <c r="E252" s="38"/>
      <c r="F252" s="38"/>
      <c r="G252" s="38"/>
    </row>
    <row r="253" spans="1:7" x14ac:dyDescent="0.25">
      <c r="A253" s="38"/>
      <c r="B253" s="38"/>
      <c r="C253" s="38"/>
      <c r="D253" s="38"/>
      <c r="E253" s="38"/>
      <c r="F253" s="38"/>
      <c r="G253" s="38"/>
    </row>
    <row r="254" spans="1:7" x14ac:dyDescent="0.25">
      <c r="A254" s="38"/>
      <c r="B254" s="38"/>
      <c r="C254" s="38"/>
      <c r="D254" s="38"/>
      <c r="E254" s="38"/>
      <c r="F254" s="38"/>
      <c r="G254" s="38"/>
    </row>
    <row r="255" spans="1:7" x14ac:dyDescent="0.25">
      <c r="A255" s="38"/>
      <c r="B255" s="38"/>
      <c r="C255" s="38"/>
      <c r="D255" s="38"/>
      <c r="E255" s="38"/>
      <c r="F255" s="38"/>
      <c r="G255" s="38"/>
    </row>
    <row r="256" spans="1:7" x14ac:dyDescent="0.25">
      <c r="A256" s="38"/>
      <c r="B256" s="38"/>
      <c r="C256" s="38"/>
      <c r="D256" s="38"/>
      <c r="E256" s="38"/>
      <c r="F256" s="38"/>
      <c r="G256" s="38"/>
    </row>
    <row r="257" spans="1:7" x14ac:dyDescent="0.25">
      <c r="A257" s="38"/>
      <c r="B257" s="38"/>
      <c r="C257" s="38"/>
      <c r="D257" s="38"/>
      <c r="E257" s="38"/>
      <c r="F257" s="38"/>
      <c r="G257" s="38"/>
    </row>
    <row r="258" spans="1:7" x14ac:dyDescent="0.25">
      <c r="A258" s="38"/>
      <c r="B258" s="38"/>
      <c r="C258" s="38"/>
      <c r="D258" s="38"/>
      <c r="E258" s="38"/>
      <c r="F258" s="38"/>
      <c r="G258" s="38"/>
    </row>
    <row r="259" spans="1:7" x14ac:dyDescent="0.25">
      <c r="A259" s="38"/>
      <c r="B259" s="38"/>
      <c r="C259" s="38"/>
      <c r="D259" s="38"/>
      <c r="E259" s="38"/>
      <c r="F259" s="38"/>
      <c r="G259" s="38"/>
    </row>
    <row r="260" spans="1:7" x14ac:dyDescent="0.25">
      <c r="A260" s="38"/>
      <c r="B260" s="38"/>
      <c r="C260" s="38"/>
      <c r="D260" s="38"/>
      <c r="E260" s="38"/>
      <c r="F260" s="38"/>
      <c r="G260" s="38"/>
    </row>
    <row r="261" spans="1:7" x14ac:dyDescent="0.25">
      <c r="A261" s="38"/>
      <c r="B261" s="38"/>
      <c r="C261" s="38"/>
      <c r="D261" s="38"/>
      <c r="E261" s="38"/>
      <c r="F261" s="38"/>
      <c r="G261" s="38"/>
    </row>
    <row r="262" spans="1:7" x14ac:dyDescent="0.25">
      <c r="A262" s="38"/>
      <c r="B262" s="38"/>
      <c r="C262" s="38"/>
      <c r="D262" s="38"/>
      <c r="E262" s="38"/>
      <c r="F262" s="38"/>
      <c r="G262" s="38"/>
    </row>
    <row r="263" spans="1:7" x14ac:dyDescent="0.25">
      <c r="A263" s="38"/>
      <c r="B263" s="38"/>
      <c r="C263" s="38"/>
      <c r="D263" s="38"/>
      <c r="E263" s="38"/>
      <c r="F263" s="38"/>
      <c r="G263" s="38"/>
    </row>
    <row r="264" spans="1:7" x14ac:dyDescent="0.25">
      <c r="A264" s="38"/>
      <c r="B264" s="38"/>
      <c r="C264" s="38"/>
      <c r="D264" s="38"/>
      <c r="E264" s="38"/>
      <c r="F264" s="38"/>
      <c r="G264" s="38"/>
    </row>
    <row r="265" spans="1:7" x14ac:dyDescent="0.25">
      <c r="A265" s="38"/>
      <c r="B265" s="38"/>
      <c r="C265" s="38"/>
      <c r="D265" s="38"/>
      <c r="E265" s="38"/>
      <c r="F265" s="38"/>
      <c r="G265" s="38"/>
    </row>
    <row r="266" spans="1:7" x14ac:dyDescent="0.25">
      <c r="A266" s="38"/>
      <c r="B266" s="38"/>
      <c r="C266" s="38"/>
      <c r="D266" s="38"/>
      <c r="E266" s="38"/>
      <c r="F266" s="38"/>
      <c r="G266" s="38"/>
    </row>
    <row r="267" spans="1:7" x14ac:dyDescent="0.25">
      <c r="A267" s="38"/>
      <c r="B267" s="38"/>
      <c r="C267" s="38"/>
      <c r="D267" s="38"/>
      <c r="E267" s="38"/>
      <c r="F267" s="38"/>
      <c r="G267" s="38"/>
    </row>
    <row r="268" spans="1:7" x14ac:dyDescent="0.25">
      <c r="A268" s="38"/>
      <c r="B268" s="38"/>
      <c r="C268" s="38"/>
      <c r="D268" s="38"/>
      <c r="E268" s="38"/>
      <c r="F268" s="38"/>
      <c r="G268" s="38"/>
    </row>
    <row r="269" spans="1:7" x14ac:dyDescent="0.25">
      <c r="A269" s="38"/>
      <c r="B269" s="38"/>
      <c r="C269" s="38"/>
      <c r="D269" s="38"/>
      <c r="E269" s="38"/>
      <c r="F269" s="38"/>
      <c r="G269" s="38"/>
    </row>
    <row r="270" spans="1:7" x14ac:dyDescent="0.25">
      <c r="A270" s="38"/>
      <c r="B270" s="38"/>
      <c r="C270" s="38"/>
      <c r="D270" s="38"/>
      <c r="E270" s="38"/>
      <c r="F270" s="38"/>
      <c r="G270" s="38"/>
    </row>
    <row r="271" spans="1:7" x14ac:dyDescent="0.25">
      <c r="A271" s="38"/>
      <c r="B271" s="38"/>
      <c r="C271" s="38"/>
      <c r="D271" s="38"/>
      <c r="E271" s="38"/>
      <c r="F271" s="38"/>
      <c r="G271" s="38"/>
    </row>
    <row r="272" spans="1:7" x14ac:dyDescent="0.25">
      <c r="A272" s="38"/>
      <c r="B272" s="38"/>
      <c r="C272" s="38"/>
      <c r="D272" s="38"/>
      <c r="E272" s="38"/>
      <c r="F272" s="38"/>
      <c r="G272" s="38"/>
    </row>
    <row r="273" spans="1:7" x14ac:dyDescent="0.25">
      <c r="A273" s="38"/>
      <c r="B273" s="38"/>
      <c r="C273" s="38"/>
      <c r="D273" s="38"/>
      <c r="E273" s="38"/>
      <c r="F273" s="38"/>
      <c r="G273" s="38"/>
    </row>
    <row r="274" spans="1:7" x14ac:dyDescent="0.25">
      <c r="A274" s="38"/>
      <c r="B274" s="38"/>
      <c r="C274" s="38"/>
      <c r="D274" s="38"/>
      <c r="E274" s="38"/>
      <c r="F274" s="38"/>
      <c r="G274" s="38"/>
    </row>
    <row r="275" spans="1:7" x14ac:dyDescent="0.25">
      <c r="A275" s="38"/>
      <c r="B275" s="38"/>
      <c r="C275" s="38"/>
      <c r="D275" s="38"/>
      <c r="E275" s="38"/>
      <c r="F275" s="38"/>
      <c r="G275" s="38"/>
    </row>
    <row r="276" spans="1:7" x14ac:dyDescent="0.25">
      <c r="A276" s="38"/>
      <c r="B276" s="38"/>
      <c r="C276" s="38"/>
      <c r="D276" s="38"/>
      <c r="E276" s="38"/>
      <c r="F276" s="38"/>
      <c r="G276" s="38"/>
    </row>
    <row r="277" spans="1:7" x14ac:dyDescent="0.25">
      <c r="A277" s="38"/>
      <c r="B277" s="38"/>
      <c r="C277" s="38"/>
      <c r="D277" s="38"/>
      <c r="E277" s="38"/>
      <c r="F277" s="38"/>
      <c r="G277" s="38"/>
    </row>
    <row r="278" spans="1:7" x14ac:dyDescent="0.25">
      <c r="A278" s="38"/>
      <c r="B278" s="38"/>
      <c r="C278" s="38"/>
      <c r="D278" s="38"/>
      <c r="E278" s="38"/>
      <c r="F278" s="38"/>
      <c r="G278" s="38"/>
    </row>
    <row r="279" spans="1:7" x14ac:dyDescent="0.25">
      <c r="A279" s="38"/>
      <c r="B279" s="38"/>
      <c r="C279" s="38"/>
      <c r="D279" s="38"/>
      <c r="E279" s="38"/>
      <c r="F279" s="38"/>
      <c r="G279" s="38"/>
    </row>
    <row r="280" spans="1:7" x14ac:dyDescent="0.25">
      <c r="A280" s="38"/>
      <c r="B280" s="38"/>
      <c r="C280" s="38"/>
      <c r="D280" s="38"/>
      <c r="E280" s="38"/>
      <c r="F280" s="38"/>
      <c r="G280" s="38"/>
    </row>
    <row r="281" spans="1:7" x14ac:dyDescent="0.25">
      <c r="A281" s="38"/>
      <c r="B281" s="38"/>
      <c r="C281" s="38"/>
      <c r="D281" s="38"/>
      <c r="E281" s="38"/>
      <c r="F281" s="38"/>
      <c r="G281" s="38"/>
    </row>
    <row r="282" spans="1:7" x14ac:dyDescent="0.25">
      <c r="A282" s="38"/>
      <c r="B282" s="38"/>
      <c r="C282" s="38"/>
      <c r="D282" s="38"/>
      <c r="E282" s="38"/>
      <c r="F282" s="38"/>
      <c r="G282" s="38"/>
    </row>
    <row r="283" spans="1:7" x14ac:dyDescent="0.25">
      <c r="A283" s="38"/>
      <c r="B283" s="38"/>
      <c r="C283" s="38"/>
      <c r="D283" s="38"/>
      <c r="E283" s="38"/>
      <c r="F283" s="38"/>
      <c r="G283" s="38"/>
    </row>
    <row r="284" spans="1:7" x14ac:dyDescent="0.25">
      <c r="A284" s="38"/>
      <c r="B284" s="38"/>
      <c r="C284" s="38"/>
      <c r="D284" s="38"/>
      <c r="E284" s="38"/>
      <c r="F284" s="38"/>
      <c r="G284" s="38"/>
    </row>
    <row r="285" spans="1:7" x14ac:dyDescent="0.25">
      <c r="A285" s="38"/>
      <c r="B285" s="38"/>
      <c r="C285" s="38"/>
      <c r="D285" s="38"/>
      <c r="E285" s="38"/>
      <c r="F285" s="38"/>
      <c r="G285" s="38"/>
    </row>
    <row r="286" spans="1:7" x14ac:dyDescent="0.25">
      <c r="A286" s="38"/>
      <c r="B286" s="38"/>
      <c r="C286" s="38"/>
      <c r="D286" s="38"/>
      <c r="E286" s="38"/>
      <c r="F286" s="38"/>
      <c r="G286" s="38"/>
    </row>
    <row r="287" spans="1:7" x14ac:dyDescent="0.25">
      <c r="A287" s="38"/>
      <c r="B287" s="38"/>
      <c r="C287" s="38"/>
      <c r="D287" s="38"/>
      <c r="E287" s="38"/>
      <c r="F287" s="38"/>
      <c r="G287" s="38"/>
    </row>
    <row r="288" spans="1:7" x14ac:dyDescent="0.25">
      <c r="A288" s="38"/>
      <c r="B288" s="38"/>
      <c r="C288" s="38"/>
      <c r="D288" s="38"/>
      <c r="E288" s="38"/>
      <c r="F288" s="38"/>
      <c r="G288" s="38"/>
    </row>
    <row r="289" spans="1:7" x14ac:dyDescent="0.25">
      <c r="A289" s="38"/>
      <c r="B289" s="38"/>
      <c r="C289" s="38"/>
      <c r="D289" s="38"/>
      <c r="E289" s="38"/>
      <c r="F289" s="38"/>
      <c r="G289" s="38"/>
    </row>
    <row r="290" spans="1:7" x14ac:dyDescent="0.25">
      <c r="A290" s="38"/>
      <c r="B290" s="38"/>
      <c r="C290" s="38"/>
      <c r="D290" s="38"/>
      <c r="E290" s="38"/>
      <c r="F290" s="38"/>
      <c r="G290" s="38"/>
    </row>
    <row r="291" spans="1:7" x14ac:dyDescent="0.25">
      <c r="A291" s="38"/>
      <c r="B291" s="38"/>
      <c r="C291" s="38"/>
      <c r="D291" s="38"/>
      <c r="E291" s="38"/>
      <c r="F291" s="38"/>
      <c r="G291" s="38"/>
    </row>
    <row r="292" spans="1:7" x14ac:dyDescent="0.25">
      <c r="A292" s="38"/>
      <c r="B292" s="38"/>
      <c r="C292" s="38"/>
      <c r="D292" s="38"/>
      <c r="E292" s="38"/>
      <c r="F292" s="38"/>
      <c r="G292" s="38"/>
    </row>
    <row r="293" spans="1:7" x14ac:dyDescent="0.25">
      <c r="A293" s="38"/>
      <c r="B293" s="38"/>
      <c r="C293" s="38"/>
      <c r="D293" s="38"/>
      <c r="E293" s="38"/>
      <c r="F293" s="38"/>
      <c r="G293" s="38"/>
    </row>
    <row r="294" spans="1:7" x14ac:dyDescent="0.25">
      <c r="A294" s="38"/>
      <c r="B294" s="38"/>
      <c r="C294" s="38"/>
      <c r="D294" s="38"/>
      <c r="E294" s="38"/>
      <c r="F294" s="38"/>
      <c r="G294" s="38"/>
    </row>
    <row r="295" spans="1:7" x14ac:dyDescent="0.25">
      <c r="A295" s="38"/>
      <c r="B295" s="38"/>
      <c r="C295" s="38"/>
      <c r="D295" s="38"/>
      <c r="E295" s="38"/>
      <c r="F295" s="38"/>
      <c r="G295" s="38"/>
    </row>
    <row r="296" spans="1:7" x14ac:dyDescent="0.25">
      <c r="A296" s="38"/>
      <c r="B296" s="38"/>
      <c r="C296" s="38"/>
      <c r="D296" s="38"/>
      <c r="E296" s="38"/>
      <c r="F296" s="38"/>
      <c r="G296" s="38"/>
    </row>
    <row r="297" spans="1:7" x14ac:dyDescent="0.25">
      <c r="A297" s="38"/>
      <c r="B297" s="38"/>
      <c r="C297" s="38"/>
      <c r="D297" s="38"/>
      <c r="E297" s="38"/>
      <c r="F297" s="38"/>
      <c r="G297" s="38"/>
    </row>
    <row r="298" spans="1:7" x14ac:dyDescent="0.25">
      <c r="A298" s="38"/>
      <c r="B298" s="38"/>
      <c r="C298" s="38"/>
      <c r="D298" s="38"/>
      <c r="E298" s="38"/>
      <c r="F298" s="38"/>
      <c r="G298" s="38"/>
    </row>
    <row r="299" spans="1:7" x14ac:dyDescent="0.25">
      <c r="A299" s="38"/>
      <c r="B299" s="38"/>
      <c r="C299" s="38"/>
      <c r="D299" s="38"/>
      <c r="E299" s="38"/>
      <c r="F299" s="38"/>
      <c r="G299" s="38"/>
    </row>
    <row r="300" spans="1:7" x14ac:dyDescent="0.25">
      <c r="A300" s="38"/>
      <c r="B300" s="38"/>
      <c r="C300" s="38"/>
      <c r="D300" s="38"/>
      <c r="E300" s="38"/>
      <c r="F300" s="38"/>
      <c r="G300" s="38"/>
    </row>
    <row r="301" spans="1:7" x14ac:dyDescent="0.25">
      <c r="A301" s="38"/>
      <c r="B301" s="38"/>
      <c r="C301" s="38"/>
      <c r="D301" s="38"/>
      <c r="E301" s="38"/>
      <c r="F301" s="38"/>
      <c r="G301" s="38"/>
    </row>
    <row r="302" spans="1:7" x14ac:dyDescent="0.25">
      <c r="A302" s="38"/>
      <c r="B302" s="38"/>
      <c r="C302" s="38"/>
      <c r="D302" s="38"/>
      <c r="E302" s="38"/>
      <c r="F302" s="38"/>
      <c r="G302" s="38"/>
    </row>
    <row r="303" spans="1:7" x14ac:dyDescent="0.25">
      <c r="A303" s="38"/>
      <c r="B303" s="38"/>
      <c r="C303" s="38"/>
      <c r="D303" s="38"/>
      <c r="E303" s="38"/>
      <c r="F303" s="38"/>
      <c r="G303" s="38"/>
    </row>
    <row r="304" spans="1:7" x14ac:dyDescent="0.25">
      <c r="A304" s="38"/>
      <c r="B304" s="38"/>
      <c r="C304" s="38"/>
      <c r="D304" s="38"/>
      <c r="E304" s="38"/>
      <c r="F304" s="38"/>
      <c r="G304" s="38"/>
    </row>
    <row r="305" spans="1:7" x14ac:dyDescent="0.25">
      <c r="A305" s="38"/>
      <c r="B305" s="38"/>
      <c r="C305" s="38"/>
      <c r="D305" s="38"/>
      <c r="E305" s="38"/>
      <c r="F305" s="38"/>
      <c r="G305" s="38"/>
    </row>
    <row r="306" spans="1:7" x14ac:dyDescent="0.25">
      <c r="A306" s="38"/>
      <c r="B306" s="38"/>
      <c r="C306" s="38"/>
      <c r="D306" s="38"/>
      <c r="E306" s="38"/>
      <c r="F306" s="38"/>
      <c r="G306" s="38"/>
    </row>
    <row r="307" spans="1:7" x14ac:dyDescent="0.25">
      <c r="A307" s="38"/>
      <c r="B307" s="38"/>
      <c r="C307" s="38"/>
      <c r="D307" s="38"/>
      <c r="E307" s="38"/>
      <c r="F307" s="38"/>
      <c r="G307" s="38"/>
    </row>
    <row r="308" spans="1:7" x14ac:dyDescent="0.25">
      <c r="A308" s="38"/>
      <c r="B308" s="38"/>
      <c r="C308" s="38"/>
      <c r="D308" s="38"/>
      <c r="E308" s="38"/>
      <c r="F308" s="38"/>
      <c r="G308" s="38"/>
    </row>
    <row r="309" spans="1:7" x14ac:dyDescent="0.25">
      <c r="A309" s="38"/>
      <c r="B309" s="38"/>
      <c r="C309" s="38"/>
      <c r="D309" s="38"/>
      <c r="E309" s="38"/>
      <c r="F309" s="38"/>
      <c r="G309" s="38"/>
    </row>
    <row r="310" spans="1:7" x14ac:dyDescent="0.25">
      <c r="A310" s="38"/>
      <c r="B310" s="38"/>
      <c r="C310" s="38"/>
      <c r="D310" s="38"/>
      <c r="E310" s="38"/>
      <c r="F310" s="38"/>
      <c r="G310" s="38"/>
    </row>
    <row r="311" spans="1:7" x14ac:dyDescent="0.25">
      <c r="A311" s="38"/>
      <c r="B311" s="38"/>
      <c r="C311" s="38"/>
      <c r="D311" s="38"/>
      <c r="E311" s="38"/>
      <c r="F311" s="38"/>
      <c r="G311" s="38"/>
    </row>
    <row r="312" spans="1:7" x14ac:dyDescent="0.25">
      <c r="A312" s="38"/>
      <c r="B312" s="38"/>
      <c r="C312" s="38"/>
      <c r="D312" s="38"/>
      <c r="E312" s="38"/>
      <c r="F312" s="38"/>
      <c r="G312" s="38"/>
    </row>
    <row r="313" spans="1:7" x14ac:dyDescent="0.25">
      <c r="A313" s="38"/>
      <c r="B313" s="38"/>
      <c r="C313" s="38"/>
      <c r="D313" s="38"/>
      <c r="E313" s="38"/>
      <c r="F313" s="38"/>
      <c r="G313" s="38"/>
    </row>
    <row r="314" spans="1:7" x14ac:dyDescent="0.25">
      <c r="A314" s="38"/>
      <c r="B314" s="38"/>
      <c r="C314" s="38"/>
      <c r="D314" s="38"/>
      <c r="E314" s="38"/>
      <c r="F314" s="38"/>
      <c r="G314" s="38"/>
    </row>
    <row r="315" spans="1:7" x14ac:dyDescent="0.25">
      <c r="A315" s="38"/>
      <c r="B315" s="38"/>
      <c r="C315" s="38"/>
      <c r="D315" s="38"/>
      <c r="E315" s="38"/>
      <c r="F315" s="38"/>
      <c r="G315" s="38"/>
    </row>
  </sheetData>
  <autoFilter ref="A1:G1" xr:uid="{00000000-0009-0000-0000-000001000000}"/>
  <conditionalFormatting sqref="E31">
    <cfRule type="expression" dxfId="110" priority="1">
      <formula>$K31="I"</formula>
    </cfRule>
    <cfRule type="expression" dxfId="109" priority="2">
      <formula>$K31="H"</formula>
    </cfRule>
    <cfRule type="expression" dxfId="108" priority="3">
      <formula>$K31="G"</formula>
    </cfRule>
    <cfRule type="expression" dxfId="107" priority="4">
      <formula>$K31="F"</formula>
    </cfRule>
    <cfRule type="expression" dxfId="106" priority="5">
      <formula>$K31="E"</formula>
    </cfRule>
    <cfRule type="expression" dxfId="105" priority="6">
      <formula>$K31="D"</formula>
    </cfRule>
    <cfRule type="expression" dxfId="104" priority="7">
      <formula>$K31="B"</formula>
    </cfRule>
    <cfRule type="expression" dxfId="103" priority="8">
      <formula>$K31="A"</formula>
    </cfRule>
    <cfRule type="expression" dxfId="102" priority="9">
      <formula>$K31="C"</formula>
    </cfRule>
    <cfRule type="expression" dxfId="101" priority="10">
      <formula>$K31="I"</formula>
    </cfRule>
    <cfRule type="expression" dxfId="100" priority="11">
      <formula>$K31="H"</formula>
    </cfRule>
    <cfRule type="expression" dxfId="99" priority="12">
      <formula>$K31="G"</formula>
    </cfRule>
    <cfRule type="expression" dxfId="98" priority="13">
      <formula>$K31="F"</formula>
    </cfRule>
    <cfRule type="expression" dxfId="97" priority="14">
      <formula>$K31="E"</formula>
    </cfRule>
    <cfRule type="expression" dxfId="96" priority="15">
      <formula>$K31="W"</formula>
    </cfRule>
    <cfRule type="expression" dxfId="95" priority="16">
      <formula>$K31="D"</formula>
    </cfRule>
    <cfRule type="expression" dxfId="94" priority="17">
      <formula>$K31="B"</formula>
    </cfRule>
    <cfRule type="expression" dxfId="93" priority="18">
      <formula>$K31="A"</formula>
    </cfRule>
    <cfRule type="expression" dxfId="92" priority="19">
      <formula>$K31="C"</formula>
    </cfRule>
  </conditionalFormatting>
  <conditionalFormatting sqref="J2:J20 J22">
    <cfRule type="duplicateValues" dxfId="91" priority="21"/>
  </conditionalFormatting>
  <conditionalFormatting sqref="J21">
    <cfRule type="duplicateValues" dxfId="90" priority="20"/>
  </conditionalFormatting>
  <hyperlinks>
    <hyperlink ref="K2" r:id="rId1" xr:uid="{00000000-0004-0000-0100-000000000000}"/>
    <hyperlink ref="K3" r:id="rId2" xr:uid="{00000000-0004-0000-0100-000001000000}"/>
    <hyperlink ref="K4" r:id="rId3" xr:uid="{00000000-0004-0000-0100-000002000000}"/>
    <hyperlink ref="K5" r:id="rId4" xr:uid="{00000000-0004-0000-0100-000003000000}"/>
    <hyperlink ref="K6" r:id="rId5" xr:uid="{00000000-0004-0000-0100-000004000000}"/>
    <hyperlink ref="K7" r:id="rId6" xr:uid="{00000000-0004-0000-0100-000005000000}"/>
    <hyperlink ref="K8" r:id="rId7" xr:uid="{00000000-0004-0000-0100-000006000000}"/>
    <hyperlink ref="K9" r:id="rId8" display="mailto:krishnapamu87@gmail.com" xr:uid="{00000000-0004-0000-0100-000007000000}"/>
    <hyperlink ref="K10" r:id="rId9" display="mailto:roshanmhatre222@gmail.com" xr:uid="{00000000-0004-0000-0100-000008000000}"/>
    <hyperlink ref="K11" r:id="rId10" display="mailto:vikaspandey6372@gmail.com" xr:uid="{00000000-0004-0000-0100-000009000000}"/>
    <hyperlink ref="K12" r:id="rId11" display="mailto:AMANVERMA2228@gmail.com" xr:uid="{00000000-0004-0000-0100-00000A000000}"/>
    <hyperlink ref="K13" r:id="rId12" display="mailto:abhay.lad.007@gmail.com" xr:uid="{00000000-0004-0000-0100-00000B000000}"/>
    <hyperlink ref="K14" r:id="rId13" display="mailto:rwhpur@godrejcp.com" xr:uid="{00000000-0004-0000-0100-00000C000000}"/>
    <hyperlink ref="K16" r:id="rId14" display="mailto:yogeshss22@gmail.com" xr:uid="{00000000-0004-0000-0100-00000D000000}"/>
    <hyperlink ref="K17" r:id="rId15" display="mailto:yogesh.satale@godrejcp.com" xr:uid="{00000000-0004-0000-0100-00000E000000}"/>
    <hyperlink ref="K18" r:id="rId16" display="mailto:Sarvadnyatare@rpmgroupindia.com" xr:uid="{00000000-0004-0000-0100-00000F000000}"/>
    <hyperlink ref="K19" r:id="rId17" display="mailto:nileshchavan1407@gmail.com" xr:uid="{00000000-0004-0000-0100-000010000000}"/>
    <hyperlink ref="K20" r:id="rId18" xr:uid="{00000000-0004-0000-0100-000011000000}"/>
    <hyperlink ref="K21" r:id="rId19" xr:uid="{00000000-0004-0000-0100-000012000000}"/>
    <hyperlink ref="K22" r:id="rId20" xr:uid="{00000000-0004-0000-0100-000013000000}"/>
    <hyperlink ref="K23" r:id="rId21" xr:uid="{00000000-0004-0000-0100-000014000000}"/>
    <hyperlink ref="K24" r:id="rId22" xr:uid="{00000000-0004-0000-0100-000015000000}"/>
    <hyperlink ref="K25" r:id="rId23" xr:uid="{00000000-0004-0000-0100-000016000000}"/>
    <hyperlink ref="K26" r:id="rId24" xr:uid="{00000000-0004-0000-0100-000017000000}"/>
    <hyperlink ref="K27" r:id="rId25" xr:uid="{00000000-0004-0000-0100-000018000000}"/>
    <hyperlink ref="K28" r:id="rId26" xr:uid="{00000000-0004-0000-0100-000019000000}"/>
    <hyperlink ref="K29" r:id="rId27" display="mailto:yadavpriti762@gmail.com" xr:uid="{00000000-0004-0000-0100-00001A000000}"/>
    <hyperlink ref="K30" r:id="rId28" xr:uid="{00000000-0004-0000-0100-00001B000000}"/>
    <hyperlink ref="K31" r:id="rId29" xr:uid="{00000000-0004-0000-0100-00001C000000}"/>
    <hyperlink ref="K32" r:id="rId30" xr:uid="{00000000-0004-0000-0100-00001D000000}"/>
    <hyperlink ref="K33" r:id="rId31" display="mailto:indhuie12@gmail.com" xr:uid="{00000000-0004-0000-0100-00001E000000}"/>
    <hyperlink ref="K34" r:id="rId32" xr:uid="{00000000-0004-0000-0100-00001F000000}"/>
    <hyperlink ref="K35" r:id="rId33" xr:uid="{00000000-0004-0000-0100-000020000000}"/>
    <hyperlink ref="K36" r:id="rId34" xr:uid="{00000000-0004-0000-0100-000021000000}"/>
  </hyperlinks>
  <pageMargins left="0.7" right="0.7" top="0.75" bottom="0.75" header="0.3" footer="0.3"/>
  <pageSetup paperSize="9" orientation="portrait" r:id="rId3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S1130"/>
  <sheetViews>
    <sheetView workbookViewId="0">
      <pane ySplit="1" topLeftCell="A486" activePane="bottomLeft" state="frozen"/>
      <selection pane="bottomLeft" activeCell="Q2" sqref="Q2:Q717"/>
    </sheetView>
  </sheetViews>
  <sheetFormatPr defaultRowHeight="15" x14ac:dyDescent="0.25"/>
  <cols>
    <col min="1" max="1" width="13.28515625" bestFit="1" customWidth="1"/>
    <col min="2" max="2" width="13.28515625" customWidth="1"/>
    <col min="3" max="3" width="9.140625" style="74"/>
    <col min="4" max="4" width="42.5703125" style="74" bestFit="1" customWidth="1"/>
    <col min="5" max="5" width="9.140625" style="70"/>
    <col min="7" max="7" width="9" style="74" customWidth="1"/>
    <col min="8" max="8" width="12.5703125" bestFit="1" customWidth="1"/>
    <col min="9" max="9" width="11" bestFit="1" customWidth="1"/>
    <col min="10" max="10" width="10.5703125" bestFit="1" customWidth="1"/>
    <col min="12" max="12" width="10.85546875" bestFit="1" customWidth="1"/>
    <col min="13" max="13" width="10.42578125" bestFit="1" customWidth="1"/>
    <col min="14" max="14" width="9.7109375" customWidth="1"/>
    <col min="17" max="17" width="13.140625" bestFit="1" customWidth="1"/>
  </cols>
  <sheetData>
    <row r="1" spans="1:19" x14ac:dyDescent="0.25">
      <c r="A1" s="8" t="s">
        <v>6</v>
      </c>
      <c r="B1" s="8" t="s">
        <v>111</v>
      </c>
      <c r="C1" s="9" t="s">
        <v>0</v>
      </c>
      <c r="D1" s="9" t="s">
        <v>1</v>
      </c>
      <c r="E1" s="42" t="s">
        <v>82</v>
      </c>
      <c r="F1" s="9" t="s">
        <v>2</v>
      </c>
      <c r="G1" s="9" t="s">
        <v>80</v>
      </c>
      <c r="H1" s="9" t="s">
        <v>86</v>
      </c>
      <c r="I1" s="9" t="s">
        <v>87</v>
      </c>
      <c r="J1" s="8" t="s">
        <v>81</v>
      </c>
      <c r="K1" s="8" t="s">
        <v>84</v>
      </c>
      <c r="L1" s="8" t="s">
        <v>85</v>
      </c>
      <c r="M1" s="8" t="s">
        <v>83</v>
      </c>
      <c r="N1" s="43" t="s">
        <v>79</v>
      </c>
      <c r="O1" s="38" t="s">
        <v>88</v>
      </c>
      <c r="P1" s="8" t="s">
        <v>92</v>
      </c>
      <c r="Q1" s="8" t="s">
        <v>93</v>
      </c>
      <c r="R1" s="38"/>
      <c r="S1" s="38"/>
    </row>
    <row r="2" spans="1:19" x14ac:dyDescent="0.25">
      <c r="A2" s="38" t="str">
        <f>F2&amp;C2</f>
        <v>C04840036410</v>
      </c>
      <c r="B2" s="38" t="str">
        <f>IF(J2&gt;=SUMIFS(E:E,C:C,C2),"Good to go","Short in Qty")</f>
        <v>Good to go</v>
      </c>
      <c r="C2" s="40">
        <v>40036410</v>
      </c>
      <c r="D2" s="40" t="s">
        <v>184</v>
      </c>
      <c r="E2" s="66">
        <v>4</v>
      </c>
      <c r="F2" s="38" t="s">
        <v>8</v>
      </c>
      <c r="G2" s="40" t="s">
        <v>185</v>
      </c>
      <c r="H2" s="38" t="s">
        <v>186</v>
      </c>
      <c r="I2" s="38" t="s">
        <v>361</v>
      </c>
      <c r="J2" s="38">
        <f>IFERROR(VLOOKUP(C:C,'[1]S&amp;S'!$B:$F,5,0),)</f>
        <v>4</v>
      </c>
      <c r="K2" s="38">
        <f>IFERROR(VLOOKUP(A:A,[1]APO!$A:$F,6,0),)</f>
        <v>0</v>
      </c>
      <c r="L2" s="38">
        <f>IFERROR(VLOOKUP(C:C,'[1]TOTAL APO'!$A:$B,2,0),)</f>
        <v>0</v>
      </c>
      <c r="M2" s="38">
        <f>IFERROR(VLOOKUP(A:A,[1]Short!$A:$Q,17,0),)</f>
        <v>0</v>
      </c>
      <c r="N2" s="38">
        <f>IFERROR(VLOOKUP(C:C,[1]GIT!$B:$D,3,0),)</f>
        <v>0</v>
      </c>
      <c r="O2" s="38">
        <f>IFERROR(VLOOKUP(A:A,[2]Sheet1!$A:$B,2,0),)</f>
        <v>0</v>
      </c>
      <c r="P2" s="38">
        <f>IFERROR(VLOOKUP(A:A,[2]Sheet1!$A:$B,2,0),)</f>
        <v>0</v>
      </c>
      <c r="Q2" s="38">
        <f>+E2-P2</f>
        <v>4</v>
      </c>
      <c r="R2" s="38">
        <f>SUMIFS(E:E,C:C,C2)</f>
        <v>4</v>
      </c>
      <c r="S2" s="38" t="str">
        <f>IF(R2&gt;=J2,"Not OK","OK")</f>
        <v>Not OK</v>
      </c>
    </row>
    <row r="3" spans="1:19" hidden="1" x14ac:dyDescent="0.25">
      <c r="A3" s="38" t="str">
        <f>F3&amp;C3</f>
        <v>C04640039359</v>
      </c>
      <c r="B3" s="38" t="str">
        <f>IF(J3&gt;=SUMIFS(E:E,C:C,C3),"Good to go","Short in Qty")</f>
        <v>Good to go</v>
      </c>
      <c r="C3" s="40">
        <v>40039359</v>
      </c>
      <c r="D3" s="40" t="s">
        <v>187</v>
      </c>
      <c r="E3" s="66">
        <v>10</v>
      </c>
      <c r="F3" s="38" t="s">
        <v>13</v>
      </c>
      <c r="G3" s="40" t="s">
        <v>467</v>
      </c>
      <c r="H3" s="38" t="s">
        <v>188</v>
      </c>
      <c r="I3" s="38" t="s">
        <v>362</v>
      </c>
      <c r="J3" s="38">
        <f>IFERROR(VLOOKUP(C:C,'[1]S&amp;S'!$B:$F,5,0),)</f>
        <v>10</v>
      </c>
      <c r="K3" s="38">
        <f>IFERROR(VLOOKUP(A:A,[1]APO!$A:$F,6,0),)</f>
        <v>0</v>
      </c>
      <c r="L3" s="38">
        <f>IFERROR(VLOOKUP(C:C,'[1]TOTAL APO'!$A:$B,2,0),)</f>
        <v>0</v>
      </c>
      <c r="M3" s="38">
        <f>IFERROR(VLOOKUP(A:A,[1]Short!$A:$Q,17,0),)</f>
        <v>0</v>
      </c>
      <c r="N3" s="38">
        <f>IFERROR(VLOOKUP(C:C,[1]GIT!$B:$D,3,0),)</f>
        <v>0</v>
      </c>
      <c r="O3" s="38">
        <f>IFERROR(VLOOKUP(A:A,[2]Sheet1!$A:$B,2,0),)</f>
        <v>10</v>
      </c>
      <c r="P3" s="38">
        <f>IFERROR(VLOOKUP(A:A,[2]Sheet1!$A:$B,2,0),)</f>
        <v>10</v>
      </c>
      <c r="Q3" s="38">
        <f t="shared" ref="Q3:Q66" si="0">+E3-P3</f>
        <v>0</v>
      </c>
      <c r="R3" s="38"/>
      <c r="S3" s="38"/>
    </row>
    <row r="4" spans="1:19" hidden="1" x14ac:dyDescent="0.25">
      <c r="A4" s="38" t="str">
        <f>F4&amp;C4</f>
        <v>C04640039418</v>
      </c>
      <c r="B4" s="38" t="str">
        <f>IF(J4&gt;=SUMIFS(E:E,C:C,C4),"Good to go","Short in Qty")</f>
        <v>Good to go</v>
      </c>
      <c r="C4" s="40">
        <v>40039418</v>
      </c>
      <c r="D4" s="40" t="s">
        <v>189</v>
      </c>
      <c r="E4" s="66">
        <v>5</v>
      </c>
      <c r="F4" s="38" t="s">
        <v>13</v>
      </c>
      <c r="G4" s="40" t="s">
        <v>467</v>
      </c>
      <c r="H4" s="38" t="s">
        <v>188</v>
      </c>
      <c r="I4" s="38" t="s">
        <v>362</v>
      </c>
      <c r="J4" s="38">
        <f>IFERROR(VLOOKUP(C:C,'[1]S&amp;S'!$B:$F,5,0),)</f>
        <v>20</v>
      </c>
      <c r="K4" s="38">
        <f>IFERROR(VLOOKUP(A:A,[1]APO!$A:$F,6,0),)</f>
        <v>0</v>
      </c>
      <c r="L4" s="38">
        <f>IFERROR(VLOOKUP(C:C,'[1]TOTAL APO'!$A:$B,2,0),)</f>
        <v>0</v>
      </c>
      <c r="M4" s="38">
        <f>IFERROR(VLOOKUP(A:A,[1]Short!$A:$Q,17,0),)</f>
        <v>0</v>
      </c>
      <c r="N4" s="38">
        <f>IFERROR(VLOOKUP(C:C,[1]GIT!$B:$D,3,0),)</f>
        <v>0</v>
      </c>
      <c r="O4" s="38">
        <f>IFERROR(VLOOKUP(A:A,[2]Sheet1!$A:$B,2,0),)</f>
        <v>5</v>
      </c>
      <c r="P4" s="38">
        <f>IFERROR(VLOOKUP(A:A,[2]Sheet1!$A:$B,2,0),)</f>
        <v>5</v>
      </c>
      <c r="Q4" s="38">
        <f t="shared" si="0"/>
        <v>0</v>
      </c>
      <c r="R4" s="38"/>
      <c r="S4" s="38"/>
    </row>
    <row r="5" spans="1:19" x14ac:dyDescent="0.25">
      <c r="A5" s="38" t="str">
        <f>F5&amp;C5</f>
        <v>C04440040920</v>
      </c>
      <c r="B5" s="38" t="str">
        <f>IF(J5&gt;=SUMIFS(E:E,C:C,C5),"Good to go","Short in Qty")</f>
        <v>Good to go</v>
      </c>
      <c r="C5" s="40">
        <v>40040920</v>
      </c>
      <c r="D5" s="40" t="s">
        <v>190</v>
      </c>
      <c r="E5" s="66">
        <v>3</v>
      </c>
      <c r="F5" s="38" t="s">
        <v>191</v>
      </c>
      <c r="G5" s="40"/>
      <c r="H5" s="38" t="s">
        <v>151</v>
      </c>
      <c r="I5" s="38" t="s">
        <v>363</v>
      </c>
      <c r="J5" s="38">
        <f>IFERROR(VLOOKUP(C:C,'[1]S&amp;S'!$B:$F,5,0),)</f>
        <v>8</v>
      </c>
      <c r="K5" s="38">
        <f>IFERROR(VLOOKUP(A:A,[1]APO!$A:$F,6,0),)</f>
        <v>0</v>
      </c>
      <c r="L5" s="38">
        <f>IFERROR(VLOOKUP(C:C,'[1]TOTAL APO'!$A:$B,2,0),)</f>
        <v>0</v>
      </c>
      <c r="M5" s="38">
        <f>IFERROR(VLOOKUP(A:A,[1]Short!$A:$Q,17,0),)</f>
        <v>0</v>
      </c>
      <c r="N5" s="38">
        <f>IFERROR(VLOOKUP(C:C,[1]GIT!$B:$D,3,0),)</f>
        <v>0</v>
      </c>
      <c r="O5" s="38">
        <f>IFERROR(VLOOKUP(A:A,[2]Sheet1!$A:$B,2,0),)</f>
        <v>0</v>
      </c>
      <c r="P5" s="38">
        <f>IFERROR(VLOOKUP(A:A,[2]Sheet1!$A:$B,2,0),)</f>
        <v>0</v>
      </c>
      <c r="Q5" s="38">
        <f t="shared" si="0"/>
        <v>3</v>
      </c>
      <c r="R5" s="38"/>
      <c r="S5" s="38"/>
    </row>
    <row r="6" spans="1:19" x14ac:dyDescent="0.25">
      <c r="A6" s="38" t="str">
        <f>F6&amp;C6</f>
        <v>C04740040920</v>
      </c>
      <c r="B6" s="38" t="str">
        <f>IF(J6&gt;=SUMIFS(E:E,C:C,C6),"Good to go","Short in Qty")</f>
        <v>Good to go</v>
      </c>
      <c r="C6" s="40">
        <v>40040920</v>
      </c>
      <c r="D6" s="40" t="s">
        <v>190</v>
      </c>
      <c r="E6" s="66">
        <v>4</v>
      </c>
      <c r="F6" s="38" t="s">
        <v>192</v>
      </c>
      <c r="G6" s="40"/>
      <c r="H6" s="38" t="s">
        <v>151</v>
      </c>
      <c r="I6" s="38" t="s">
        <v>363</v>
      </c>
      <c r="J6" s="38">
        <f>IFERROR(VLOOKUP(C:C,'[1]S&amp;S'!$B:$F,5,0),)</f>
        <v>8</v>
      </c>
      <c r="K6" s="38">
        <f>IFERROR(VLOOKUP(A:A,[1]APO!$A:$F,6,0),)</f>
        <v>0</v>
      </c>
      <c r="L6" s="38">
        <f>IFERROR(VLOOKUP(C:C,'[1]TOTAL APO'!$A:$B,2,0),)</f>
        <v>0</v>
      </c>
      <c r="M6" s="38">
        <f>IFERROR(VLOOKUP(A:A,[1]Short!$A:$Q,17,0),)</f>
        <v>0</v>
      </c>
      <c r="N6" s="38">
        <f>IFERROR(VLOOKUP(C:C,[1]GIT!$B:$D,3,0),)</f>
        <v>0</v>
      </c>
      <c r="O6" s="38">
        <f>IFERROR(VLOOKUP(A:A,[2]Sheet1!$A:$B,2,0),)</f>
        <v>0</v>
      </c>
      <c r="P6" s="38">
        <f>IFERROR(VLOOKUP(A:A,[2]Sheet1!$A:$B,2,0),)</f>
        <v>0</v>
      </c>
      <c r="Q6" s="38">
        <f t="shared" si="0"/>
        <v>4</v>
      </c>
      <c r="R6" s="38"/>
      <c r="S6" s="38"/>
    </row>
    <row r="7" spans="1:19" x14ac:dyDescent="0.25">
      <c r="A7" s="38" t="str">
        <f>F7&amp;C7</f>
        <v>C04640036773</v>
      </c>
      <c r="B7" s="38" t="str">
        <f>IF(J7&gt;=SUMIFS(E:E,C:C,C7),"Good to go","Short in Qty")</f>
        <v>Good to go</v>
      </c>
      <c r="C7" s="40">
        <v>40036773</v>
      </c>
      <c r="D7" s="40" t="s">
        <v>260</v>
      </c>
      <c r="E7" s="66">
        <v>1</v>
      </c>
      <c r="F7" s="38" t="s">
        <v>13</v>
      </c>
      <c r="G7" s="40"/>
      <c r="H7" s="38" t="s">
        <v>9</v>
      </c>
      <c r="I7" s="38" t="s">
        <v>530</v>
      </c>
      <c r="J7" s="38">
        <f>IFERROR(VLOOKUP(C:C,'[1]S&amp;S'!$B:$F,5,0),)</f>
        <v>11</v>
      </c>
      <c r="K7" s="38">
        <f>IFERROR(VLOOKUP(A:A,[1]APO!$A:$F,6,0),)</f>
        <v>0</v>
      </c>
      <c r="L7" s="38">
        <f>IFERROR(VLOOKUP(C:C,'[1]TOTAL APO'!$A:$B,2,0),)</f>
        <v>0</v>
      </c>
      <c r="M7" s="38">
        <f>IFERROR(VLOOKUP(A:A,[1]Short!$A:$Q,17,0),)</f>
        <v>0</v>
      </c>
      <c r="N7" s="38">
        <f>IFERROR(VLOOKUP(C:C,[1]GIT!$B:$D,3,0),)</f>
        <v>0</v>
      </c>
      <c r="O7" s="38">
        <f>IFERROR(VLOOKUP(A:A,[2]Sheet1!$A:$B,2,0),)</f>
        <v>0</v>
      </c>
      <c r="P7" s="38">
        <f>IFERROR(VLOOKUP(A:A,[2]Sheet1!$A:$B,2,0),)</f>
        <v>0</v>
      </c>
      <c r="Q7" s="38">
        <f t="shared" si="0"/>
        <v>1</v>
      </c>
      <c r="R7" s="38"/>
      <c r="S7" s="38"/>
    </row>
    <row r="8" spans="1:19" x14ac:dyDescent="0.25">
      <c r="A8" s="38" t="str">
        <f>F8&amp;C8</f>
        <v>C12140041325</v>
      </c>
      <c r="B8" s="38" t="str">
        <f>IF(J8&gt;=SUMIFS(E:E,C:C,C8),"Good to go","Short in Qty")</f>
        <v>Good to go</v>
      </c>
      <c r="C8" s="40">
        <v>40041325</v>
      </c>
      <c r="D8" s="40" t="s">
        <v>193</v>
      </c>
      <c r="E8" s="66">
        <v>12</v>
      </c>
      <c r="F8" s="38" t="s">
        <v>194</v>
      </c>
      <c r="G8" s="40" t="s">
        <v>195</v>
      </c>
      <c r="H8" s="38" t="s">
        <v>9</v>
      </c>
      <c r="I8" s="38" t="s">
        <v>364</v>
      </c>
      <c r="J8" s="38">
        <f>IFERROR(VLOOKUP(C:C,'[1]S&amp;S'!$B:$F,5,0),)</f>
        <v>85.000066666666697</v>
      </c>
      <c r="K8" s="38">
        <f>IFERROR(VLOOKUP(A:A,[1]APO!$A:$F,6,0),)</f>
        <v>0</v>
      </c>
      <c r="L8" s="38">
        <f>IFERROR(VLOOKUP(C:C,'[1]TOTAL APO'!$A:$B,2,0),)</f>
        <v>0</v>
      </c>
      <c r="M8" s="38">
        <f>IFERROR(VLOOKUP(A:A,[1]Short!$A:$Q,17,0),)</f>
        <v>0</v>
      </c>
      <c r="N8" s="38">
        <f>IFERROR(VLOOKUP(C:C,[1]GIT!$B:$D,3,0),)</f>
        <v>0</v>
      </c>
      <c r="O8" s="38">
        <f>IFERROR(VLOOKUP(A:A,[2]Sheet1!$A:$B,2,0),)</f>
        <v>0</v>
      </c>
      <c r="P8" s="38">
        <f>IFERROR(VLOOKUP(A:A,[2]Sheet1!$A:$B,2,0),)</f>
        <v>0</v>
      </c>
      <c r="Q8" s="38">
        <f t="shared" si="0"/>
        <v>12</v>
      </c>
      <c r="R8" s="38"/>
      <c r="S8" s="38"/>
    </row>
    <row r="9" spans="1:19" hidden="1" x14ac:dyDescent="0.25">
      <c r="A9" s="38" t="str">
        <f>F9&amp;C9</f>
        <v>C04640041349</v>
      </c>
      <c r="B9" s="38" t="str">
        <f>IF(J9&gt;=SUMIFS(E:E,C:C,C9),"Good to go","Short in Qty")</f>
        <v>Good to go</v>
      </c>
      <c r="C9" s="40">
        <v>40041349</v>
      </c>
      <c r="D9" s="40" t="s">
        <v>196</v>
      </c>
      <c r="E9" s="66">
        <v>4</v>
      </c>
      <c r="F9" s="38" t="s">
        <v>13</v>
      </c>
      <c r="G9" s="40" t="s">
        <v>467</v>
      </c>
      <c r="H9" s="38" t="s">
        <v>188</v>
      </c>
      <c r="I9" s="38" t="s">
        <v>362</v>
      </c>
      <c r="J9" s="38">
        <f>IFERROR(VLOOKUP(C:C,'[1]S&amp;S'!$B:$F,5,0),)</f>
        <v>20</v>
      </c>
      <c r="K9" s="38">
        <f>IFERROR(VLOOKUP(A:A,[1]APO!$A:$F,6,0),)</f>
        <v>0</v>
      </c>
      <c r="L9" s="38">
        <f>IFERROR(VLOOKUP(C:C,'[1]TOTAL APO'!$A:$B,2,0),)</f>
        <v>0</v>
      </c>
      <c r="M9" s="38">
        <f>IFERROR(VLOOKUP(A:A,[1]Short!$A:$Q,17,0),)</f>
        <v>0</v>
      </c>
      <c r="N9" s="38">
        <f>IFERROR(VLOOKUP(C:C,[1]GIT!$B:$D,3,0),)</f>
        <v>0</v>
      </c>
      <c r="O9" s="38">
        <f>IFERROR(VLOOKUP(A:A,[2]Sheet1!$A:$B,2,0),)</f>
        <v>4</v>
      </c>
      <c r="P9" s="38">
        <f>IFERROR(VLOOKUP(A:A,[2]Sheet1!$A:$B,2,0),)</f>
        <v>4</v>
      </c>
      <c r="Q9" s="38">
        <f t="shared" si="0"/>
        <v>0</v>
      </c>
      <c r="R9" s="38"/>
      <c r="S9" s="38"/>
    </row>
    <row r="10" spans="1:19" hidden="1" x14ac:dyDescent="0.25">
      <c r="A10" s="38" t="str">
        <f>F10&amp;C10</f>
        <v>C04240060033</v>
      </c>
      <c r="B10" s="38" t="str">
        <f>IF(J10&gt;=SUMIFS(E:E,C:C,C10),"Good to go","Short in Qty")</f>
        <v>Good to go</v>
      </c>
      <c r="C10" s="40">
        <v>40060033</v>
      </c>
      <c r="D10" s="40" t="s">
        <v>510</v>
      </c>
      <c r="E10" s="66">
        <v>141</v>
      </c>
      <c r="F10" s="38" t="s">
        <v>10</v>
      </c>
      <c r="G10" s="40" t="s">
        <v>467</v>
      </c>
      <c r="H10" s="38" t="s">
        <v>9</v>
      </c>
      <c r="I10" s="38" t="s">
        <v>530</v>
      </c>
      <c r="J10" s="38">
        <f>IFERROR(VLOOKUP(C:C,'[1]S&amp;S'!$B:$F,5,0),)</f>
        <v>505</v>
      </c>
      <c r="K10" s="38">
        <f>IFERROR(VLOOKUP(A:A,[1]APO!$A:$F,6,0),)</f>
        <v>0</v>
      </c>
      <c r="L10" s="38">
        <f>IFERROR(VLOOKUP(C:C,'[1]TOTAL APO'!$A:$B,2,0),)</f>
        <v>0</v>
      </c>
      <c r="M10" s="38">
        <f>IFERROR(VLOOKUP(A:A,[1]Short!$A:$Q,17,0),)</f>
        <v>0</v>
      </c>
      <c r="N10" s="38">
        <f>IFERROR(VLOOKUP(C:C,[1]GIT!$B:$D,3,0),)</f>
        <v>0</v>
      </c>
      <c r="O10" s="38">
        <f>IFERROR(VLOOKUP(A:A,[2]Sheet1!$A:$B,2,0),)</f>
        <v>141</v>
      </c>
      <c r="P10" s="38">
        <f>IFERROR(VLOOKUP(A:A,[2]Sheet1!$A:$B,2,0),)</f>
        <v>141</v>
      </c>
      <c r="Q10" s="38">
        <f t="shared" si="0"/>
        <v>0</v>
      </c>
      <c r="R10" s="38"/>
      <c r="S10" s="38"/>
    </row>
    <row r="11" spans="1:19" x14ac:dyDescent="0.25">
      <c r="A11" s="38" t="str">
        <f>F11&amp;C11</f>
        <v>KT0240042202</v>
      </c>
      <c r="B11" s="38" t="str">
        <f>IF(J11&gt;=SUMIFS(E:E,C:C,C11),"Good to go","Short in Qty")</f>
        <v>Good to go</v>
      </c>
      <c r="C11" s="40">
        <v>40042202</v>
      </c>
      <c r="D11" s="40" t="s">
        <v>201</v>
      </c>
      <c r="E11" s="66">
        <v>242</v>
      </c>
      <c r="F11" s="38" t="s">
        <v>202</v>
      </c>
      <c r="G11" s="40"/>
      <c r="H11" s="38" t="s">
        <v>203</v>
      </c>
      <c r="I11" s="38" t="s">
        <v>368</v>
      </c>
      <c r="J11" s="38">
        <f>IFERROR(VLOOKUP(C:C,'[1]S&amp;S'!$B:$F,5,0),)</f>
        <v>242.00169444444401</v>
      </c>
      <c r="K11" s="38">
        <f>IFERROR(VLOOKUP(A:A,[1]APO!$A:$F,6,0),)</f>
        <v>0</v>
      </c>
      <c r="L11" s="38">
        <f>IFERROR(VLOOKUP(C:C,'[1]TOTAL APO'!$A:$B,2,0),)</f>
        <v>0</v>
      </c>
      <c r="M11" s="38">
        <f>IFERROR(VLOOKUP(A:A,[1]Short!$A:$Q,17,0),)</f>
        <v>0</v>
      </c>
      <c r="N11" s="38">
        <f>IFERROR(VLOOKUP(C:C,[1]GIT!$B:$D,3,0),)</f>
        <v>0</v>
      </c>
      <c r="O11" s="38">
        <f>IFERROR(VLOOKUP(A:A,[2]Sheet1!$A:$B,2,0),)</f>
        <v>0</v>
      </c>
      <c r="P11" s="38">
        <f>IFERROR(VLOOKUP(A:A,[2]Sheet1!$A:$B,2,0),)</f>
        <v>0</v>
      </c>
      <c r="Q11" s="38">
        <f t="shared" si="0"/>
        <v>242</v>
      </c>
      <c r="R11" s="38"/>
      <c r="S11" s="38"/>
    </row>
    <row r="12" spans="1:19" hidden="1" x14ac:dyDescent="0.25">
      <c r="A12" s="38" t="str">
        <f>F12&amp;C12</f>
        <v>C04440042746</v>
      </c>
      <c r="B12" s="38" t="str">
        <f>IF(J12&gt;=SUMIFS(E:E,C:C,C12),"Good to go","Short in Qty")</f>
        <v>Good to go</v>
      </c>
      <c r="C12" s="40">
        <v>40042746</v>
      </c>
      <c r="D12" s="40" t="s">
        <v>455</v>
      </c>
      <c r="E12" s="69">
        <v>5</v>
      </c>
      <c r="F12" s="38" t="s">
        <v>191</v>
      </c>
      <c r="G12" s="40" t="s">
        <v>467</v>
      </c>
      <c r="H12" s="38" t="s">
        <v>248</v>
      </c>
      <c r="I12" s="38" t="s">
        <v>457</v>
      </c>
      <c r="J12" s="38">
        <f>IFERROR(VLOOKUP(C:C,'[1]S&amp;S'!$B:$F,5,0),)</f>
        <v>15</v>
      </c>
      <c r="K12" s="38">
        <f>IFERROR(VLOOKUP(A:A,[1]APO!$A:$F,6,0),)</f>
        <v>0</v>
      </c>
      <c r="L12" s="38">
        <f>IFERROR(VLOOKUP(C:C,'[1]TOTAL APO'!$A:$B,2,0),)</f>
        <v>0</v>
      </c>
      <c r="M12" s="38">
        <f>IFERROR(VLOOKUP(A:A,[1]Short!$A:$Q,17,0),)</f>
        <v>0</v>
      </c>
      <c r="N12" s="38">
        <f>IFERROR(VLOOKUP(C:C,[1]GIT!$B:$D,3,0),)</f>
        <v>0</v>
      </c>
      <c r="O12" s="38">
        <f>IFERROR(VLOOKUP(A:A,[2]Sheet1!$A:$B,2,0),)</f>
        <v>5</v>
      </c>
      <c r="P12" s="38">
        <f>IFERROR(VLOOKUP(A:A,[2]Sheet1!$A:$B,2,0),)</f>
        <v>5</v>
      </c>
      <c r="Q12" s="38">
        <f t="shared" si="0"/>
        <v>0</v>
      </c>
      <c r="R12" s="38"/>
      <c r="S12" s="38"/>
    </row>
    <row r="13" spans="1:19" x14ac:dyDescent="0.25">
      <c r="A13" s="38" t="str">
        <f>F13&amp;C13</f>
        <v>C12140043124</v>
      </c>
      <c r="B13" s="38" t="str">
        <f>IF(J13&gt;=SUMIFS(E:E,C:C,C13),"Good to go","Short in Qty")</f>
        <v>Good to go</v>
      </c>
      <c r="C13" s="40">
        <v>40043124</v>
      </c>
      <c r="D13" s="40" t="s">
        <v>197</v>
      </c>
      <c r="E13" s="66">
        <v>1</v>
      </c>
      <c r="F13" s="38" t="s">
        <v>194</v>
      </c>
      <c r="G13" s="40" t="s">
        <v>195</v>
      </c>
      <c r="H13" s="38" t="s">
        <v>151</v>
      </c>
      <c r="I13" s="38" t="s">
        <v>365</v>
      </c>
      <c r="J13" s="38">
        <f>IFERROR(VLOOKUP(C:C,'[1]S&amp;S'!$B:$F,5,0),)</f>
        <v>1</v>
      </c>
      <c r="K13" s="38">
        <f>IFERROR(VLOOKUP(A:A,[1]APO!$A:$F,6,0),)</f>
        <v>0</v>
      </c>
      <c r="L13" s="38">
        <f>IFERROR(VLOOKUP(C:C,'[1]TOTAL APO'!$A:$B,2,0),)</f>
        <v>0</v>
      </c>
      <c r="M13" s="38">
        <f>IFERROR(VLOOKUP(A:A,[1]Short!$A:$Q,17,0),)</f>
        <v>0</v>
      </c>
      <c r="N13" s="38">
        <f>IFERROR(VLOOKUP(C:C,[1]GIT!$B:$D,3,0),)</f>
        <v>0</v>
      </c>
      <c r="O13" s="38">
        <f>IFERROR(VLOOKUP(A:A,[2]Sheet1!$A:$B,2,0),)</f>
        <v>0</v>
      </c>
      <c r="P13" s="38">
        <f>IFERROR(VLOOKUP(A:A,[2]Sheet1!$A:$B,2,0),)</f>
        <v>0</v>
      </c>
      <c r="Q13" s="38">
        <f t="shared" si="0"/>
        <v>1</v>
      </c>
      <c r="R13" s="38"/>
      <c r="S13" s="38"/>
    </row>
    <row r="14" spans="1:19" x14ac:dyDescent="0.25">
      <c r="A14" s="38" t="str">
        <f>F14&amp;C14</f>
        <v>C12140043390</v>
      </c>
      <c r="B14" s="38" t="str">
        <f>IF(J14&gt;=SUMIFS(E:E,C:C,C14),"Good to go","Short in Qty")</f>
        <v>Good to go</v>
      </c>
      <c r="C14" s="40">
        <v>40043390</v>
      </c>
      <c r="D14" s="40" t="s">
        <v>198</v>
      </c>
      <c r="E14" s="67">
        <v>2</v>
      </c>
      <c r="F14" s="38" t="s">
        <v>194</v>
      </c>
      <c r="G14" s="40" t="s">
        <v>195</v>
      </c>
      <c r="H14" s="38" t="s">
        <v>199</v>
      </c>
      <c r="I14" s="38" t="s">
        <v>366</v>
      </c>
      <c r="J14" s="38">
        <f>IFERROR(VLOOKUP(C:C,'[1]S&amp;S'!$B:$F,5,0),)</f>
        <v>2.0034722222222201</v>
      </c>
      <c r="K14" s="38">
        <f>IFERROR(VLOOKUP(A:A,[1]APO!$A:$F,6,0),)</f>
        <v>0</v>
      </c>
      <c r="L14" s="38">
        <f>IFERROR(VLOOKUP(C:C,'[1]TOTAL APO'!$A:$B,2,0),)</f>
        <v>0</v>
      </c>
      <c r="M14" s="38">
        <f>IFERROR(VLOOKUP(A:A,[1]Short!$A:$Q,17,0),)</f>
        <v>0</v>
      </c>
      <c r="N14" s="38">
        <f>IFERROR(VLOOKUP(C:C,[1]GIT!$B:$D,3,0),)</f>
        <v>0</v>
      </c>
      <c r="O14" s="38">
        <f>IFERROR(VLOOKUP(A:A,[2]Sheet1!$A:$B,2,0),)</f>
        <v>0</v>
      </c>
      <c r="P14" s="38">
        <f>IFERROR(VLOOKUP(A:A,[2]Sheet1!$A:$B,2,0),)</f>
        <v>0</v>
      </c>
      <c r="Q14" s="38">
        <f t="shared" si="0"/>
        <v>2</v>
      </c>
      <c r="R14" s="38"/>
      <c r="S14" s="38"/>
    </row>
    <row r="15" spans="1:19" x14ac:dyDescent="0.25">
      <c r="A15" s="38" t="str">
        <f>F15&amp;C15</f>
        <v>C12140043457</v>
      </c>
      <c r="B15" s="38" t="str">
        <f>IF(J15&gt;=SUMIFS(E:E,C:C,C15),"Good to go","Short in Qty")</f>
        <v>Good to go</v>
      </c>
      <c r="C15" s="40">
        <v>40043457</v>
      </c>
      <c r="D15" s="40" t="s">
        <v>200</v>
      </c>
      <c r="E15" s="66">
        <v>7</v>
      </c>
      <c r="F15" s="38" t="s">
        <v>194</v>
      </c>
      <c r="G15" s="40" t="s">
        <v>195</v>
      </c>
      <c r="H15" s="38" t="s">
        <v>151</v>
      </c>
      <c r="I15" s="38" t="s">
        <v>367</v>
      </c>
      <c r="J15" s="38">
        <f>IFERROR(VLOOKUP(C:C,'[1]S&amp;S'!$B:$F,5,0),)</f>
        <v>10.0003333333333</v>
      </c>
      <c r="K15" s="38">
        <f>IFERROR(VLOOKUP(A:A,[1]APO!$A:$F,6,0),)</f>
        <v>0</v>
      </c>
      <c r="L15" s="38">
        <f>IFERROR(VLOOKUP(C:C,'[1]TOTAL APO'!$A:$B,2,0),)</f>
        <v>0</v>
      </c>
      <c r="M15" s="38">
        <f>IFERROR(VLOOKUP(A:A,[1]Short!$A:$Q,17,0),)</f>
        <v>0</v>
      </c>
      <c r="N15" s="38">
        <f>IFERROR(VLOOKUP(C:C,[1]GIT!$B:$D,3,0),)</f>
        <v>0</v>
      </c>
      <c r="O15" s="38">
        <f>IFERROR(VLOOKUP(A:A,[2]Sheet1!$A:$B,2,0),)</f>
        <v>0</v>
      </c>
      <c r="P15" s="38">
        <f>IFERROR(VLOOKUP(A:A,[2]Sheet1!$A:$B,2,0),)</f>
        <v>0</v>
      </c>
      <c r="Q15" s="38">
        <f t="shared" si="0"/>
        <v>7</v>
      </c>
      <c r="R15" s="38"/>
      <c r="S15" s="38"/>
    </row>
    <row r="16" spans="1:19" x14ac:dyDescent="0.25">
      <c r="A16" s="38" t="str">
        <f>F16&amp;C16</f>
        <v>C11140043571</v>
      </c>
      <c r="B16" s="38" t="str">
        <f>IF(J16&gt;=SUMIFS(E:E,C:C,C16),"Good to go","Short in Qty")</f>
        <v>Good to go</v>
      </c>
      <c r="C16" s="40">
        <v>40043571</v>
      </c>
      <c r="D16" s="40" t="s">
        <v>207</v>
      </c>
      <c r="E16" s="66">
        <v>100</v>
      </c>
      <c r="F16" s="38" t="s">
        <v>16</v>
      </c>
      <c r="G16" s="40"/>
      <c r="H16" s="38" t="s">
        <v>213</v>
      </c>
      <c r="I16" s="38" t="s">
        <v>482</v>
      </c>
      <c r="J16" s="38">
        <f>IFERROR(VLOOKUP(C:C,'[1]S&amp;S'!$B:$F,5,0),)</f>
        <v>1748</v>
      </c>
      <c r="K16" s="38">
        <f>IFERROR(VLOOKUP(A:A,[1]APO!$A:$F,6,0),)</f>
        <v>0</v>
      </c>
      <c r="L16" s="38">
        <f>IFERROR(VLOOKUP(C:C,'[1]TOTAL APO'!$A:$B,2,0),)</f>
        <v>0</v>
      </c>
      <c r="M16" s="38">
        <f>IFERROR(VLOOKUP(A:A,[1]Short!$A:$Q,17,0),)</f>
        <v>0</v>
      </c>
      <c r="N16" s="38">
        <f>IFERROR(VLOOKUP(C:C,[1]GIT!$B:$D,3,0),)</f>
        <v>291</v>
      </c>
      <c r="O16" s="38">
        <f>IFERROR(VLOOKUP(A:A,[2]Sheet1!$A:$B,2,0),)</f>
        <v>0</v>
      </c>
      <c r="P16" s="38">
        <f>IFERROR(VLOOKUP(A:A,[2]Sheet1!$A:$B,2,0),)</f>
        <v>0</v>
      </c>
      <c r="Q16" s="38">
        <f t="shared" si="0"/>
        <v>100</v>
      </c>
      <c r="R16" s="38"/>
      <c r="S16" s="38"/>
    </row>
    <row r="17" spans="1:19" hidden="1" x14ac:dyDescent="0.25">
      <c r="A17" s="38" t="str">
        <f>F17&amp;C17</f>
        <v>C04840043571</v>
      </c>
      <c r="B17" s="38" t="str">
        <f>IF(J17&gt;=SUMIFS(E:E,C:C,C17),"Good to go","Short in Qty")</f>
        <v>Good to go</v>
      </c>
      <c r="C17" s="40">
        <v>40043571</v>
      </c>
      <c r="D17" s="40" t="s">
        <v>207</v>
      </c>
      <c r="E17" s="66">
        <v>15</v>
      </c>
      <c r="F17" s="38" t="s">
        <v>8</v>
      </c>
      <c r="G17" s="40" t="s">
        <v>467</v>
      </c>
      <c r="H17" s="38" t="s">
        <v>151</v>
      </c>
      <c r="I17" s="38" t="s">
        <v>369</v>
      </c>
      <c r="J17" s="38">
        <f>IFERROR(VLOOKUP(C:C,'[1]S&amp;S'!$B:$F,5,0),)</f>
        <v>1748</v>
      </c>
      <c r="K17" s="38">
        <f>IFERROR(VLOOKUP(A:A,[1]APO!$A:$F,6,0),)</f>
        <v>0</v>
      </c>
      <c r="L17" s="38">
        <f>IFERROR(VLOOKUP(C:C,'[1]TOTAL APO'!$A:$B,2,0),)</f>
        <v>0</v>
      </c>
      <c r="M17" s="38">
        <f>IFERROR(VLOOKUP(A:A,[1]Short!$A:$Q,17,0),)</f>
        <v>0</v>
      </c>
      <c r="N17" s="38">
        <f>IFERROR(VLOOKUP(C:C,[1]GIT!$B:$D,3,0),)</f>
        <v>291</v>
      </c>
      <c r="O17" s="38">
        <f>IFERROR(VLOOKUP(A:A,[2]Sheet1!$A:$B,2,0),)</f>
        <v>15</v>
      </c>
      <c r="P17" s="38">
        <f>IFERROR(VLOOKUP(A:A,[2]Sheet1!$A:$B,2,0),)</f>
        <v>15</v>
      </c>
      <c r="Q17" s="38">
        <f t="shared" si="0"/>
        <v>0</v>
      </c>
      <c r="R17" s="38"/>
      <c r="S17" s="38"/>
    </row>
    <row r="18" spans="1:19" hidden="1" x14ac:dyDescent="0.25">
      <c r="A18" s="38" t="str">
        <f>F18&amp;C18</f>
        <v>C04640043571</v>
      </c>
      <c r="B18" s="38" t="str">
        <f>IF(J18&gt;=SUMIFS(E:E,C:C,C18),"Good to go","Short in Qty")</f>
        <v>Good to go</v>
      </c>
      <c r="C18" s="40">
        <v>40043571</v>
      </c>
      <c r="D18" s="40" t="s">
        <v>207</v>
      </c>
      <c r="E18" s="66">
        <v>4</v>
      </c>
      <c r="F18" s="38" t="s">
        <v>13</v>
      </c>
      <c r="G18" s="40" t="s">
        <v>467</v>
      </c>
      <c r="H18" s="38" t="s">
        <v>151</v>
      </c>
      <c r="I18" s="38" t="s">
        <v>369</v>
      </c>
      <c r="J18" s="38">
        <f>IFERROR(VLOOKUP(C:C,'[1]S&amp;S'!$B:$F,5,0),)</f>
        <v>1748</v>
      </c>
      <c r="K18" s="38">
        <f>IFERROR(VLOOKUP(A:A,[1]APO!$A:$F,6,0),)</f>
        <v>0</v>
      </c>
      <c r="L18" s="38">
        <f>IFERROR(VLOOKUP(C:C,'[1]TOTAL APO'!$A:$B,2,0),)</f>
        <v>0</v>
      </c>
      <c r="M18" s="38">
        <f>IFERROR(VLOOKUP(A:A,[1]Short!$A:$Q,17,0),)</f>
        <v>0</v>
      </c>
      <c r="N18" s="38">
        <f>IFERROR(VLOOKUP(C:C,[1]GIT!$B:$D,3,0),)</f>
        <v>291</v>
      </c>
      <c r="O18" s="38">
        <f>IFERROR(VLOOKUP(A:A,[2]Sheet1!$A:$B,2,0),)</f>
        <v>4</v>
      </c>
      <c r="P18" s="38">
        <f>IFERROR(VLOOKUP(A:A,[2]Sheet1!$A:$B,2,0),)</f>
        <v>4</v>
      </c>
      <c r="Q18" s="38">
        <f t="shared" si="0"/>
        <v>0</v>
      </c>
      <c r="R18" s="38"/>
      <c r="S18" s="38"/>
    </row>
    <row r="19" spans="1:19" x14ac:dyDescent="0.25">
      <c r="A19" s="38" t="str">
        <f>F19&amp;C19</f>
        <v>KT0240043571</v>
      </c>
      <c r="B19" s="38" t="str">
        <f>IF(J19&gt;=SUMIFS(E:E,C:C,C19),"Good to go","Short in Qty")</f>
        <v>Good to go</v>
      </c>
      <c r="C19" s="40">
        <v>40043571</v>
      </c>
      <c r="D19" s="40" t="s">
        <v>223</v>
      </c>
      <c r="E19" s="66">
        <v>750</v>
      </c>
      <c r="F19" s="38" t="s">
        <v>202</v>
      </c>
      <c r="G19" s="40"/>
      <c r="H19" s="38" t="s">
        <v>203</v>
      </c>
      <c r="I19" s="38" t="s">
        <v>368</v>
      </c>
      <c r="J19" s="38">
        <f>IFERROR(VLOOKUP(C:C,'[1]S&amp;S'!$B:$F,5,0),)</f>
        <v>1748</v>
      </c>
      <c r="K19" s="38">
        <f>IFERROR(VLOOKUP(A:A,[1]APO!$A:$F,6,0),)</f>
        <v>0</v>
      </c>
      <c r="L19" s="38">
        <f>IFERROR(VLOOKUP(C:C,'[1]TOTAL APO'!$A:$B,2,0),)</f>
        <v>0</v>
      </c>
      <c r="M19" s="38">
        <f>IFERROR(VLOOKUP(A:A,[1]Short!$A:$Q,17,0),)</f>
        <v>0</v>
      </c>
      <c r="N19" s="38">
        <f>IFERROR(VLOOKUP(C:C,[1]GIT!$B:$D,3,0),)</f>
        <v>291</v>
      </c>
      <c r="O19" s="38">
        <f>IFERROR(VLOOKUP(A:A,[2]Sheet1!$A:$B,2,0),)</f>
        <v>0</v>
      </c>
      <c r="P19" s="38">
        <f>IFERROR(VLOOKUP(A:A,[2]Sheet1!$A:$B,2,0),)</f>
        <v>0</v>
      </c>
      <c r="Q19" s="38">
        <f t="shared" si="0"/>
        <v>750</v>
      </c>
      <c r="R19" s="38"/>
      <c r="S19" s="38"/>
    </row>
    <row r="20" spans="1:19" hidden="1" x14ac:dyDescent="0.25">
      <c r="A20" s="38" t="str">
        <f>F20&amp;C20</f>
        <v>C10240043571</v>
      </c>
      <c r="B20" s="38" t="str">
        <f>IF(J20&gt;=SUMIFS(E:E,C:C,C20),"Good to go","Short in Qty")</f>
        <v>Good to go</v>
      </c>
      <c r="C20" s="40">
        <v>40043571</v>
      </c>
      <c r="D20" s="40" t="s">
        <v>207</v>
      </c>
      <c r="E20" s="66">
        <v>75</v>
      </c>
      <c r="F20" s="38" t="s">
        <v>226</v>
      </c>
      <c r="G20" s="40" t="s">
        <v>467</v>
      </c>
      <c r="H20" s="38" t="s">
        <v>213</v>
      </c>
      <c r="I20" s="38" t="s">
        <v>482</v>
      </c>
      <c r="J20" s="38">
        <f>IFERROR(VLOOKUP(C:C,'[1]S&amp;S'!$B:$F,5,0),)</f>
        <v>1748</v>
      </c>
      <c r="K20" s="38">
        <f>IFERROR(VLOOKUP(A:A,[1]APO!$A:$F,6,0),)</f>
        <v>0</v>
      </c>
      <c r="L20" s="38">
        <f>IFERROR(VLOOKUP(C:C,'[1]TOTAL APO'!$A:$B,2,0),)</f>
        <v>0</v>
      </c>
      <c r="M20" s="38">
        <f>IFERROR(VLOOKUP(A:A,[1]Short!$A:$Q,17,0),)</f>
        <v>0</v>
      </c>
      <c r="N20" s="38">
        <f>IFERROR(VLOOKUP(C:C,[1]GIT!$B:$D,3,0),)</f>
        <v>291</v>
      </c>
      <c r="O20" s="38">
        <f>IFERROR(VLOOKUP(A:A,[2]Sheet1!$A:$B,2,0),)</f>
        <v>75</v>
      </c>
      <c r="P20" s="38">
        <f>IFERROR(VLOOKUP(A:A,[2]Sheet1!$A:$B,2,0),)</f>
        <v>75</v>
      </c>
      <c r="Q20" s="38">
        <f t="shared" si="0"/>
        <v>0</v>
      </c>
      <c r="R20" s="38"/>
      <c r="S20" s="38"/>
    </row>
    <row r="21" spans="1:19" x14ac:dyDescent="0.25">
      <c r="A21" s="38" t="str">
        <f>F21&amp;C21</f>
        <v>KT0240043584</v>
      </c>
      <c r="B21" s="38" t="str">
        <f>IF(J21&gt;=SUMIFS(E:E,C:C,C21),"Good to go","Short in Qty")</f>
        <v>Good to go</v>
      </c>
      <c r="C21" s="40">
        <v>40043584</v>
      </c>
      <c r="D21" s="40" t="s">
        <v>242</v>
      </c>
      <c r="E21" s="66">
        <v>700</v>
      </c>
      <c r="F21" s="38" t="s">
        <v>202</v>
      </c>
      <c r="G21" s="40"/>
      <c r="H21" s="38" t="s">
        <v>203</v>
      </c>
      <c r="I21" s="38" t="s">
        <v>368</v>
      </c>
      <c r="J21" s="38">
        <f>IFERROR(VLOOKUP(C:C,'[1]S&amp;S'!$B:$F,5,0),)</f>
        <v>1145</v>
      </c>
      <c r="K21" s="38">
        <f>IFERROR(VLOOKUP(A:A,[1]APO!$A:$F,6,0),)</f>
        <v>0</v>
      </c>
      <c r="L21" s="38">
        <f>IFERROR(VLOOKUP(C:C,'[1]TOTAL APO'!$A:$B,2,0),)</f>
        <v>0</v>
      </c>
      <c r="M21" s="38">
        <f>IFERROR(VLOOKUP(A:A,[1]Short!$A:$Q,17,0),)</f>
        <v>0</v>
      </c>
      <c r="N21" s="38">
        <f>IFERROR(VLOOKUP(C:C,[1]GIT!$B:$D,3,0),)</f>
        <v>228</v>
      </c>
      <c r="O21" s="38">
        <f>IFERROR(VLOOKUP(A:A,[2]Sheet1!$A:$B,2,0),)</f>
        <v>0</v>
      </c>
      <c r="P21" s="38">
        <f>IFERROR(VLOOKUP(A:A,[2]Sheet1!$A:$B,2,0),)</f>
        <v>0</v>
      </c>
      <c r="Q21" s="38">
        <f t="shared" si="0"/>
        <v>700</v>
      </c>
      <c r="R21" s="38"/>
      <c r="S21" s="38"/>
    </row>
    <row r="22" spans="1:19" x14ac:dyDescent="0.25">
      <c r="A22" s="38" t="str">
        <f>F22&amp;C22</f>
        <v>C12140043679</v>
      </c>
      <c r="B22" s="38" t="str">
        <f>IF(J22&gt;=SUMIFS(E:E,C:C,C22),"Good to go","Short in Qty")</f>
        <v>Good to go</v>
      </c>
      <c r="C22" s="40">
        <v>40043679</v>
      </c>
      <c r="D22" s="40" t="s">
        <v>204</v>
      </c>
      <c r="E22" s="71">
        <v>2</v>
      </c>
      <c r="F22" s="38" t="s">
        <v>194</v>
      </c>
      <c r="G22" s="40" t="s">
        <v>195</v>
      </c>
      <c r="H22" s="38" t="s">
        <v>199</v>
      </c>
      <c r="I22" s="38" t="s">
        <v>366</v>
      </c>
      <c r="J22" s="38">
        <f>IFERROR(VLOOKUP(C:C,'[1]S&amp;S'!$B:$F,5,0),)</f>
        <v>19</v>
      </c>
      <c r="K22" s="38">
        <f>IFERROR(VLOOKUP(A:A,[1]APO!$A:$F,6,0),)</f>
        <v>0</v>
      </c>
      <c r="L22" s="38">
        <f>IFERROR(VLOOKUP(C:C,'[1]TOTAL APO'!$A:$B,2,0),)</f>
        <v>0</v>
      </c>
      <c r="M22" s="38">
        <f>IFERROR(VLOOKUP(A:A,[1]Short!$A:$Q,17,0),)</f>
        <v>0</v>
      </c>
      <c r="N22" s="38">
        <f>IFERROR(VLOOKUP(C:C,[1]GIT!$B:$D,3,0),)</f>
        <v>0</v>
      </c>
      <c r="O22" s="38">
        <f>IFERROR(VLOOKUP(A:A,[2]Sheet1!$A:$B,2,0),)</f>
        <v>0</v>
      </c>
      <c r="P22" s="38">
        <f>IFERROR(VLOOKUP(A:A,[2]Sheet1!$A:$B,2,0),)</f>
        <v>0</v>
      </c>
      <c r="Q22" s="38">
        <f t="shared" si="0"/>
        <v>2</v>
      </c>
      <c r="R22" s="38"/>
      <c r="S22" s="38"/>
    </row>
    <row r="23" spans="1:19" x14ac:dyDescent="0.25">
      <c r="A23" s="38" t="str">
        <f>F23&amp;C23</f>
        <v>C12140050082</v>
      </c>
      <c r="B23" s="38" t="str">
        <f>IF(J23&gt;=SUMIFS(E:E,C:C,C23),"Good to go","Short in Qty")</f>
        <v>Good to go</v>
      </c>
      <c r="C23" s="40">
        <v>40050082</v>
      </c>
      <c r="D23" s="40" t="s">
        <v>205</v>
      </c>
      <c r="E23" s="66">
        <v>4</v>
      </c>
      <c r="F23" s="38" t="s">
        <v>194</v>
      </c>
      <c r="G23" s="40" t="s">
        <v>195</v>
      </c>
      <c r="H23" s="38" t="s">
        <v>199</v>
      </c>
      <c r="I23" s="38" t="s">
        <v>366</v>
      </c>
      <c r="J23" s="38">
        <f>IFERROR(VLOOKUP(C:C,'[1]S&amp;S'!$B:$F,5,0),)</f>
        <v>4</v>
      </c>
      <c r="K23" s="38">
        <f>IFERROR(VLOOKUP(A:A,[1]APO!$A:$F,6,0),)</f>
        <v>0</v>
      </c>
      <c r="L23" s="38">
        <f>IFERROR(VLOOKUP(C:C,'[1]TOTAL APO'!$A:$B,2,0),)</f>
        <v>0</v>
      </c>
      <c r="M23" s="38">
        <f>IFERROR(VLOOKUP(A:A,[1]Short!$A:$Q,17,0),)</f>
        <v>0</v>
      </c>
      <c r="N23" s="38">
        <f>IFERROR(VLOOKUP(C:C,[1]GIT!$B:$D,3,0),)</f>
        <v>0</v>
      </c>
      <c r="O23" s="38">
        <f>IFERROR(VLOOKUP(A:A,[2]Sheet1!$A:$B,2,0),)</f>
        <v>0</v>
      </c>
      <c r="P23" s="38">
        <f>IFERROR(VLOOKUP(A:A,[2]Sheet1!$A:$B,2,0),)</f>
        <v>0</v>
      </c>
      <c r="Q23" s="38">
        <f t="shared" si="0"/>
        <v>4</v>
      </c>
      <c r="R23" s="38"/>
      <c r="S23" s="38"/>
    </row>
    <row r="24" spans="1:19" hidden="1" x14ac:dyDescent="0.25">
      <c r="A24" s="38" t="str">
        <f>F24&amp;C24</f>
        <v>C04640050209</v>
      </c>
      <c r="B24" s="38" t="str">
        <f>IF(J24&gt;=SUMIFS(E:E,C:C,C24),"Good to go","Short in Qty")</f>
        <v>Good to go</v>
      </c>
      <c r="C24" s="40">
        <v>40050209</v>
      </c>
      <c r="D24" s="40" t="s">
        <v>206</v>
      </c>
      <c r="E24" s="66">
        <v>2</v>
      </c>
      <c r="F24" s="38" t="s">
        <v>13</v>
      </c>
      <c r="G24" s="40" t="s">
        <v>467</v>
      </c>
      <c r="H24" s="38" t="s">
        <v>188</v>
      </c>
      <c r="I24" s="38" t="s">
        <v>362</v>
      </c>
      <c r="J24" s="38">
        <f>IFERROR(VLOOKUP(C:C,'[1]S&amp;S'!$B:$F,5,0),)</f>
        <v>2</v>
      </c>
      <c r="K24" s="38">
        <f>IFERROR(VLOOKUP(A:A,[1]APO!$A:$F,6,0),)</f>
        <v>0</v>
      </c>
      <c r="L24" s="38">
        <f>IFERROR(VLOOKUP(C:C,'[1]TOTAL APO'!$A:$B,2,0),)</f>
        <v>0</v>
      </c>
      <c r="M24" s="38">
        <f>IFERROR(VLOOKUP(A:A,[1]Short!$A:$Q,17,0),)</f>
        <v>0</v>
      </c>
      <c r="N24" s="38">
        <f>IFERROR(VLOOKUP(C:C,[1]GIT!$B:$D,3,0),)</f>
        <v>0</v>
      </c>
      <c r="O24" s="38">
        <f>IFERROR(VLOOKUP(A:A,[2]Sheet1!$A:$B,2,0),)</f>
        <v>2</v>
      </c>
      <c r="P24" s="38">
        <f>IFERROR(VLOOKUP(A:A,[2]Sheet1!$A:$B,2,0),)</f>
        <v>2</v>
      </c>
      <c r="Q24" s="38">
        <f t="shared" si="0"/>
        <v>0</v>
      </c>
      <c r="R24" s="38"/>
      <c r="S24" s="38"/>
    </row>
    <row r="25" spans="1:19" hidden="1" x14ac:dyDescent="0.25">
      <c r="A25" s="38" t="str">
        <f>F25&amp;C25</f>
        <v>C04340037927</v>
      </c>
      <c r="B25" s="38" t="str">
        <f>IF(J25&gt;=SUMIFS(E:E,C:C,C25),"Good to go","Short in Qty")</f>
        <v>Good to go</v>
      </c>
      <c r="C25" s="40">
        <v>40037927</v>
      </c>
      <c r="D25" s="40" t="s">
        <v>524</v>
      </c>
      <c r="E25" s="66">
        <v>2</v>
      </c>
      <c r="F25" s="38" t="s">
        <v>11</v>
      </c>
      <c r="G25" s="40" t="s">
        <v>467</v>
      </c>
      <c r="H25" s="38" t="s">
        <v>84</v>
      </c>
      <c r="I25" s="38" t="s">
        <v>620</v>
      </c>
      <c r="J25" s="38">
        <f>IFERROR(VLOOKUP(C:C,'[1]S&amp;S'!$B:$F,5,0),)</f>
        <v>7.9166666666666696</v>
      </c>
      <c r="K25" s="38">
        <f>IFERROR(VLOOKUP(A:A,[1]APO!$A:$F,6,0),)</f>
        <v>0</v>
      </c>
      <c r="L25" s="38">
        <f>IFERROR(VLOOKUP(C:C,'[1]TOTAL APO'!$A:$B,2,0),)</f>
        <v>0</v>
      </c>
      <c r="M25" s="38">
        <f>IFERROR(VLOOKUP(A:A,[1]Short!$A:$Q,17,0),)</f>
        <v>0</v>
      </c>
      <c r="N25" s="38">
        <f>IFERROR(VLOOKUP(C:C,[1]GIT!$B:$D,3,0),)</f>
        <v>0</v>
      </c>
      <c r="O25" s="38">
        <f>IFERROR(VLOOKUP(A:A,[2]Sheet1!$A:$B,2,0),)</f>
        <v>2</v>
      </c>
      <c r="P25" s="38">
        <f>IFERROR(VLOOKUP(A:A,[2]Sheet1!$A:$B,2,0),)</f>
        <v>2</v>
      </c>
      <c r="Q25" s="38">
        <f t="shared" si="0"/>
        <v>0</v>
      </c>
      <c r="R25" s="38"/>
      <c r="S25" s="38"/>
    </row>
    <row r="26" spans="1:19" hidden="1" x14ac:dyDescent="0.25">
      <c r="A26" s="38" t="str">
        <f>F26&amp;C26</f>
        <v>C04840043584</v>
      </c>
      <c r="B26" s="38" t="str">
        <f>IF(J26&gt;=SUMIFS(E:E,C:C,C26),"Good to go","Short in Qty")</f>
        <v>Good to go</v>
      </c>
      <c r="C26" s="40">
        <v>40043584</v>
      </c>
      <c r="D26" s="40" t="s">
        <v>242</v>
      </c>
      <c r="E26" s="66">
        <v>10</v>
      </c>
      <c r="F26" s="38" t="s">
        <v>8</v>
      </c>
      <c r="G26" s="40" t="s">
        <v>467</v>
      </c>
      <c r="H26" s="38" t="s">
        <v>594</v>
      </c>
      <c r="I26" s="38" t="s">
        <v>595</v>
      </c>
      <c r="J26" s="38">
        <f>IFERROR(VLOOKUP(C:C,'[1]S&amp;S'!$B:$F,5,0),)</f>
        <v>1145</v>
      </c>
      <c r="K26" s="38">
        <f>IFERROR(VLOOKUP(A:A,[1]APO!$A:$F,6,0),)</f>
        <v>0</v>
      </c>
      <c r="L26" s="38">
        <f>IFERROR(VLOOKUP(C:C,'[1]TOTAL APO'!$A:$B,2,0),)</f>
        <v>0</v>
      </c>
      <c r="M26" s="38">
        <f>IFERROR(VLOOKUP(A:A,[1]Short!$A:$Q,17,0),)</f>
        <v>0</v>
      </c>
      <c r="N26" s="38">
        <f>IFERROR(VLOOKUP(C:C,[1]GIT!$B:$D,3,0),)</f>
        <v>228</v>
      </c>
      <c r="O26" s="38">
        <f>IFERROR(VLOOKUP(A:A,[2]Sheet1!$A:$B,2,0),)</f>
        <v>10</v>
      </c>
      <c r="P26" s="38">
        <f>IFERROR(VLOOKUP(A:A,[2]Sheet1!$A:$B,2,0),)</f>
        <v>10</v>
      </c>
      <c r="Q26" s="38">
        <f t="shared" si="0"/>
        <v>0</v>
      </c>
      <c r="R26" s="38"/>
      <c r="S26" s="38"/>
    </row>
    <row r="27" spans="1:19" x14ac:dyDescent="0.25">
      <c r="A27" s="38" t="str">
        <f>F27&amp;C27</f>
        <v>KT0240050629</v>
      </c>
      <c r="B27" s="38" t="str">
        <f>IF(J27&gt;=SUMIFS(E:E,C:C,C27),"Good to go","Short in Qty")</f>
        <v>Good to go</v>
      </c>
      <c r="C27" s="40">
        <v>40050629</v>
      </c>
      <c r="D27" s="40" t="s">
        <v>257</v>
      </c>
      <c r="E27" s="66">
        <v>128</v>
      </c>
      <c r="F27" s="38" t="s">
        <v>202</v>
      </c>
      <c r="G27" s="40"/>
      <c r="H27" s="38" t="s">
        <v>203</v>
      </c>
      <c r="I27" s="38" t="s">
        <v>368</v>
      </c>
      <c r="J27" s="38">
        <f>IFERROR(VLOOKUP(C:C,'[1]S&amp;S'!$B:$F,5,0),)</f>
        <v>128.60185185185199</v>
      </c>
      <c r="K27" s="38">
        <f>IFERROR(VLOOKUP(A:A,[1]APO!$A:$F,6,0),)</f>
        <v>0</v>
      </c>
      <c r="L27" s="38">
        <f>IFERROR(VLOOKUP(C:C,'[1]TOTAL APO'!$A:$B,2,0),)</f>
        <v>0</v>
      </c>
      <c r="M27" s="38">
        <f>IFERROR(VLOOKUP(A:A,[1]Short!$A:$Q,17,0),)</f>
        <v>0</v>
      </c>
      <c r="N27" s="38">
        <f>IFERROR(VLOOKUP(C:C,[1]GIT!$B:$D,3,0),)</f>
        <v>0</v>
      </c>
      <c r="O27" s="38">
        <f>IFERROR(VLOOKUP(A:A,[2]Sheet1!$A:$B,2,0),)</f>
        <v>0</v>
      </c>
      <c r="P27" s="38">
        <f>IFERROR(VLOOKUP(A:A,[2]Sheet1!$A:$B,2,0),)</f>
        <v>0</v>
      </c>
      <c r="Q27" s="38">
        <f t="shared" si="0"/>
        <v>128</v>
      </c>
      <c r="R27" s="38"/>
      <c r="S27" s="38"/>
    </row>
    <row r="28" spans="1:19" hidden="1" x14ac:dyDescent="0.25">
      <c r="A28" s="38" t="str">
        <f>F28&amp;C28</f>
        <v>C04840042204</v>
      </c>
      <c r="B28" s="38" t="str">
        <f>IF(J28&gt;=SUMIFS(E:E,C:C,C28),"Good to go","Short in Qty")</f>
        <v>Short in Qty</v>
      </c>
      <c r="C28" s="40">
        <v>40042204</v>
      </c>
      <c r="D28" s="40" t="s">
        <v>553</v>
      </c>
      <c r="E28" s="66">
        <v>10</v>
      </c>
      <c r="F28" s="38" t="s">
        <v>8</v>
      </c>
      <c r="G28" s="40" t="s">
        <v>596</v>
      </c>
      <c r="H28" s="38" t="s">
        <v>594</v>
      </c>
      <c r="I28" s="38" t="s">
        <v>595</v>
      </c>
      <c r="J28" s="38">
        <f>IFERROR(VLOOKUP(C:C,'[1]S&amp;S'!$B:$F,5,0),)</f>
        <v>2.08333333333E-3</v>
      </c>
      <c r="K28" s="38">
        <f>IFERROR(VLOOKUP(A:A,[1]APO!$A:$F,6,0),)</f>
        <v>0</v>
      </c>
      <c r="L28" s="38">
        <f>IFERROR(VLOOKUP(C:C,'[1]TOTAL APO'!$A:$B,2,0),)</f>
        <v>0</v>
      </c>
      <c r="M28" s="38">
        <f>IFERROR(VLOOKUP(A:A,[1]Short!$A:$Q,17,0),)</f>
        <v>0</v>
      </c>
      <c r="N28" s="38">
        <f>IFERROR(VLOOKUP(C:C,[1]GIT!$B:$D,3,0),)</f>
        <v>0</v>
      </c>
      <c r="O28" s="38">
        <f>IFERROR(VLOOKUP(A:A,[2]Sheet1!$A:$B,2,0),)</f>
        <v>0</v>
      </c>
      <c r="P28" s="38">
        <f>IFERROR(VLOOKUP(A:A,[2]Sheet1!$A:$B,2,0),)</f>
        <v>0</v>
      </c>
      <c r="Q28" s="38">
        <f t="shared" si="0"/>
        <v>10</v>
      </c>
      <c r="R28" s="38"/>
      <c r="S28" s="38"/>
    </row>
    <row r="29" spans="1:19" hidden="1" x14ac:dyDescent="0.25">
      <c r="A29" s="38" t="str">
        <f>F29&amp;C29</f>
        <v>C04240060029</v>
      </c>
      <c r="B29" s="38" t="str">
        <f>IF(J29&gt;=SUMIFS(E:E,C:C,C29),"Good to go","Short in Qty")</f>
        <v>Good to go</v>
      </c>
      <c r="C29" s="40">
        <v>40060029</v>
      </c>
      <c r="D29" s="40" t="s">
        <v>508</v>
      </c>
      <c r="E29" s="66">
        <v>15</v>
      </c>
      <c r="F29" s="38" t="s">
        <v>10</v>
      </c>
      <c r="G29" s="40" t="s">
        <v>467</v>
      </c>
      <c r="H29" s="38" t="s">
        <v>9</v>
      </c>
      <c r="I29" s="38" t="s">
        <v>530</v>
      </c>
      <c r="J29" s="38">
        <f>IFERROR(VLOOKUP(C:C,'[1]S&amp;S'!$B:$F,5,0),)</f>
        <v>1528</v>
      </c>
      <c r="K29" s="38">
        <f>IFERROR(VLOOKUP(A:A,[1]APO!$A:$F,6,0),)</f>
        <v>0</v>
      </c>
      <c r="L29" s="38">
        <f>IFERROR(VLOOKUP(C:C,'[1]TOTAL APO'!$A:$B,2,0),)</f>
        <v>0</v>
      </c>
      <c r="M29" s="38">
        <f>IFERROR(VLOOKUP(A:A,[1]Short!$A:$Q,17,0),)</f>
        <v>0</v>
      </c>
      <c r="N29" s="38">
        <f>IFERROR(VLOOKUP(C:C,[1]GIT!$B:$D,3,0),)</f>
        <v>0</v>
      </c>
      <c r="O29" s="38">
        <f>IFERROR(VLOOKUP(A:A,[2]Sheet1!$A:$B,2,0),)</f>
        <v>15</v>
      </c>
      <c r="P29" s="38">
        <f>IFERROR(VLOOKUP(A:A,[2]Sheet1!$A:$B,2,0),)</f>
        <v>15</v>
      </c>
      <c r="Q29" s="38">
        <f t="shared" si="0"/>
        <v>0</v>
      </c>
      <c r="R29" s="38"/>
      <c r="S29" s="38"/>
    </row>
    <row r="30" spans="1:19" hidden="1" x14ac:dyDescent="0.25">
      <c r="A30" s="38" t="str">
        <f>F30&amp;C30</f>
        <v>C04640057084</v>
      </c>
      <c r="B30" s="38" t="str">
        <f>IF(J30&gt;=SUMIFS(E:E,C:C,C30),"Good to go","Short in Qty")</f>
        <v>Good to go</v>
      </c>
      <c r="C30" s="40">
        <v>40057084</v>
      </c>
      <c r="D30" s="40" t="s">
        <v>208</v>
      </c>
      <c r="E30" s="66">
        <v>4</v>
      </c>
      <c r="F30" s="38" t="s">
        <v>13</v>
      </c>
      <c r="G30" s="40" t="s">
        <v>467</v>
      </c>
      <c r="H30" s="38" t="s">
        <v>188</v>
      </c>
      <c r="I30" s="38" t="s">
        <v>362</v>
      </c>
      <c r="J30" s="38">
        <f>IFERROR(VLOOKUP(C:C,'[1]S&amp;S'!$B:$F,5,0),)</f>
        <v>24</v>
      </c>
      <c r="K30" s="38">
        <f>IFERROR(VLOOKUP(A:A,[1]APO!$A:$F,6,0),)</f>
        <v>0</v>
      </c>
      <c r="L30" s="38">
        <f>IFERROR(VLOOKUP(C:C,'[1]TOTAL APO'!$A:$B,2,0),)</f>
        <v>0</v>
      </c>
      <c r="M30" s="38">
        <f>IFERROR(VLOOKUP(A:A,[1]Short!$A:$Q,17,0),)</f>
        <v>0</v>
      </c>
      <c r="N30" s="38">
        <f>IFERROR(VLOOKUP(C:C,[1]GIT!$B:$D,3,0),)</f>
        <v>0</v>
      </c>
      <c r="O30" s="38">
        <f>IFERROR(VLOOKUP(A:A,[2]Sheet1!$A:$B,2,0),)</f>
        <v>4</v>
      </c>
      <c r="P30" s="38">
        <f>IFERROR(VLOOKUP(A:A,[2]Sheet1!$A:$B,2,0),)</f>
        <v>4</v>
      </c>
      <c r="Q30" s="38">
        <f t="shared" si="0"/>
        <v>0</v>
      </c>
      <c r="R30" s="38"/>
      <c r="S30" s="38"/>
    </row>
    <row r="31" spans="1:19" hidden="1" x14ac:dyDescent="0.25">
      <c r="A31" s="38" t="str">
        <f>F31&amp;C31</f>
        <v>C04640057095</v>
      </c>
      <c r="B31" s="38" t="str">
        <f>IF(J31&gt;=SUMIFS(E:E,C:C,C31),"Good to go","Short in Qty")</f>
        <v>Good to go</v>
      </c>
      <c r="C31" s="40">
        <v>40057095</v>
      </c>
      <c r="D31" s="40" t="s">
        <v>209</v>
      </c>
      <c r="E31" s="66">
        <v>2</v>
      </c>
      <c r="F31" s="38" t="s">
        <v>13</v>
      </c>
      <c r="G31" s="40" t="s">
        <v>467</v>
      </c>
      <c r="H31" s="38" t="s">
        <v>188</v>
      </c>
      <c r="I31" s="38" t="s">
        <v>362</v>
      </c>
      <c r="J31" s="38">
        <f>IFERROR(VLOOKUP(C:C,'[1]S&amp;S'!$B:$F,5,0),)</f>
        <v>16</v>
      </c>
      <c r="K31" s="38">
        <f>IFERROR(VLOOKUP(A:A,[1]APO!$A:$F,6,0),)</f>
        <v>0</v>
      </c>
      <c r="L31" s="38">
        <f>IFERROR(VLOOKUP(C:C,'[1]TOTAL APO'!$A:$B,2,0),)</f>
        <v>0</v>
      </c>
      <c r="M31" s="38">
        <f>IFERROR(VLOOKUP(A:A,[1]Short!$A:$Q,17,0),)</f>
        <v>0</v>
      </c>
      <c r="N31" s="38">
        <f>IFERROR(VLOOKUP(C:C,[1]GIT!$B:$D,3,0),)</f>
        <v>0</v>
      </c>
      <c r="O31" s="38">
        <f>IFERROR(VLOOKUP(A:A,[2]Sheet1!$A:$B,2,0),)</f>
        <v>2</v>
      </c>
      <c r="P31" s="38">
        <f>IFERROR(VLOOKUP(A:A,[2]Sheet1!$A:$B,2,0),)</f>
        <v>2</v>
      </c>
      <c r="Q31" s="38">
        <f t="shared" si="0"/>
        <v>0</v>
      </c>
      <c r="R31" s="38"/>
      <c r="S31" s="38"/>
    </row>
    <row r="32" spans="1:19" hidden="1" x14ac:dyDescent="0.25">
      <c r="A32" s="38" t="str">
        <f>F32&amp;C32</f>
        <v>C04640057096</v>
      </c>
      <c r="B32" s="38" t="str">
        <f>IF(J32&gt;=SUMIFS(E:E,C:C,C32),"Good to go","Short in Qty")</f>
        <v>Good to go</v>
      </c>
      <c r="C32" s="40">
        <v>40057096</v>
      </c>
      <c r="D32" s="40" t="s">
        <v>210</v>
      </c>
      <c r="E32" s="66">
        <v>2</v>
      </c>
      <c r="F32" s="38" t="s">
        <v>13</v>
      </c>
      <c r="G32" s="40" t="s">
        <v>467</v>
      </c>
      <c r="H32" s="38" t="s">
        <v>188</v>
      </c>
      <c r="I32" s="38" t="s">
        <v>362</v>
      </c>
      <c r="J32" s="38">
        <f>IFERROR(VLOOKUP(C:C,'[1]S&amp;S'!$B:$F,5,0),)</f>
        <v>14</v>
      </c>
      <c r="K32" s="38">
        <f>IFERROR(VLOOKUP(A:A,[1]APO!$A:$F,6,0),)</f>
        <v>0</v>
      </c>
      <c r="L32" s="38">
        <f>IFERROR(VLOOKUP(C:C,'[1]TOTAL APO'!$A:$B,2,0),)</f>
        <v>0</v>
      </c>
      <c r="M32" s="38">
        <f>IFERROR(VLOOKUP(A:A,[1]Short!$A:$Q,17,0),)</f>
        <v>0</v>
      </c>
      <c r="N32" s="38">
        <f>IFERROR(VLOOKUP(C:C,[1]GIT!$B:$D,3,0),)</f>
        <v>0</v>
      </c>
      <c r="O32" s="38">
        <f>IFERROR(VLOOKUP(A:A,[2]Sheet1!$A:$B,2,0),)</f>
        <v>2</v>
      </c>
      <c r="P32" s="38">
        <f>IFERROR(VLOOKUP(A:A,[2]Sheet1!$A:$B,2,0),)</f>
        <v>2</v>
      </c>
      <c r="Q32" s="38">
        <f t="shared" si="0"/>
        <v>0</v>
      </c>
      <c r="R32" s="38"/>
      <c r="S32" s="38"/>
    </row>
    <row r="33" spans="1:19" hidden="1" x14ac:dyDescent="0.25">
      <c r="A33" s="38" t="str">
        <f>F33&amp;C33</f>
        <v>C04640057097</v>
      </c>
      <c r="B33" s="38" t="str">
        <f>IF(J33&gt;=SUMIFS(E:E,C:C,C33),"Good to go","Short in Qty")</f>
        <v>Good to go</v>
      </c>
      <c r="C33" s="40">
        <v>40057097</v>
      </c>
      <c r="D33" s="40" t="s">
        <v>211</v>
      </c>
      <c r="E33" s="66">
        <v>3</v>
      </c>
      <c r="F33" s="38" t="s">
        <v>13</v>
      </c>
      <c r="G33" s="40" t="s">
        <v>467</v>
      </c>
      <c r="H33" s="38" t="s">
        <v>188</v>
      </c>
      <c r="I33" s="38" t="s">
        <v>362</v>
      </c>
      <c r="J33" s="38">
        <f>IFERROR(VLOOKUP(C:C,'[1]S&amp;S'!$B:$F,5,0),)</f>
        <v>15</v>
      </c>
      <c r="K33" s="38">
        <f>IFERROR(VLOOKUP(A:A,[1]APO!$A:$F,6,0),)</f>
        <v>0</v>
      </c>
      <c r="L33" s="38">
        <f>IFERROR(VLOOKUP(C:C,'[1]TOTAL APO'!$A:$B,2,0),)</f>
        <v>0</v>
      </c>
      <c r="M33" s="38">
        <f>IFERROR(VLOOKUP(A:A,[1]Short!$A:$Q,17,0),)</f>
        <v>0</v>
      </c>
      <c r="N33" s="38">
        <f>IFERROR(VLOOKUP(C:C,[1]GIT!$B:$D,3,0),)</f>
        <v>0</v>
      </c>
      <c r="O33" s="38">
        <f>IFERROR(VLOOKUP(A:A,[2]Sheet1!$A:$B,2,0),)</f>
        <v>3</v>
      </c>
      <c r="P33" s="38">
        <f>IFERROR(VLOOKUP(A:A,[2]Sheet1!$A:$B,2,0),)</f>
        <v>3</v>
      </c>
      <c r="Q33" s="38">
        <f t="shared" si="0"/>
        <v>0</v>
      </c>
      <c r="R33" s="38"/>
      <c r="S33" s="38"/>
    </row>
    <row r="34" spans="1:19" hidden="1" x14ac:dyDescent="0.25">
      <c r="A34" s="38" t="str">
        <f>F34&amp;C34</f>
        <v>C04240043461</v>
      </c>
      <c r="B34" s="38" t="str">
        <f>IF(J34&gt;=SUMIFS(E:E,C:C,C34),"Good to go","Short in Qty")</f>
        <v>Short in Qty</v>
      </c>
      <c r="C34" s="40">
        <v>40043461</v>
      </c>
      <c r="D34" s="40" t="s">
        <v>578</v>
      </c>
      <c r="E34" s="66">
        <v>20</v>
      </c>
      <c r="F34" s="38" t="s">
        <v>10</v>
      </c>
      <c r="G34" s="40" t="s">
        <v>596</v>
      </c>
      <c r="H34" s="38" t="s">
        <v>594</v>
      </c>
      <c r="I34" s="38" t="s">
        <v>595</v>
      </c>
      <c r="J34" s="38">
        <f>IFERROR(VLOOKUP(C:C,'[1]S&amp;S'!$B:$F,5,0),)</f>
        <v>1</v>
      </c>
      <c r="K34" s="38">
        <f>IFERROR(VLOOKUP(A:A,[1]APO!$A:$F,6,0),)</f>
        <v>0</v>
      </c>
      <c r="L34" s="38">
        <f>IFERROR(VLOOKUP(C:C,'[1]TOTAL APO'!$A:$B,2,0),)</f>
        <v>0</v>
      </c>
      <c r="M34" s="38">
        <f>IFERROR(VLOOKUP(A:A,[1]Short!$A:$Q,17,0),)</f>
        <v>0</v>
      </c>
      <c r="N34" s="38">
        <f>IFERROR(VLOOKUP(C:C,[1]GIT!$B:$D,3,0),)</f>
        <v>0</v>
      </c>
      <c r="O34" s="38">
        <f>IFERROR(VLOOKUP(A:A,[2]Sheet1!$A:$B,2,0),)</f>
        <v>0</v>
      </c>
      <c r="P34" s="38">
        <f>IFERROR(VLOOKUP(A:A,[2]Sheet1!$A:$B,2,0),)</f>
        <v>0</v>
      </c>
      <c r="Q34" s="38">
        <f t="shared" si="0"/>
        <v>20</v>
      </c>
      <c r="R34" s="38"/>
      <c r="S34" s="38"/>
    </row>
    <row r="35" spans="1:19" x14ac:dyDescent="0.25">
      <c r="A35" s="38" t="str">
        <f>F35&amp;C35</f>
        <v>C13140057406</v>
      </c>
      <c r="B35" s="38" t="str">
        <f>IF(J35&gt;=SUMIFS(E:E,C:C,C35),"Good to go","Short in Qty")</f>
        <v>Good to go</v>
      </c>
      <c r="C35" s="40">
        <v>40057406</v>
      </c>
      <c r="D35" s="40" t="s">
        <v>212</v>
      </c>
      <c r="E35" s="66">
        <v>7</v>
      </c>
      <c r="F35" s="38" t="s">
        <v>17</v>
      </c>
      <c r="G35" s="40" t="s">
        <v>195</v>
      </c>
      <c r="H35" s="38" t="s">
        <v>213</v>
      </c>
      <c r="I35" s="38" t="s">
        <v>370</v>
      </c>
      <c r="J35" s="38">
        <f>IFERROR(VLOOKUP(C:C,'[1]S&amp;S'!$B:$F,5,0),)</f>
        <v>7</v>
      </c>
      <c r="K35" s="38">
        <f>IFERROR(VLOOKUP(A:A,[1]APO!$A:$F,6,0),)</f>
        <v>0</v>
      </c>
      <c r="L35" s="38">
        <f>IFERROR(VLOOKUP(C:C,'[1]TOTAL APO'!$A:$B,2,0),)</f>
        <v>0</v>
      </c>
      <c r="M35" s="38">
        <f>IFERROR(VLOOKUP(A:A,[1]Short!$A:$Q,17,0),)</f>
        <v>0</v>
      </c>
      <c r="N35" s="38">
        <f>IFERROR(VLOOKUP(C:C,[1]GIT!$B:$D,3,0),)</f>
        <v>0</v>
      </c>
      <c r="O35" s="38">
        <f>IFERROR(VLOOKUP(A:A,[2]Sheet1!$A:$B,2,0),)</f>
        <v>0</v>
      </c>
      <c r="P35" s="38">
        <f>IFERROR(VLOOKUP(A:A,[2]Sheet1!$A:$B,2,0),)</f>
        <v>0</v>
      </c>
      <c r="Q35" s="38">
        <f t="shared" si="0"/>
        <v>7</v>
      </c>
      <c r="R35" s="38"/>
      <c r="S35" s="38"/>
    </row>
    <row r="36" spans="1:19" hidden="1" x14ac:dyDescent="0.25">
      <c r="A36" s="38" t="str">
        <f>F36&amp;C36</f>
        <v>C13140057975</v>
      </c>
      <c r="B36" s="38" t="str">
        <f>IF(J36&gt;=SUMIFS(E:E,C:C,C36),"Good to go","Short in Qty")</f>
        <v>Good to go</v>
      </c>
      <c r="C36" s="40">
        <v>40057975</v>
      </c>
      <c r="D36" s="40" t="s">
        <v>481</v>
      </c>
      <c r="E36" s="67">
        <v>150</v>
      </c>
      <c r="F36" s="38" t="s">
        <v>17</v>
      </c>
      <c r="G36" s="40" t="s">
        <v>467</v>
      </c>
      <c r="H36" s="38" t="s">
        <v>213</v>
      </c>
      <c r="I36" s="38" t="s">
        <v>482</v>
      </c>
      <c r="J36" s="38">
        <f>IFERROR(VLOOKUP(C:C,'[1]S&amp;S'!$B:$F,5,0),)</f>
        <v>295</v>
      </c>
      <c r="K36" s="38">
        <f>IFERROR(VLOOKUP(A:A,[1]APO!$A:$F,6,0),)</f>
        <v>0</v>
      </c>
      <c r="L36" s="38">
        <f>IFERROR(VLOOKUP(C:C,'[1]TOTAL APO'!$A:$B,2,0),)</f>
        <v>0</v>
      </c>
      <c r="M36" s="38">
        <f>IFERROR(VLOOKUP(A:A,[1]Short!$A:$Q,17,0),)</f>
        <v>0</v>
      </c>
      <c r="N36" s="38">
        <f>IFERROR(VLOOKUP(C:C,[1]GIT!$B:$D,3,0),)</f>
        <v>0</v>
      </c>
      <c r="O36" s="38">
        <f>IFERROR(VLOOKUP(A:A,[2]Sheet1!$A:$B,2,0),)</f>
        <v>150</v>
      </c>
      <c r="P36" s="38">
        <f>IFERROR(VLOOKUP(A:A,[2]Sheet1!$A:$B,2,0),)</f>
        <v>150</v>
      </c>
      <c r="Q36" s="38">
        <f t="shared" si="0"/>
        <v>0</v>
      </c>
      <c r="R36" s="38"/>
      <c r="S36" s="38"/>
    </row>
    <row r="37" spans="1:19" hidden="1" x14ac:dyDescent="0.25">
      <c r="A37" s="38" t="str">
        <f>F37&amp;C37</f>
        <v>C04340043461</v>
      </c>
      <c r="B37" s="38" t="str">
        <f>IF(J37&gt;=SUMIFS(E:E,C:C,C37),"Good to go","Short in Qty")</f>
        <v>Short in Qty</v>
      </c>
      <c r="C37" s="40">
        <v>40043461</v>
      </c>
      <c r="D37" s="40" t="s">
        <v>578</v>
      </c>
      <c r="E37" s="66">
        <v>5</v>
      </c>
      <c r="F37" s="38" t="s">
        <v>11</v>
      </c>
      <c r="G37" s="40" t="s">
        <v>195</v>
      </c>
      <c r="H37" s="38" t="s">
        <v>594</v>
      </c>
      <c r="I37" s="38" t="s">
        <v>595</v>
      </c>
      <c r="J37" s="38">
        <f>IFERROR(VLOOKUP(C:C,'[1]S&amp;S'!$B:$F,5,0),)</f>
        <v>1</v>
      </c>
      <c r="K37" s="38">
        <f>IFERROR(VLOOKUP(A:A,[1]APO!$A:$F,6,0),)</f>
        <v>0</v>
      </c>
      <c r="L37" s="38">
        <f>IFERROR(VLOOKUP(C:C,'[1]TOTAL APO'!$A:$B,2,0),)</f>
        <v>0</v>
      </c>
      <c r="M37" s="38">
        <f>IFERROR(VLOOKUP(A:A,[1]Short!$A:$Q,17,0),)</f>
        <v>0</v>
      </c>
      <c r="N37" s="38">
        <f>IFERROR(VLOOKUP(C:C,[1]GIT!$B:$D,3,0),)</f>
        <v>0</v>
      </c>
      <c r="O37" s="38">
        <f>IFERROR(VLOOKUP(A:A,[2]Sheet1!$A:$B,2,0),)</f>
        <v>0</v>
      </c>
      <c r="P37" s="38">
        <f>IFERROR(VLOOKUP(A:A,[2]Sheet1!$A:$B,2,0),)</f>
        <v>0</v>
      </c>
      <c r="Q37" s="38">
        <f t="shared" si="0"/>
        <v>5</v>
      </c>
      <c r="R37" s="38"/>
      <c r="S37" s="38"/>
    </row>
    <row r="38" spans="1:19" hidden="1" x14ac:dyDescent="0.25">
      <c r="A38" s="38" t="str">
        <f>F38&amp;C38</f>
        <v>C04840062265</v>
      </c>
      <c r="B38" s="38" t="str">
        <f>IF(J38&gt;=SUMIFS(E:E,C:C,C38),"Good to go","Short in Qty")</f>
        <v>Good to go</v>
      </c>
      <c r="C38" s="40">
        <v>40062265</v>
      </c>
      <c r="D38" s="40" t="s">
        <v>443</v>
      </c>
      <c r="E38" s="66">
        <v>50</v>
      </c>
      <c r="F38" s="38" t="s">
        <v>8</v>
      </c>
      <c r="G38" s="40" t="s">
        <v>467</v>
      </c>
      <c r="H38" s="38" t="s">
        <v>594</v>
      </c>
      <c r="I38" s="38" t="s">
        <v>595</v>
      </c>
      <c r="J38" s="38">
        <f>IFERROR(VLOOKUP(C:C,'[1]S&amp;S'!$B:$F,5,0),)</f>
        <v>352.99944444444401</v>
      </c>
      <c r="K38" s="38">
        <f>IFERROR(VLOOKUP(A:A,[1]APO!$A:$F,6,0),)</f>
        <v>0</v>
      </c>
      <c r="L38" s="38">
        <f>IFERROR(VLOOKUP(C:C,'[1]TOTAL APO'!$A:$B,2,0),)</f>
        <v>0</v>
      </c>
      <c r="M38" s="38">
        <f>IFERROR(VLOOKUP(A:A,[1]Short!$A:$Q,17,0),)</f>
        <v>0</v>
      </c>
      <c r="N38" s="38">
        <f>IFERROR(VLOOKUP(C:C,[1]GIT!$B:$D,3,0),)</f>
        <v>0</v>
      </c>
      <c r="O38" s="38">
        <f>IFERROR(VLOOKUP(A:A,[2]Sheet1!$A:$B,2,0),)</f>
        <v>50</v>
      </c>
      <c r="P38" s="38">
        <f>IFERROR(VLOOKUP(A:A,[2]Sheet1!$A:$B,2,0),)</f>
        <v>50</v>
      </c>
      <c r="Q38" s="38">
        <f t="shared" si="0"/>
        <v>0</v>
      </c>
      <c r="R38" s="38">
        <v>1</v>
      </c>
      <c r="S38" s="38"/>
    </row>
    <row r="39" spans="1:19" x14ac:dyDescent="0.25">
      <c r="A39" s="38" t="str">
        <f>F39&amp;C39</f>
        <v>C04640058547</v>
      </c>
      <c r="B39" s="38" t="str">
        <f>IF(J39&gt;=SUMIFS(E:E,C:C,C39),"Good to go","Short in Qty")</f>
        <v>Good to go</v>
      </c>
      <c r="C39" s="40">
        <v>40058547</v>
      </c>
      <c r="D39" s="40" t="s">
        <v>219</v>
      </c>
      <c r="E39" s="66">
        <v>1</v>
      </c>
      <c r="F39" s="38" t="s">
        <v>13</v>
      </c>
      <c r="G39" s="40" t="s">
        <v>467</v>
      </c>
      <c r="H39" s="38" t="s">
        <v>151</v>
      </c>
      <c r="I39" s="38" t="s">
        <v>369</v>
      </c>
      <c r="J39" s="38">
        <f>IFERROR(VLOOKUP(C:C,'[1]S&amp;S'!$B:$F,5,0),)</f>
        <v>2</v>
      </c>
      <c r="K39" s="38">
        <f>IFERROR(VLOOKUP(A:A,[1]APO!$A:$F,6,0),)</f>
        <v>0</v>
      </c>
      <c r="L39" s="38">
        <f>IFERROR(VLOOKUP(C:C,'[1]TOTAL APO'!$A:$B,2,0),)</f>
        <v>0</v>
      </c>
      <c r="M39" s="38">
        <f>IFERROR(VLOOKUP(A:A,[1]Short!$A:$Q,17,0),)</f>
        <v>0</v>
      </c>
      <c r="N39" s="38">
        <f>IFERROR(VLOOKUP(C:C,[1]GIT!$B:$D,3,0),)</f>
        <v>0</v>
      </c>
      <c r="O39" s="38">
        <f>IFERROR(VLOOKUP(A:A,[2]Sheet1!$A:$B,2,0),)</f>
        <v>0</v>
      </c>
      <c r="P39" s="38">
        <f>IFERROR(VLOOKUP(A:A,[2]Sheet1!$A:$B,2,0),)</f>
        <v>0</v>
      </c>
      <c r="Q39" s="38">
        <f t="shared" si="0"/>
        <v>1</v>
      </c>
      <c r="R39" s="38"/>
      <c r="S39" s="38"/>
    </row>
    <row r="40" spans="1:19" x14ac:dyDescent="0.25">
      <c r="A40" s="38" t="str">
        <f>F40&amp;C40</f>
        <v>C04340058547</v>
      </c>
      <c r="B40" s="38" t="str">
        <f>IF(J40&gt;=SUMIFS(E:E,C:C,C40),"Good to go","Short in Qty")</f>
        <v>Good to go</v>
      </c>
      <c r="C40" s="40">
        <v>40058547</v>
      </c>
      <c r="D40" s="40" t="s">
        <v>219</v>
      </c>
      <c r="E40" s="66">
        <v>1</v>
      </c>
      <c r="F40" s="38" t="s">
        <v>11</v>
      </c>
      <c r="G40" s="40" t="s">
        <v>467</v>
      </c>
      <c r="H40" s="38" t="s">
        <v>151</v>
      </c>
      <c r="I40" s="38" t="s">
        <v>369</v>
      </c>
      <c r="J40" s="38">
        <f>IFERROR(VLOOKUP(C:C,'[1]S&amp;S'!$B:$F,5,0),)</f>
        <v>2</v>
      </c>
      <c r="K40" s="38">
        <f>IFERROR(VLOOKUP(A:A,[1]APO!$A:$F,6,0),)</f>
        <v>0</v>
      </c>
      <c r="L40" s="38">
        <f>IFERROR(VLOOKUP(C:C,'[1]TOTAL APO'!$A:$B,2,0),)</f>
        <v>0</v>
      </c>
      <c r="M40" s="38">
        <f>IFERROR(VLOOKUP(A:A,[1]Short!$A:$Q,17,0),)</f>
        <v>0</v>
      </c>
      <c r="N40" s="38">
        <f>IFERROR(VLOOKUP(C:C,[1]GIT!$B:$D,3,0),)</f>
        <v>0</v>
      </c>
      <c r="O40" s="38">
        <f>IFERROR(VLOOKUP(A:A,[2]Sheet1!$A:$B,2,0),)</f>
        <v>0</v>
      </c>
      <c r="P40" s="38">
        <f>IFERROR(VLOOKUP(A:A,[2]Sheet1!$A:$B,2,0),)</f>
        <v>0</v>
      </c>
      <c r="Q40" s="38">
        <f t="shared" si="0"/>
        <v>1</v>
      </c>
      <c r="R40" s="38"/>
      <c r="S40" s="38"/>
    </row>
    <row r="41" spans="1:19" hidden="1" x14ac:dyDescent="0.25">
      <c r="A41" s="38" t="str">
        <f>F41&amp;C41</f>
        <v>C04840060029</v>
      </c>
      <c r="B41" s="38" t="str">
        <f>IF(J41&gt;=SUMIFS(E:E,C:C,C41),"Good to go","Short in Qty")</f>
        <v>Good to go</v>
      </c>
      <c r="C41" s="40">
        <v>40060029</v>
      </c>
      <c r="D41" s="40" t="s">
        <v>508</v>
      </c>
      <c r="E41" s="66">
        <v>35</v>
      </c>
      <c r="F41" s="38" t="s">
        <v>8</v>
      </c>
      <c r="G41" s="73" t="s">
        <v>467</v>
      </c>
      <c r="H41" s="38" t="s">
        <v>84</v>
      </c>
      <c r="I41" s="38" t="s">
        <v>620</v>
      </c>
      <c r="J41" s="38">
        <f>IFERROR(VLOOKUP(C:C,'[1]S&amp;S'!$B:$F,5,0),)</f>
        <v>1528</v>
      </c>
      <c r="K41" s="38">
        <f>IFERROR(VLOOKUP(A:A,[1]APO!$A:$F,6,0),)</f>
        <v>0</v>
      </c>
      <c r="L41" s="38">
        <f>IFERROR(VLOOKUP(C:C,'[1]TOTAL APO'!$A:$B,2,0),)</f>
        <v>0</v>
      </c>
      <c r="M41" s="38">
        <f>IFERROR(VLOOKUP(A:A,[1]Short!$A:$Q,17,0),)</f>
        <v>0</v>
      </c>
      <c r="N41" s="38">
        <f>IFERROR(VLOOKUP(C:C,[1]GIT!$B:$D,3,0),)</f>
        <v>0</v>
      </c>
      <c r="O41" s="38">
        <f>IFERROR(VLOOKUP(A:A,[2]Sheet1!$A:$B,2,0),)</f>
        <v>35</v>
      </c>
      <c r="P41" s="38">
        <f>IFERROR(VLOOKUP(A:A,[2]Sheet1!$A:$B,2,0),)</f>
        <v>35</v>
      </c>
      <c r="Q41" s="38">
        <f t="shared" si="0"/>
        <v>0</v>
      </c>
      <c r="R41" s="38"/>
      <c r="S41" s="38"/>
    </row>
    <row r="42" spans="1:19" hidden="1" x14ac:dyDescent="0.25">
      <c r="A42" s="38" t="str">
        <f>F42&amp;C42</f>
        <v>C04240062345</v>
      </c>
      <c r="B42" s="38" t="str">
        <f>IF(J42&gt;=SUMIFS(E:E,C:C,C42),"Good to go","Short in Qty")</f>
        <v>Good to go</v>
      </c>
      <c r="C42" s="40">
        <v>40062345</v>
      </c>
      <c r="D42" s="40" t="s">
        <v>507</v>
      </c>
      <c r="E42" s="66">
        <v>10</v>
      </c>
      <c r="F42" s="38" t="s">
        <v>10</v>
      </c>
      <c r="G42" s="40" t="s">
        <v>467</v>
      </c>
      <c r="H42" s="38" t="s">
        <v>9</v>
      </c>
      <c r="I42" s="38" t="s">
        <v>530</v>
      </c>
      <c r="J42" s="38">
        <f>IFERROR(VLOOKUP(C:C,'[1]S&amp;S'!$B:$F,5,0),)</f>
        <v>143</v>
      </c>
      <c r="K42" s="38">
        <f>IFERROR(VLOOKUP(A:A,[1]APO!$A:$F,6,0),)</f>
        <v>0</v>
      </c>
      <c r="L42" s="38">
        <f>IFERROR(VLOOKUP(C:C,'[1]TOTAL APO'!$A:$B,2,0),)</f>
        <v>0</v>
      </c>
      <c r="M42" s="38">
        <f>IFERROR(VLOOKUP(A:A,[1]Short!$A:$Q,17,0),)</f>
        <v>0</v>
      </c>
      <c r="N42" s="38">
        <f>IFERROR(VLOOKUP(C:C,[1]GIT!$B:$D,3,0),)</f>
        <v>0</v>
      </c>
      <c r="O42" s="38">
        <f>IFERROR(VLOOKUP(A:A,[2]Sheet1!$A:$B,2,0),)</f>
        <v>10</v>
      </c>
      <c r="P42" s="38">
        <f>IFERROR(VLOOKUP(A:A,[2]Sheet1!$A:$B,2,0),)</f>
        <v>10</v>
      </c>
      <c r="Q42" s="38">
        <f t="shared" si="0"/>
        <v>0</v>
      </c>
      <c r="R42" s="38"/>
      <c r="S42" s="38"/>
    </row>
    <row r="43" spans="1:19" hidden="1" x14ac:dyDescent="0.25">
      <c r="A43" s="38" t="str">
        <f>F43&amp;C43</f>
        <v>C04640058612</v>
      </c>
      <c r="B43" s="38" t="str">
        <f>IF(J43&gt;=SUMIFS(E:E,C:C,C43),"Good to go","Short in Qty")</f>
        <v>Good to go</v>
      </c>
      <c r="C43" s="40">
        <v>40058612</v>
      </c>
      <c r="D43" s="40" t="s">
        <v>321</v>
      </c>
      <c r="E43" s="66">
        <v>2</v>
      </c>
      <c r="F43" s="38" t="s">
        <v>13</v>
      </c>
      <c r="G43" s="40" t="s">
        <v>467</v>
      </c>
      <c r="H43" s="38" t="s">
        <v>151</v>
      </c>
      <c r="I43" s="38" t="s">
        <v>369</v>
      </c>
      <c r="J43" s="38">
        <f>IFERROR(VLOOKUP(C:C,'[1]S&amp;S'!$B:$F,5,0),)</f>
        <v>16</v>
      </c>
      <c r="K43" s="38">
        <f>IFERROR(VLOOKUP(A:A,[1]APO!$A:$F,6,0),)</f>
        <v>0</v>
      </c>
      <c r="L43" s="38">
        <f>IFERROR(VLOOKUP(C:C,'[1]TOTAL APO'!$A:$B,2,0),)</f>
        <v>0</v>
      </c>
      <c r="M43" s="38">
        <f>IFERROR(VLOOKUP(A:A,[1]Short!$A:$Q,17,0),)</f>
        <v>0</v>
      </c>
      <c r="N43" s="38">
        <f>IFERROR(VLOOKUP(C:C,[1]GIT!$B:$D,3,0),)</f>
        <v>0</v>
      </c>
      <c r="O43" s="38">
        <f>IFERROR(VLOOKUP(A:A,[2]Sheet1!$A:$B,2,0),)</f>
        <v>2</v>
      </c>
      <c r="P43" s="38">
        <f>IFERROR(VLOOKUP(A:A,[2]Sheet1!$A:$B,2,0),)</f>
        <v>2</v>
      </c>
      <c r="Q43" s="38">
        <f t="shared" si="0"/>
        <v>0</v>
      </c>
      <c r="R43" s="38"/>
      <c r="S43" s="38"/>
    </row>
    <row r="44" spans="1:19" hidden="1" x14ac:dyDescent="0.25">
      <c r="A44" s="38" t="str">
        <f>F44&amp;C44</f>
        <v>C04840060034</v>
      </c>
      <c r="B44" s="38" t="str">
        <f>IF(J44&gt;=SUMIFS(E:E,C:C,C44),"Good to go","Short in Qty")</f>
        <v>Short in Qty</v>
      </c>
      <c r="C44" s="40">
        <v>40060034</v>
      </c>
      <c r="D44" s="40" t="s">
        <v>463</v>
      </c>
      <c r="E44" s="66">
        <v>200</v>
      </c>
      <c r="F44" s="38" t="s">
        <v>8</v>
      </c>
      <c r="G44" s="73">
        <v>200</v>
      </c>
      <c r="H44" s="38" t="s">
        <v>9</v>
      </c>
      <c r="I44" s="38" t="s">
        <v>530</v>
      </c>
      <c r="J44" s="38">
        <f>IFERROR(VLOOKUP(C:C,'[1]S&amp;S'!$B:$F,5,0),)</f>
        <v>679.33333333333303</v>
      </c>
      <c r="K44" s="38">
        <f>IFERROR(VLOOKUP(A:A,[1]APO!$A:$F,6,0),)</f>
        <v>0</v>
      </c>
      <c r="L44" s="38">
        <f>IFERROR(VLOOKUP(C:C,'[1]TOTAL APO'!$A:$B,2,0),)</f>
        <v>0</v>
      </c>
      <c r="M44" s="38">
        <f>IFERROR(VLOOKUP(A:A,[1]Short!$A:$Q,17,0),)</f>
        <v>0</v>
      </c>
      <c r="N44" s="38">
        <f>IFERROR(VLOOKUP(C:C,[1]GIT!$B:$D,3,0),)</f>
        <v>0</v>
      </c>
      <c r="O44" s="38">
        <f>IFERROR(VLOOKUP(A:A,[2]Sheet1!$A:$B,2,0),)</f>
        <v>200</v>
      </c>
      <c r="P44" s="38">
        <f>IFERROR(VLOOKUP(A:A,[2]Sheet1!$A:$B,2,0),)</f>
        <v>200</v>
      </c>
      <c r="Q44" s="38">
        <f t="shared" si="0"/>
        <v>0</v>
      </c>
      <c r="R44" s="38"/>
      <c r="S44" s="38"/>
    </row>
    <row r="45" spans="1:19" x14ac:dyDescent="0.25">
      <c r="A45" s="38" t="str">
        <f>F45&amp;C45</f>
        <v>C04640059400</v>
      </c>
      <c r="B45" s="38" t="str">
        <f>IF(J45&gt;=SUMIFS(E:E,C:C,C45),"Good to go","Short in Qty")</f>
        <v>Good to go</v>
      </c>
      <c r="C45" s="40">
        <v>40059400</v>
      </c>
      <c r="D45" s="40" t="s">
        <v>215</v>
      </c>
      <c r="E45" s="66">
        <v>1</v>
      </c>
      <c r="F45" s="38" t="s">
        <v>13</v>
      </c>
      <c r="G45" s="40" t="s">
        <v>467</v>
      </c>
      <c r="H45" s="38" t="s">
        <v>151</v>
      </c>
      <c r="I45" s="38" t="s">
        <v>372</v>
      </c>
      <c r="J45" s="38">
        <f>IFERROR(VLOOKUP(C:C,'[1]S&amp;S'!$B:$F,5,0),)</f>
        <v>1</v>
      </c>
      <c r="K45" s="38">
        <f>IFERROR(VLOOKUP(A:A,[1]APO!$A:$F,6,0),)</f>
        <v>0</v>
      </c>
      <c r="L45" s="38">
        <f>IFERROR(VLOOKUP(C:C,'[1]TOTAL APO'!$A:$B,2,0),)</f>
        <v>0</v>
      </c>
      <c r="M45" s="38">
        <f>IFERROR(VLOOKUP(A:A,[1]Short!$A:$Q,17,0),)</f>
        <v>0</v>
      </c>
      <c r="N45" s="38">
        <f>IFERROR(VLOOKUP(C:C,[1]GIT!$B:$D,3,0),)</f>
        <v>0</v>
      </c>
      <c r="O45" s="38">
        <f>IFERROR(VLOOKUP(A:A,[2]Sheet1!$A:$B,2,0),)</f>
        <v>0</v>
      </c>
      <c r="P45" s="38">
        <f>IFERROR(VLOOKUP(A:A,[2]Sheet1!$A:$B,2,0),)</f>
        <v>0</v>
      </c>
      <c r="Q45" s="38">
        <f t="shared" si="0"/>
        <v>1</v>
      </c>
      <c r="R45" s="38"/>
      <c r="S45" s="38"/>
    </row>
    <row r="46" spans="1:19" hidden="1" x14ac:dyDescent="0.25">
      <c r="A46" s="38" t="str">
        <f>F46&amp;C46</f>
        <v>C04340050204</v>
      </c>
      <c r="B46" s="38" t="str">
        <f>IF(J46&gt;=SUMIFS(E:E,C:C,C46),"Good to go","Short in Qty")</f>
        <v>Good to go</v>
      </c>
      <c r="C46" s="40">
        <v>40050204</v>
      </c>
      <c r="D46" s="40" t="s">
        <v>218</v>
      </c>
      <c r="E46" s="66">
        <v>3</v>
      </c>
      <c r="F46" s="38" t="s">
        <v>11</v>
      </c>
      <c r="G46" s="40" t="s">
        <v>467</v>
      </c>
      <c r="H46" s="38" t="s">
        <v>9</v>
      </c>
      <c r="I46" s="38" t="s">
        <v>530</v>
      </c>
      <c r="J46" s="38">
        <f>IFERROR(VLOOKUP(C:C,'[1]S&amp;S'!$B:$F,5,0),)</f>
        <v>24</v>
      </c>
      <c r="K46" s="38">
        <f>IFERROR(VLOOKUP(A:A,[1]APO!$A:$F,6,0),)</f>
        <v>0</v>
      </c>
      <c r="L46" s="38">
        <f>IFERROR(VLOOKUP(C:C,'[1]TOTAL APO'!$A:$B,2,0),)</f>
        <v>0</v>
      </c>
      <c r="M46" s="38">
        <f>IFERROR(VLOOKUP(A:A,[1]Short!$A:$Q,17,0),)</f>
        <v>0</v>
      </c>
      <c r="N46" s="38">
        <f>IFERROR(VLOOKUP(C:C,[1]GIT!$B:$D,3,0),)</f>
        <v>18</v>
      </c>
      <c r="O46" s="38">
        <f>IFERROR(VLOOKUP(A:A,[2]Sheet1!$A:$B,2,0),)</f>
        <v>3</v>
      </c>
      <c r="P46" s="38">
        <f>IFERROR(VLOOKUP(A:A,[2]Sheet1!$A:$B,2,0),)</f>
        <v>3</v>
      </c>
      <c r="Q46" s="38">
        <f t="shared" si="0"/>
        <v>0</v>
      </c>
      <c r="R46" s="38"/>
      <c r="S46" s="38"/>
    </row>
    <row r="47" spans="1:19" hidden="1" x14ac:dyDescent="0.25">
      <c r="A47" s="38" t="str">
        <f>F47&amp;C47</f>
        <v>C04840062345</v>
      </c>
      <c r="B47" s="38" t="str">
        <f>IF(J47&gt;=SUMIFS(E:E,C:C,C47),"Good to go","Short in Qty")</f>
        <v>Good to go</v>
      </c>
      <c r="C47" s="40">
        <v>40062345</v>
      </c>
      <c r="D47" s="40" t="s">
        <v>507</v>
      </c>
      <c r="E47" s="66">
        <v>34</v>
      </c>
      <c r="F47" s="38" t="s">
        <v>8</v>
      </c>
      <c r="G47" s="73" t="s">
        <v>467</v>
      </c>
      <c r="H47" s="38" t="s">
        <v>84</v>
      </c>
      <c r="I47" s="38" t="s">
        <v>620</v>
      </c>
      <c r="J47" s="38">
        <f>IFERROR(VLOOKUP(C:C,'[1]S&amp;S'!$B:$F,5,0),)</f>
        <v>143</v>
      </c>
      <c r="K47" s="38">
        <f>IFERROR(VLOOKUP(A:A,[1]APO!$A:$F,6,0),)</f>
        <v>0</v>
      </c>
      <c r="L47" s="38">
        <f>IFERROR(VLOOKUP(C:C,'[1]TOTAL APO'!$A:$B,2,0),)</f>
        <v>0</v>
      </c>
      <c r="M47" s="38">
        <f>IFERROR(VLOOKUP(A:A,[1]Short!$A:$Q,17,0),)</f>
        <v>0</v>
      </c>
      <c r="N47" s="38">
        <f>IFERROR(VLOOKUP(C:C,[1]GIT!$B:$D,3,0),)</f>
        <v>0</v>
      </c>
      <c r="O47" s="38">
        <f>IFERROR(VLOOKUP(A:A,[2]Sheet1!$A:$B,2,0),)</f>
        <v>34</v>
      </c>
      <c r="P47" s="38">
        <f>IFERROR(VLOOKUP(A:A,[2]Sheet1!$A:$B,2,0),)</f>
        <v>34</v>
      </c>
      <c r="Q47" s="38">
        <f t="shared" si="0"/>
        <v>0</v>
      </c>
      <c r="R47" s="38"/>
      <c r="S47" s="38"/>
    </row>
    <row r="48" spans="1:19" x14ac:dyDescent="0.25">
      <c r="A48" s="38" t="str">
        <f>F48&amp;C48</f>
        <v>C12140059464</v>
      </c>
      <c r="B48" s="38" t="str">
        <f>IF(J48&gt;=SUMIFS(E:E,C:C,C48),"Good to go","Short in Qty")</f>
        <v>Good to go</v>
      </c>
      <c r="C48" s="40">
        <v>40059464</v>
      </c>
      <c r="D48" s="40" t="s">
        <v>216</v>
      </c>
      <c r="E48" s="66">
        <v>21</v>
      </c>
      <c r="F48" s="38" t="s">
        <v>194</v>
      </c>
      <c r="G48" s="40" t="s">
        <v>195</v>
      </c>
      <c r="H48" s="38" t="s">
        <v>213</v>
      </c>
      <c r="I48" s="38" t="s">
        <v>373</v>
      </c>
      <c r="J48" s="38">
        <f>IFERROR(VLOOKUP(C:C,'[1]S&amp;S'!$B:$F,5,0),)</f>
        <v>25.999666666666698</v>
      </c>
      <c r="K48" s="38">
        <f>IFERROR(VLOOKUP(A:A,[1]APO!$A:$F,6,0),)</f>
        <v>0</v>
      </c>
      <c r="L48" s="38">
        <f>IFERROR(VLOOKUP(C:C,'[1]TOTAL APO'!$A:$B,2,0),)</f>
        <v>0</v>
      </c>
      <c r="M48" s="38">
        <f>IFERROR(VLOOKUP(A:A,[1]Short!$A:$Q,17,0),)</f>
        <v>0</v>
      </c>
      <c r="N48" s="38">
        <f>IFERROR(VLOOKUP(C:C,[1]GIT!$B:$D,3,0),)</f>
        <v>0</v>
      </c>
      <c r="O48" s="38">
        <f>IFERROR(VLOOKUP(A:A,[2]Sheet1!$A:$B,2,0),)</f>
        <v>0</v>
      </c>
      <c r="P48" s="38">
        <f>IFERROR(VLOOKUP(A:A,[2]Sheet1!$A:$B,2,0),)</f>
        <v>0</v>
      </c>
      <c r="Q48" s="38">
        <f t="shared" si="0"/>
        <v>21</v>
      </c>
      <c r="R48" s="38"/>
      <c r="S48" s="38"/>
    </row>
    <row r="49" spans="1:19" hidden="1" x14ac:dyDescent="0.25">
      <c r="A49" s="38" t="str">
        <f>F49&amp;C49</f>
        <v>C04840041315</v>
      </c>
      <c r="B49" s="38" t="str">
        <f>IF(J49&gt;=SUMIFS(E:E,C:C,C49),"Good to go","Short in Qty")</f>
        <v>Good to go</v>
      </c>
      <c r="C49" s="40">
        <v>40041315</v>
      </c>
      <c r="D49" s="40" t="s">
        <v>440</v>
      </c>
      <c r="E49" s="66">
        <v>78</v>
      </c>
      <c r="F49" s="38" t="s">
        <v>8</v>
      </c>
      <c r="G49" s="73" t="s">
        <v>467</v>
      </c>
      <c r="H49" s="38" t="s">
        <v>84</v>
      </c>
      <c r="I49" s="38" t="s">
        <v>620</v>
      </c>
      <c r="J49" s="38">
        <f>IFERROR(VLOOKUP(C:C,'[1]S&amp;S'!$B:$F,5,0),)</f>
        <v>112</v>
      </c>
      <c r="K49" s="38">
        <f>IFERROR(VLOOKUP(A:A,[1]APO!$A:$F,6,0),)</f>
        <v>0</v>
      </c>
      <c r="L49" s="38">
        <f>IFERROR(VLOOKUP(C:C,'[1]TOTAL APO'!$A:$B,2,0),)</f>
        <v>0</v>
      </c>
      <c r="M49" s="38">
        <f>IFERROR(VLOOKUP(A:A,[1]Short!$A:$Q,17,0),)</f>
        <v>0</v>
      </c>
      <c r="N49" s="38">
        <f>IFERROR(VLOOKUP(C:C,[1]GIT!$B:$D,3,0),)</f>
        <v>0</v>
      </c>
      <c r="O49" s="38">
        <f>IFERROR(VLOOKUP(A:A,[2]Sheet1!$A:$B,2,0),)</f>
        <v>78</v>
      </c>
      <c r="P49" s="38">
        <f>IFERROR(VLOOKUP(A:A,[2]Sheet1!$A:$B,2,0),)</f>
        <v>78</v>
      </c>
      <c r="Q49" s="38">
        <f t="shared" si="0"/>
        <v>0</v>
      </c>
      <c r="R49" s="38"/>
      <c r="S49" s="38"/>
    </row>
    <row r="50" spans="1:19" x14ac:dyDescent="0.25">
      <c r="A50" s="38" t="str">
        <f>F50&amp;C50</f>
        <v>C12140059534</v>
      </c>
      <c r="B50" s="38" t="str">
        <f>IF(J50&gt;=SUMIFS(E:E,C:C,C50),"Good to go","Short in Qty")</f>
        <v>Good to go</v>
      </c>
      <c r="C50" s="40">
        <v>40059534</v>
      </c>
      <c r="D50" s="40" t="s">
        <v>217</v>
      </c>
      <c r="E50" s="66">
        <v>2</v>
      </c>
      <c r="F50" s="38" t="s">
        <v>194</v>
      </c>
      <c r="G50" s="40" t="s">
        <v>195</v>
      </c>
      <c r="H50" s="38" t="s">
        <v>9</v>
      </c>
      <c r="I50" s="38" t="s">
        <v>374</v>
      </c>
      <c r="J50" s="38">
        <f>IFERROR(VLOOKUP(C:C,'[1]S&amp;S'!$B:$F,5,0),)</f>
        <v>46</v>
      </c>
      <c r="K50" s="38">
        <f>IFERROR(VLOOKUP(A:A,[1]APO!$A:$F,6,0),)</f>
        <v>0</v>
      </c>
      <c r="L50" s="38">
        <f>IFERROR(VLOOKUP(C:C,'[1]TOTAL APO'!$A:$B,2,0),)</f>
        <v>0</v>
      </c>
      <c r="M50" s="38">
        <f>IFERROR(VLOOKUP(A:A,[1]Short!$A:$Q,17,0),)</f>
        <v>0</v>
      </c>
      <c r="N50" s="38">
        <f>IFERROR(VLOOKUP(C:C,[1]GIT!$B:$D,3,0),)</f>
        <v>0</v>
      </c>
      <c r="O50" s="38">
        <f>IFERROR(VLOOKUP(A:A,[2]Sheet1!$A:$B,2,0),)</f>
        <v>0</v>
      </c>
      <c r="P50" s="38">
        <f>IFERROR(VLOOKUP(A:A,[2]Sheet1!$A:$B,2,0),)</f>
        <v>0</v>
      </c>
      <c r="Q50" s="38">
        <f t="shared" si="0"/>
        <v>2</v>
      </c>
      <c r="R50" s="38"/>
      <c r="S50" s="38"/>
    </row>
    <row r="51" spans="1:19" hidden="1" x14ac:dyDescent="0.25">
      <c r="A51" s="38" t="str">
        <f>F51&amp;C51</f>
        <v>C04640059648</v>
      </c>
      <c r="B51" s="38" t="str">
        <f>IF(J51&gt;=SUMIFS(E:E,C:C,C51),"Good to go","Short in Qty")</f>
        <v>Good to go</v>
      </c>
      <c r="C51" s="40">
        <v>40059648</v>
      </c>
      <c r="D51" s="40" t="s">
        <v>228</v>
      </c>
      <c r="E51" s="66">
        <v>2</v>
      </c>
      <c r="F51" s="38" t="s">
        <v>13</v>
      </c>
      <c r="G51" s="40" t="s">
        <v>467</v>
      </c>
      <c r="H51" s="38" t="s">
        <v>151</v>
      </c>
      <c r="I51" s="38" t="s">
        <v>369</v>
      </c>
      <c r="J51" s="38">
        <f>IFERROR(VLOOKUP(C:C,'[1]S&amp;S'!$B:$F,5,0),)</f>
        <v>72</v>
      </c>
      <c r="K51" s="38">
        <f>IFERROR(VLOOKUP(A:A,[1]APO!$A:$F,6,0),)</f>
        <v>0</v>
      </c>
      <c r="L51" s="38">
        <f>IFERROR(VLOOKUP(C:C,'[1]TOTAL APO'!$A:$B,2,0),)</f>
        <v>0</v>
      </c>
      <c r="M51" s="38">
        <f>IFERROR(VLOOKUP(A:A,[1]Short!$A:$Q,17,0),)</f>
        <v>0</v>
      </c>
      <c r="N51" s="38">
        <f>IFERROR(VLOOKUP(C:C,[1]GIT!$B:$D,3,0),)</f>
        <v>0</v>
      </c>
      <c r="O51" s="38">
        <f>IFERROR(VLOOKUP(A:A,[2]Sheet1!$A:$B,2,0),)</f>
        <v>2</v>
      </c>
      <c r="P51" s="38">
        <f>IFERROR(VLOOKUP(A:A,[2]Sheet1!$A:$B,2,0),)</f>
        <v>2</v>
      </c>
      <c r="Q51" s="38">
        <f t="shared" si="0"/>
        <v>0</v>
      </c>
      <c r="R51" s="38"/>
      <c r="S51" s="38"/>
    </row>
    <row r="52" spans="1:19" hidden="1" x14ac:dyDescent="0.25">
      <c r="A52" s="38" t="str">
        <f>F52&amp;C52</f>
        <v>C13140059648</v>
      </c>
      <c r="B52" s="38" t="str">
        <f>IF(J52&gt;=SUMIFS(E:E,C:C,C52),"Good to go","Short in Qty")</f>
        <v>Good to go</v>
      </c>
      <c r="C52" s="40">
        <v>40059648</v>
      </c>
      <c r="D52" s="40" t="s">
        <v>228</v>
      </c>
      <c r="E52" s="66">
        <v>70</v>
      </c>
      <c r="F52" s="38" t="s">
        <v>17</v>
      </c>
      <c r="G52" s="40" t="s">
        <v>467</v>
      </c>
      <c r="H52" s="38" t="s">
        <v>213</v>
      </c>
      <c r="I52" s="38" t="s">
        <v>482</v>
      </c>
      <c r="J52" s="38">
        <f>IFERROR(VLOOKUP(C:C,'[1]S&amp;S'!$B:$F,5,0),)</f>
        <v>72</v>
      </c>
      <c r="K52" s="38">
        <f>IFERROR(VLOOKUP(A:A,[1]APO!$A:$F,6,0),)</f>
        <v>0</v>
      </c>
      <c r="L52" s="38">
        <f>IFERROR(VLOOKUP(C:C,'[1]TOTAL APO'!$A:$B,2,0),)</f>
        <v>0</v>
      </c>
      <c r="M52" s="38">
        <f>IFERROR(VLOOKUP(A:A,[1]Short!$A:$Q,17,0),)</f>
        <v>0</v>
      </c>
      <c r="N52" s="38">
        <f>IFERROR(VLOOKUP(C:C,[1]GIT!$B:$D,3,0),)</f>
        <v>0</v>
      </c>
      <c r="O52" s="38">
        <f>IFERROR(VLOOKUP(A:A,[2]Sheet1!$A:$B,2,0),)</f>
        <v>70</v>
      </c>
      <c r="P52" s="38">
        <f>IFERROR(VLOOKUP(A:A,[2]Sheet1!$A:$B,2,0),)</f>
        <v>70</v>
      </c>
      <c r="Q52" s="38">
        <f t="shared" si="0"/>
        <v>0</v>
      </c>
      <c r="R52" s="38"/>
      <c r="S52" s="38"/>
    </row>
    <row r="53" spans="1:19" hidden="1" x14ac:dyDescent="0.25">
      <c r="A53" s="38" t="str">
        <f>F53&amp;C53</f>
        <v>C04640059654</v>
      </c>
      <c r="B53" s="38" t="str">
        <f>IF(J53&gt;=SUMIFS(E:E,C:C,C53),"Good to go","Short in Qty")</f>
        <v>Good to go</v>
      </c>
      <c r="C53" s="40">
        <v>40059654</v>
      </c>
      <c r="D53" s="40" t="s">
        <v>343</v>
      </c>
      <c r="E53" s="66">
        <v>3</v>
      </c>
      <c r="F53" s="38" t="s">
        <v>13</v>
      </c>
      <c r="G53" s="40" t="s">
        <v>467</v>
      </c>
      <c r="H53" s="38" t="s">
        <v>151</v>
      </c>
      <c r="I53" s="38" t="s">
        <v>369</v>
      </c>
      <c r="J53" s="38">
        <f>IFERROR(VLOOKUP(C:C,'[1]S&amp;S'!$B:$F,5,0),)</f>
        <v>281</v>
      </c>
      <c r="K53" s="38">
        <f>IFERROR(VLOOKUP(A:A,[1]APO!$A:$F,6,0),)</f>
        <v>0</v>
      </c>
      <c r="L53" s="38">
        <f>IFERROR(VLOOKUP(C:C,'[1]TOTAL APO'!$A:$B,2,0),)</f>
        <v>0</v>
      </c>
      <c r="M53" s="38">
        <f>IFERROR(VLOOKUP(A:A,[1]Short!$A:$Q,17,0),)</f>
        <v>0</v>
      </c>
      <c r="N53" s="38">
        <f>IFERROR(VLOOKUP(C:C,[1]GIT!$B:$D,3,0),)</f>
        <v>0</v>
      </c>
      <c r="O53" s="38">
        <f>IFERROR(VLOOKUP(A:A,[2]Sheet1!$A:$B,2,0),)</f>
        <v>3</v>
      </c>
      <c r="P53" s="38">
        <f>IFERROR(VLOOKUP(A:A,[2]Sheet1!$A:$B,2,0),)</f>
        <v>3</v>
      </c>
      <c r="Q53" s="38">
        <f t="shared" si="0"/>
        <v>0</v>
      </c>
      <c r="R53" s="38"/>
      <c r="S53" s="38"/>
    </row>
    <row r="54" spans="1:19" hidden="1" x14ac:dyDescent="0.25">
      <c r="A54" s="38" t="str">
        <f>F54&amp;C54</f>
        <v>C11140059654</v>
      </c>
      <c r="B54" s="38" t="str">
        <f>IF(J54&gt;=SUMIFS(E:E,C:C,C54),"Good to go","Short in Qty")</f>
        <v>Good to go</v>
      </c>
      <c r="C54" s="40">
        <v>40059654</v>
      </c>
      <c r="D54" s="40" t="s">
        <v>343</v>
      </c>
      <c r="E54" s="67">
        <v>100</v>
      </c>
      <c r="F54" s="38" t="s">
        <v>16</v>
      </c>
      <c r="G54" s="40" t="s">
        <v>467</v>
      </c>
      <c r="H54" s="38" t="s">
        <v>213</v>
      </c>
      <c r="I54" s="38" t="s">
        <v>482</v>
      </c>
      <c r="J54" s="38">
        <f>IFERROR(VLOOKUP(C:C,'[1]S&amp;S'!$B:$F,5,0),)</f>
        <v>281</v>
      </c>
      <c r="K54" s="38">
        <f>IFERROR(VLOOKUP(A:A,[1]APO!$A:$F,6,0),)</f>
        <v>0</v>
      </c>
      <c r="L54" s="38">
        <f>IFERROR(VLOOKUP(C:C,'[1]TOTAL APO'!$A:$B,2,0),)</f>
        <v>0</v>
      </c>
      <c r="M54" s="38">
        <f>IFERROR(VLOOKUP(A:A,[1]Short!$A:$Q,17,0),)</f>
        <v>0</v>
      </c>
      <c r="N54" s="38">
        <f>IFERROR(VLOOKUP(C:C,[1]GIT!$B:$D,3,0),)</f>
        <v>0</v>
      </c>
      <c r="O54" s="38">
        <f>IFERROR(VLOOKUP(A:A,[2]Sheet1!$A:$B,2,0),)</f>
        <v>100</v>
      </c>
      <c r="P54" s="38">
        <f>IFERROR(VLOOKUP(A:A,[2]Sheet1!$A:$B,2,0),)</f>
        <v>100</v>
      </c>
      <c r="Q54" s="38">
        <f t="shared" si="0"/>
        <v>0</v>
      </c>
      <c r="R54" s="38"/>
      <c r="S54" s="38"/>
    </row>
    <row r="55" spans="1:19" hidden="1" x14ac:dyDescent="0.25">
      <c r="A55" s="38" t="str">
        <f>F55&amp;C55</f>
        <v>C04640059656</v>
      </c>
      <c r="B55" s="38" t="str">
        <f>IF(J55&gt;=SUMIFS(E:E,C:C,C55),"Good to go","Short in Qty")</f>
        <v>Good to go</v>
      </c>
      <c r="C55" s="40">
        <v>40059656</v>
      </c>
      <c r="D55" s="40" t="s">
        <v>229</v>
      </c>
      <c r="E55" s="66">
        <v>9</v>
      </c>
      <c r="F55" s="38" t="s">
        <v>13</v>
      </c>
      <c r="G55" s="40" t="s">
        <v>467</v>
      </c>
      <c r="H55" s="38" t="s">
        <v>151</v>
      </c>
      <c r="I55" s="38" t="s">
        <v>369</v>
      </c>
      <c r="J55" s="38">
        <f>IFERROR(VLOOKUP(C:C,'[1]S&amp;S'!$B:$F,5,0),)</f>
        <v>676.00025000000005</v>
      </c>
      <c r="K55" s="38">
        <f>IFERROR(VLOOKUP(A:A,[1]APO!$A:$F,6,0),)</f>
        <v>0</v>
      </c>
      <c r="L55" s="38">
        <f>IFERROR(VLOOKUP(C:C,'[1]TOTAL APO'!$A:$B,2,0),)</f>
        <v>0</v>
      </c>
      <c r="M55" s="38">
        <f>IFERROR(VLOOKUP(A:A,[1]Short!$A:$Q,17,0),)</f>
        <v>0</v>
      </c>
      <c r="N55" s="38">
        <f>IFERROR(VLOOKUP(C:C,[1]GIT!$B:$D,3,0),)</f>
        <v>0</v>
      </c>
      <c r="O55" s="38">
        <f>IFERROR(VLOOKUP(A:A,[2]Sheet1!$A:$B,2,0),)</f>
        <v>9</v>
      </c>
      <c r="P55" s="38">
        <f>IFERROR(VLOOKUP(A:A,[2]Sheet1!$A:$B,2,0),)</f>
        <v>9</v>
      </c>
      <c r="Q55" s="38">
        <f t="shared" si="0"/>
        <v>0</v>
      </c>
      <c r="R55" s="38"/>
      <c r="S55" s="38"/>
    </row>
    <row r="56" spans="1:19" hidden="1" x14ac:dyDescent="0.25">
      <c r="A56" s="38" t="str">
        <f>F56&amp;C56</f>
        <v>C04340057243</v>
      </c>
      <c r="B56" s="38" t="str">
        <f>IF(J56&gt;=SUMIFS(E:E,C:C,C56),"Good to go","Short in Qty")</f>
        <v>Good to go</v>
      </c>
      <c r="C56" s="40">
        <v>40057243</v>
      </c>
      <c r="D56" s="40" t="s">
        <v>448</v>
      </c>
      <c r="E56" s="68">
        <v>100</v>
      </c>
      <c r="F56" s="38" t="s">
        <v>11</v>
      </c>
      <c r="G56" s="40" t="s">
        <v>467</v>
      </c>
      <c r="H56" s="38" t="s">
        <v>248</v>
      </c>
      <c r="I56" s="38" t="s">
        <v>457</v>
      </c>
      <c r="J56" s="38">
        <f>IFERROR(VLOOKUP(C:C,'[1]S&amp;S'!$B:$F,5,0),)</f>
        <v>1268.9994999999999</v>
      </c>
      <c r="K56" s="38">
        <f>IFERROR(VLOOKUP(A:A,[1]APO!$A:$F,6,0),)</f>
        <v>0</v>
      </c>
      <c r="L56" s="38">
        <f>IFERROR(VLOOKUP(C:C,'[1]TOTAL APO'!$A:$B,2,0),)</f>
        <v>0</v>
      </c>
      <c r="M56" s="38">
        <f>IFERROR(VLOOKUP(A:A,[1]Short!$A:$Q,17,0),)</f>
        <v>0</v>
      </c>
      <c r="N56" s="38">
        <f>IFERROR(VLOOKUP(C:C,[1]GIT!$B:$D,3,0),)</f>
        <v>0</v>
      </c>
      <c r="O56" s="38">
        <f>IFERROR(VLOOKUP(A:A,[2]Sheet1!$A:$B,2,0),)</f>
        <v>100</v>
      </c>
      <c r="P56" s="38">
        <f>IFERROR(VLOOKUP(A:A,[2]Sheet1!$A:$B,2,0),)</f>
        <v>100</v>
      </c>
      <c r="Q56" s="38">
        <f t="shared" si="0"/>
        <v>0</v>
      </c>
      <c r="R56" s="38"/>
      <c r="S56" s="38"/>
    </row>
    <row r="57" spans="1:19" hidden="1" x14ac:dyDescent="0.25">
      <c r="A57" s="38" t="str">
        <f>F57&amp;C57</f>
        <v>C13140049949</v>
      </c>
      <c r="B57" s="38" t="str">
        <f>IF(J57&gt;=SUMIFS(E:E,C:C,C57),"Good to go","Short in Qty")</f>
        <v>Good to go</v>
      </c>
      <c r="C57" s="40">
        <v>40049949</v>
      </c>
      <c r="D57" s="40" t="s">
        <v>354</v>
      </c>
      <c r="E57" s="75">
        <v>140</v>
      </c>
      <c r="F57" s="38" t="s">
        <v>17</v>
      </c>
      <c r="G57" s="40" t="s">
        <v>467</v>
      </c>
      <c r="H57" s="38" t="s">
        <v>248</v>
      </c>
      <c r="I57" s="38" t="s">
        <v>457</v>
      </c>
      <c r="J57" s="38">
        <f>IFERROR(VLOOKUP(C:C,'[1]S&amp;S'!$B:$F,5,0),)</f>
        <v>625</v>
      </c>
      <c r="K57" s="38">
        <f>IFERROR(VLOOKUP(A:A,[1]APO!$A:$F,6,0),)</f>
        <v>0</v>
      </c>
      <c r="L57" s="38">
        <f>IFERROR(VLOOKUP(C:C,'[1]TOTAL APO'!$A:$B,2,0),)</f>
        <v>0</v>
      </c>
      <c r="M57" s="38">
        <f>IFERROR(VLOOKUP(A:A,[1]Short!$A:$Q,17,0),)</f>
        <v>0</v>
      </c>
      <c r="N57" s="38">
        <f>IFERROR(VLOOKUP(C:C,[1]GIT!$B:$D,3,0),)</f>
        <v>0</v>
      </c>
      <c r="O57" s="38">
        <f>IFERROR(VLOOKUP(A:A,[2]Sheet1!$A:$B,2,0),)</f>
        <v>140</v>
      </c>
      <c r="P57" s="38">
        <f>IFERROR(VLOOKUP(A:A,[2]Sheet1!$A:$B,2,0),)</f>
        <v>140</v>
      </c>
      <c r="Q57" s="38">
        <f t="shared" si="0"/>
        <v>0</v>
      </c>
      <c r="R57" s="38"/>
      <c r="S57" s="38"/>
    </row>
    <row r="58" spans="1:19" hidden="1" x14ac:dyDescent="0.25">
      <c r="A58" s="38" t="str">
        <f>F58&amp;C58</f>
        <v>C04640059679</v>
      </c>
      <c r="B58" s="38" t="str">
        <f>IF(J58&gt;=SUMIFS(E:E,C:C,C58),"Good to go","Short in Qty")</f>
        <v>Good to go</v>
      </c>
      <c r="C58" s="40">
        <v>40059679</v>
      </c>
      <c r="D58" s="40" t="s">
        <v>340</v>
      </c>
      <c r="E58" s="66">
        <v>33</v>
      </c>
      <c r="F58" s="38" t="s">
        <v>13</v>
      </c>
      <c r="G58" s="40" t="s">
        <v>467</v>
      </c>
      <c r="H58" s="38" t="s">
        <v>151</v>
      </c>
      <c r="I58" s="38" t="s">
        <v>369</v>
      </c>
      <c r="J58" s="38">
        <f>IFERROR(VLOOKUP(C:C,'[1]S&amp;S'!$B:$F,5,0),)</f>
        <v>58</v>
      </c>
      <c r="K58" s="38">
        <f>IFERROR(VLOOKUP(A:A,[1]APO!$A:$F,6,0),)</f>
        <v>0</v>
      </c>
      <c r="L58" s="38">
        <f>IFERROR(VLOOKUP(C:C,'[1]TOTAL APO'!$A:$B,2,0),)</f>
        <v>0</v>
      </c>
      <c r="M58" s="38">
        <f>IFERROR(VLOOKUP(A:A,[1]Short!$A:$Q,17,0),)</f>
        <v>0</v>
      </c>
      <c r="N58" s="38">
        <f>IFERROR(VLOOKUP(C:C,[1]GIT!$B:$D,3,0),)</f>
        <v>0</v>
      </c>
      <c r="O58" s="38">
        <f>IFERROR(VLOOKUP(A:A,[2]Sheet1!$A:$B,2,0),)</f>
        <v>33</v>
      </c>
      <c r="P58" s="38">
        <f>IFERROR(VLOOKUP(A:A,[2]Sheet1!$A:$B,2,0),)</f>
        <v>33</v>
      </c>
      <c r="Q58" s="38">
        <f t="shared" si="0"/>
        <v>0</v>
      </c>
      <c r="R58" s="38"/>
      <c r="S58" s="38"/>
    </row>
    <row r="59" spans="1:19" hidden="1" x14ac:dyDescent="0.25">
      <c r="A59" s="38" t="str">
        <f>F59&amp;C59</f>
        <v>C04340050590</v>
      </c>
      <c r="B59" s="38" t="str">
        <f>IF(J59&gt;=SUMIFS(E:E,C:C,C59),"Good to go","Short in Qty")</f>
        <v>Good to go</v>
      </c>
      <c r="C59" s="40">
        <v>40050590</v>
      </c>
      <c r="D59" s="40" t="s">
        <v>337</v>
      </c>
      <c r="E59" s="66">
        <v>1</v>
      </c>
      <c r="F59" s="38" t="s">
        <v>11</v>
      </c>
      <c r="G59" s="40" t="s">
        <v>467</v>
      </c>
      <c r="H59" s="38" t="s">
        <v>9</v>
      </c>
      <c r="I59" s="38" t="s">
        <v>530</v>
      </c>
      <c r="J59" s="38">
        <f>IFERROR(VLOOKUP(C:C,'[1]S&amp;S'!$B:$F,5,0),)</f>
        <v>6</v>
      </c>
      <c r="K59" s="38">
        <f>IFERROR(VLOOKUP(A:A,[1]APO!$A:$F,6,0),)</f>
        <v>0</v>
      </c>
      <c r="L59" s="38">
        <f>IFERROR(VLOOKUP(C:C,'[1]TOTAL APO'!$A:$B,2,0),)</f>
        <v>0</v>
      </c>
      <c r="M59" s="38">
        <f>IFERROR(VLOOKUP(A:A,[1]Short!$A:$Q,17,0),)</f>
        <v>0</v>
      </c>
      <c r="N59" s="38">
        <f>IFERROR(VLOOKUP(C:C,[1]GIT!$B:$D,3,0),)</f>
        <v>0</v>
      </c>
      <c r="O59" s="38">
        <f>IFERROR(VLOOKUP(A:A,[2]Sheet1!$A:$B,2,0),)</f>
        <v>1</v>
      </c>
      <c r="P59" s="38">
        <f>IFERROR(VLOOKUP(A:A,[2]Sheet1!$A:$B,2,0),)</f>
        <v>1</v>
      </c>
      <c r="Q59" s="38">
        <f t="shared" si="0"/>
        <v>0</v>
      </c>
      <c r="R59" s="38"/>
      <c r="S59" s="38"/>
    </row>
    <row r="60" spans="1:19" hidden="1" x14ac:dyDescent="0.25">
      <c r="A60" s="38" t="str">
        <f>F60&amp;C60</f>
        <v>C04640060423</v>
      </c>
      <c r="B60" s="38" t="str">
        <f>IF(J60&gt;=SUMIFS(E:E,C:C,C60),"Good to go","Short in Qty")</f>
        <v>Good to go</v>
      </c>
      <c r="C60" s="40">
        <v>40060423</v>
      </c>
      <c r="D60" s="40" t="s">
        <v>348</v>
      </c>
      <c r="E60" s="66">
        <v>2</v>
      </c>
      <c r="F60" s="38" t="s">
        <v>13</v>
      </c>
      <c r="G60" s="40" t="s">
        <v>467</v>
      </c>
      <c r="H60" s="38" t="s">
        <v>151</v>
      </c>
      <c r="I60" s="38" t="s">
        <v>369</v>
      </c>
      <c r="J60" s="38">
        <f>IFERROR(VLOOKUP(C:C,'[1]S&amp;S'!$B:$F,5,0),)</f>
        <v>39</v>
      </c>
      <c r="K60" s="38">
        <f>IFERROR(VLOOKUP(A:A,[1]APO!$A:$F,6,0),)</f>
        <v>0</v>
      </c>
      <c r="L60" s="38">
        <f>IFERROR(VLOOKUP(C:C,'[1]TOTAL APO'!$A:$B,2,0),)</f>
        <v>0</v>
      </c>
      <c r="M60" s="38">
        <f>IFERROR(VLOOKUP(A:A,[1]Short!$A:$Q,17,0),)</f>
        <v>0</v>
      </c>
      <c r="N60" s="38">
        <f>IFERROR(VLOOKUP(C:C,[1]GIT!$B:$D,3,0),)</f>
        <v>0</v>
      </c>
      <c r="O60" s="38">
        <f>IFERROR(VLOOKUP(A:A,[2]Sheet1!$A:$B,2,0),)</f>
        <v>2</v>
      </c>
      <c r="P60" s="38">
        <f>IFERROR(VLOOKUP(A:A,[2]Sheet1!$A:$B,2,0),)</f>
        <v>2</v>
      </c>
      <c r="Q60" s="38">
        <f t="shared" si="0"/>
        <v>0</v>
      </c>
      <c r="R60" s="38"/>
      <c r="S60" s="38"/>
    </row>
    <row r="61" spans="1:19" hidden="1" x14ac:dyDescent="0.25">
      <c r="A61" s="38" t="str">
        <f>F61&amp;C61</f>
        <v>C04640060426</v>
      </c>
      <c r="B61" s="38" t="str">
        <f>IF(J61&gt;=SUMIFS(E:E,C:C,C61),"Good to go","Short in Qty")</f>
        <v>Good to go</v>
      </c>
      <c r="C61" s="40">
        <v>40060426</v>
      </c>
      <c r="D61" s="40" t="s">
        <v>232</v>
      </c>
      <c r="E61" s="66">
        <v>2</v>
      </c>
      <c r="F61" s="38" t="s">
        <v>13</v>
      </c>
      <c r="G61" s="40" t="s">
        <v>467</v>
      </c>
      <c r="H61" s="38" t="s">
        <v>151</v>
      </c>
      <c r="I61" s="38" t="s">
        <v>369</v>
      </c>
      <c r="J61" s="38">
        <f>IFERROR(VLOOKUP(C:C,'[1]S&amp;S'!$B:$F,5,0),)</f>
        <v>52</v>
      </c>
      <c r="K61" s="38">
        <f>IFERROR(VLOOKUP(A:A,[1]APO!$A:$F,6,0),)</f>
        <v>0</v>
      </c>
      <c r="L61" s="38">
        <f>IFERROR(VLOOKUP(C:C,'[1]TOTAL APO'!$A:$B,2,0),)</f>
        <v>0</v>
      </c>
      <c r="M61" s="38">
        <f>IFERROR(VLOOKUP(A:A,[1]Short!$A:$Q,17,0),)</f>
        <v>0</v>
      </c>
      <c r="N61" s="38">
        <f>IFERROR(VLOOKUP(C:C,[1]GIT!$B:$D,3,0),)</f>
        <v>0</v>
      </c>
      <c r="O61" s="38">
        <f>IFERROR(VLOOKUP(A:A,[2]Sheet1!$A:$B,2,0),)</f>
        <v>2</v>
      </c>
      <c r="P61" s="38">
        <f>IFERROR(VLOOKUP(A:A,[2]Sheet1!$A:$B,2,0),)</f>
        <v>2</v>
      </c>
      <c r="Q61" s="38">
        <f t="shared" si="0"/>
        <v>0</v>
      </c>
      <c r="R61" s="38"/>
      <c r="S61" s="38"/>
    </row>
    <row r="62" spans="1:19" x14ac:dyDescent="0.25">
      <c r="A62" s="38" t="str">
        <f>F62&amp;C62</f>
        <v>C12140060535</v>
      </c>
      <c r="B62" s="38" t="str">
        <f>IF(J62&gt;=SUMIFS(E:E,C:C,C62),"Good to go","Short in Qty")</f>
        <v>Good to go</v>
      </c>
      <c r="C62" s="40">
        <v>40060535</v>
      </c>
      <c r="D62" s="40" t="s">
        <v>221</v>
      </c>
      <c r="E62" s="66">
        <v>3</v>
      </c>
      <c r="F62" s="38" t="s">
        <v>194</v>
      </c>
      <c r="G62" s="40" t="s">
        <v>195</v>
      </c>
      <c r="H62" s="38" t="s">
        <v>9</v>
      </c>
      <c r="I62" s="38" t="s">
        <v>375</v>
      </c>
      <c r="J62" s="38">
        <f>IFERROR(VLOOKUP(C:C,'[1]S&amp;S'!$B:$F,5,0),)</f>
        <v>198</v>
      </c>
      <c r="K62" s="38">
        <f>IFERROR(VLOOKUP(A:A,[1]APO!$A:$F,6,0),)</f>
        <v>0</v>
      </c>
      <c r="L62" s="38">
        <f>IFERROR(VLOOKUP(C:C,'[1]TOTAL APO'!$A:$B,2,0),)</f>
        <v>0</v>
      </c>
      <c r="M62" s="38">
        <f>IFERROR(VLOOKUP(A:A,[1]Short!$A:$Q,17,0),)</f>
        <v>0</v>
      </c>
      <c r="N62" s="38">
        <f>IFERROR(VLOOKUP(C:C,[1]GIT!$B:$D,3,0),)</f>
        <v>46</v>
      </c>
      <c r="O62" s="38">
        <f>IFERROR(VLOOKUP(A:A,[2]Sheet1!$A:$B,2,0),)</f>
        <v>0</v>
      </c>
      <c r="P62" s="38">
        <f>IFERROR(VLOOKUP(A:A,[2]Sheet1!$A:$B,2,0),)</f>
        <v>0</v>
      </c>
      <c r="Q62" s="38">
        <f t="shared" si="0"/>
        <v>3</v>
      </c>
      <c r="R62" s="38"/>
      <c r="S62" s="38"/>
    </row>
    <row r="63" spans="1:19" hidden="1" x14ac:dyDescent="0.25">
      <c r="A63" s="38" t="str">
        <f>F63&amp;C63</f>
        <v>C04640060646</v>
      </c>
      <c r="B63" s="38" t="str">
        <f>IF(J63&gt;=SUMIFS(E:E,C:C,C63),"Good to go","Short in Qty")</f>
        <v>Good to go</v>
      </c>
      <c r="C63" s="40">
        <v>40060646</v>
      </c>
      <c r="D63" s="40" t="s">
        <v>238</v>
      </c>
      <c r="E63" s="66">
        <v>1</v>
      </c>
      <c r="F63" s="38" t="s">
        <v>13</v>
      </c>
      <c r="G63" s="40" t="s">
        <v>467</v>
      </c>
      <c r="H63" s="38" t="s">
        <v>151</v>
      </c>
      <c r="I63" s="38" t="s">
        <v>369</v>
      </c>
      <c r="J63" s="38">
        <f>IFERROR(VLOOKUP(C:C,'[1]S&amp;S'!$B:$F,5,0),)</f>
        <v>5</v>
      </c>
      <c r="K63" s="38">
        <f>IFERROR(VLOOKUP(A:A,[1]APO!$A:$F,6,0),)</f>
        <v>0</v>
      </c>
      <c r="L63" s="38">
        <f>IFERROR(VLOOKUP(C:C,'[1]TOTAL APO'!$A:$B,2,0),)</f>
        <v>0</v>
      </c>
      <c r="M63" s="38">
        <f>IFERROR(VLOOKUP(A:A,[1]Short!$A:$Q,17,0),)</f>
        <v>0</v>
      </c>
      <c r="N63" s="38">
        <f>IFERROR(VLOOKUP(C:C,[1]GIT!$B:$D,3,0),)</f>
        <v>0</v>
      </c>
      <c r="O63" s="38">
        <f>IFERROR(VLOOKUP(A:A,[2]Sheet1!$A:$B,2,0),)</f>
        <v>1</v>
      </c>
      <c r="P63" s="38">
        <f>IFERROR(VLOOKUP(A:A,[2]Sheet1!$A:$B,2,0),)</f>
        <v>1</v>
      </c>
      <c r="Q63" s="38">
        <f t="shared" si="0"/>
        <v>0</v>
      </c>
      <c r="R63" s="38"/>
      <c r="S63" s="38"/>
    </row>
    <row r="64" spans="1:19" hidden="1" x14ac:dyDescent="0.25">
      <c r="A64" s="38" t="str">
        <f>F64&amp;C64</f>
        <v>C04840062014</v>
      </c>
      <c r="B64" s="38" t="str">
        <f>IF(J64&gt;=SUMIFS(E:E,C:C,C64),"Good to go","Short in Qty")</f>
        <v>Good to go</v>
      </c>
      <c r="C64" s="40">
        <v>40062014</v>
      </c>
      <c r="D64" s="40" t="s">
        <v>538</v>
      </c>
      <c r="E64" s="66">
        <v>5</v>
      </c>
      <c r="F64" s="38" t="s">
        <v>8</v>
      </c>
      <c r="G64" s="40" t="s">
        <v>467</v>
      </c>
      <c r="H64" s="38" t="s">
        <v>594</v>
      </c>
      <c r="I64" s="38" t="s">
        <v>595</v>
      </c>
      <c r="J64" s="38">
        <f>IFERROR(VLOOKUP(C:C,'[1]S&amp;S'!$B:$F,5,0),)</f>
        <v>140.833333333333</v>
      </c>
      <c r="K64" s="38">
        <f>IFERROR(VLOOKUP(A:A,[1]APO!$A:$F,6,0),)</f>
        <v>0</v>
      </c>
      <c r="L64" s="38">
        <f>IFERROR(VLOOKUP(C:C,'[1]TOTAL APO'!$A:$B,2,0),)</f>
        <v>0</v>
      </c>
      <c r="M64" s="38">
        <f>IFERROR(VLOOKUP(A:A,[1]Short!$A:$Q,17,0),)</f>
        <v>0</v>
      </c>
      <c r="N64" s="38">
        <f>IFERROR(VLOOKUP(C:C,[1]GIT!$B:$D,3,0),)</f>
        <v>0</v>
      </c>
      <c r="O64" s="38">
        <f>IFERROR(VLOOKUP(A:A,[2]Sheet1!$A:$B,2,0),)</f>
        <v>5</v>
      </c>
      <c r="P64" s="38">
        <f>IFERROR(VLOOKUP(A:A,[2]Sheet1!$A:$B,2,0),)</f>
        <v>5</v>
      </c>
      <c r="Q64" s="38">
        <f t="shared" si="0"/>
        <v>0</v>
      </c>
      <c r="R64" s="38"/>
      <c r="S64" s="38"/>
    </row>
    <row r="65" spans="1:19" x14ac:dyDescent="0.25">
      <c r="A65" s="38" t="str">
        <f>F65&amp;C65</f>
        <v>KT0240060737</v>
      </c>
      <c r="B65" s="38" t="str">
        <f>IF(J65&gt;=SUMIFS(E:E,C:C,C65),"Good to go","Short in Qty")</f>
        <v>Good to go</v>
      </c>
      <c r="C65" s="40">
        <v>40060737</v>
      </c>
      <c r="D65" s="40" t="s">
        <v>305</v>
      </c>
      <c r="E65" s="66">
        <v>510</v>
      </c>
      <c r="F65" s="38" t="s">
        <v>202</v>
      </c>
      <c r="G65" s="40"/>
      <c r="H65" s="38" t="s">
        <v>203</v>
      </c>
      <c r="I65" s="38" t="s">
        <v>368</v>
      </c>
      <c r="J65" s="38">
        <f>IFERROR(VLOOKUP(C:C,'[1]S&amp;S'!$B:$F,5,0),)</f>
        <v>828</v>
      </c>
      <c r="K65" s="38">
        <f>IFERROR(VLOOKUP(A:A,[1]APO!$A:$F,6,0),)</f>
        <v>0</v>
      </c>
      <c r="L65" s="38">
        <f>IFERROR(VLOOKUP(C:C,'[1]TOTAL APO'!$A:$B,2,0),)</f>
        <v>0</v>
      </c>
      <c r="M65" s="38">
        <f>IFERROR(VLOOKUP(A:A,[1]Short!$A:$Q,17,0),)</f>
        <v>0</v>
      </c>
      <c r="N65" s="38">
        <f>IFERROR(VLOOKUP(C:C,[1]GIT!$B:$D,3,0),)</f>
        <v>317</v>
      </c>
      <c r="O65" s="38">
        <f>IFERROR(VLOOKUP(A:A,[2]Sheet1!$A:$B,2,0),)</f>
        <v>0</v>
      </c>
      <c r="P65" s="38">
        <f>IFERROR(VLOOKUP(A:A,[2]Sheet1!$A:$B,2,0),)</f>
        <v>0</v>
      </c>
      <c r="Q65" s="38">
        <f t="shared" si="0"/>
        <v>510</v>
      </c>
      <c r="R65" s="38"/>
      <c r="S65" s="38"/>
    </row>
    <row r="66" spans="1:19" hidden="1" x14ac:dyDescent="0.25">
      <c r="A66" s="38" t="str">
        <f>F66&amp;C66</f>
        <v>C10240060738</v>
      </c>
      <c r="B66" s="38" t="str">
        <f>IF(J66&gt;=SUMIFS(E:E,C:C,C66),"Good to go","Short in Qty")</f>
        <v>Good to go</v>
      </c>
      <c r="C66" s="40">
        <v>40060738</v>
      </c>
      <c r="D66" s="40" t="s">
        <v>312</v>
      </c>
      <c r="E66" s="67">
        <v>48</v>
      </c>
      <c r="F66" s="38" t="s">
        <v>226</v>
      </c>
      <c r="G66" s="40" t="s">
        <v>467</v>
      </c>
      <c r="H66" s="38" t="s">
        <v>213</v>
      </c>
      <c r="I66" s="38" t="s">
        <v>482</v>
      </c>
      <c r="J66" s="38">
        <f>IFERROR(VLOOKUP(C:C,'[1]S&amp;S'!$B:$F,5,0),)</f>
        <v>2269</v>
      </c>
      <c r="K66" s="38">
        <f>IFERROR(VLOOKUP(A:A,[1]APO!$A:$F,6,0),)</f>
        <v>0</v>
      </c>
      <c r="L66" s="38">
        <f>IFERROR(VLOOKUP(C:C,'[1]TOTAL APO'!$A:$B,2,0),)</f>
        <v>0</v>
      </c>
      <c r="M66" s="38">
        <f>IFERROR(VLOOKUP(A:A,[1]Short!$A:$Q,17,0),)</f>
        <v>0</v>
      </c>
      <c r="N66" s="38">
        <f>IFERROR(VLOOKUP(C:C,[1]GIT!$B:$D,3,0),)</f>
        <v>0</v>
      </c>
      <c r="O66" s="38">
        <f>IFERROR(VLOOKUP(A:A,[2]Sheet1!$A:$B,2,0),)</f>
        <v>48</v>
      </c>
      <c r="P66" s="38">
        <f>IFERROR(VLOOKUP(A:A,[2]Sheet1!$A:$B,2,0),)</f>
        <v>48</v>
      </c>
      <c r="Q66" s="38">
        <f t="shared" si="0"/>
        <v>0</v>
      </c>
      <c r="R66" s="38"/>
      <c r="S66" s="38"/>
    </row>
    <row r="67" spans="1:19" x14ac:dyDescent="0.25">
      <c r="A67" s="38" t="str">
        <f>F67&amp;C67</f>
        <v>KT0240060738</v>
      </c>
      <c r="B67" s="38" t="str">
        <f>IF(J67&gt;=SUMIFS(E:E,C:C,C67),"Good to go","Short in Qty")</f>
        <v>Good to go</v>
      </c>
      <c r="C67" s="40">
        <v>40060738</v>
      </c>
      <c r="D67" s="40" t="s">
        <v>312</v>
      </c>
      <c r="E67" s="66">
        <v>2221</v>
      </c>
      <c r="F67" s="38" t="s">
        <v>202</v>
      </c>
      <c r="G67" s="40"/>
      <c r="H67" s="38" t="s">
        <v>203</v>
      </c>
      <c r="I67" s="38" t="s">
        <v>368</v>
      </c>
      <c r="J67" s="38">
        <f>IFERROR(VLOOKUP(C:C,'[1]S&amp;S'!$B:$F,5,0),)</f>
        <v>2269</v>
      </c>
      <c r="K67" s="38">
        <f>IFERROR(VLOOKUP(A:A,[1]APO!$A:$F,6,0),)</f>
        <v>0</v>
      </c>
      <c r="L67" s="38">
        <f>IFERROR(VLOOKUP(C:C,'[1]TOTAL APO'!$A:$B,2,0),)</f>
        <v>0</v>
      </c>
      <c r="M67" s="38">
        <f>IFERROR(VLOOKUP(A:A,[1]Short!$A:$Q,17,0),)</f>
        <v>0</v>
      </c>
      <c r="N67" s="38">
        <f>IFERROR(VLOOKUP(C:C,[1]GIT!$B:$D,3,0),)</f>
        <v>0</v>
      </c>
      <c r="O67" s="38">
        <f>IFERROR(VLOOKUP(A:A,[2]Sheet1!$A:$B,2,0),)</f>
        <v>0</v>
      </c>
      <c r="P67" s="38">
        <f>IFERROR(VLOOKUP(A:A,[2]Sheet1!$A:$B,2,0),)</f>
        <v>0</v>
      </c>
      <c r="Q67" s="38">
        <f t="shared" ref="Q67:Q130" si="1">+E67-P67</f>
        <v>2221</v>
      </c>
      <c r="R67" s="38"/>
      <c r="S67" s="38"/>
    </row>
    <row r="68" spans="1:19" hidden="1" x14ac:dyDescent="0.25">
      <c r="A68" s="38" t="str">
        <f>F68&amp;C68</f>
        <v>C04840064164</v>
      </c>
      <c r="B68" s="38" t="str">
        <f>IF(J68&gt;=SUMIFS(E:E,C:C,C68),"Good to go","Short in Qty")</f>
        <v>Good to go</v>
      </c>
      <c r="C68" s="40">
        <v>40064164</v>
      </c>
      <c r="D68" s="40" t="s">
        <v>575</v>
      </c>
      <c r="E68" s="66">
        <v>9</v>
      </c>
      <c r="F68" s="38" t="s">
        <v>8</v>
      </c>
      <c r="G68" s="40" t="s">
        <v>467</v>
      </c>
      <c r="H68" s="38" t="s">
        <v>594</v>
      </c>
      <c r="I68" s="38" t="s">
        <v>595</v>
      </c>
      <c r="J68" s="38">
        <f>IFERROR(VLOOKUP(C:C,'[1]S&amp;S'!$B:$F,5,0),)</f>
        <v>29</v>
      </c>
      <c r="K68" s="38">
        <f>IFERROR(VLOOKUP(A:A,[1]APO!$A:$F,6,0),)</f>
        <v>0</v>
      </c>
      <c r="L68" s="38">
        <f>IFERROR(VLOOKUP(C:C,'[1]TOTAL APO'!$A:$B,2,0),)</f>
        <v>0</v>
      </c>
      <c r="M68" s="38">
        <f>IFERROR(VLOOKUP(A:A,[1]Short!$A:$Q,17,0),)</f>
        <v>0</v>
      </c>
      <c r="N68" s="38">
        <f>IFERROR(VLOOKUP(C:C,[1]GIT!$B:$D,3,0),)</f>
        <v>0</v>
      </c>
      <c r="O68" s="38">
        <f>IFERROR(VLOOKUP(A:A,[2]Sheet1!$A:$B,2,0),)</f>
        <v>9</v>
      </c>
      <c r="P68" s="38">
        <f>IFERROR(VLOOKUP(A:A,[2]Sheet1!$A:$B,2,0),)</f>
        <v>9</v>
      </c>
      <c r="Q68" s="38">
        <f t="shared" si="1"/>
        <v>0</v>
      </c>
      <c r="R68" s="38"/>
      <c r="S68" s="38"/>
    </row>
    <row r="69" spans="1:19" hidden="1" x14ac:dyDescent="0.25">
      <c r="A69" s="38" t="str">
        <f>F69&amp;C69</f>
        <v>C04340050728</v>
      </c>
      <c r="B69" s="38" t="str">
        <f>IF(J69&gt;=SUMIFS(E:E,C:C,C69),"Good to go","Short in Qty")</f>
        <v>Good to go</v>
      </c>
      <c r="C69" s="40">
        <v>40050728</v>
      </c>
      <c r="D69" s="40" t="s">
        <v>214</v>
      </c>
      <c r="E69" s="66">
        <v>37</v>
      </c>
      <c r="F69" s="38" t="s">
        <v>11</v>
      </c>
      <c r="G69" s="40" t="s">
        <v>467</v>
      </c>
      <c r="H69" s="38" t="s">
        <v>9</v>
      </c>
      <c r="I69" s="38" t="s">
        <v>530</v>
      </c>
      <c r="J69" s="38">
        <f>IFERROR(VLOOKUP(C:C,'[1]S&amp;S'!$B:$F,5,0),)</f>
        <v>2141</v>
      </c>
      <c r="K69" s="38">
        <f>IFERROR(VLOOKUP(A:A,[1]APO!$A:$F,6,0),)</f>
        <v>0</v>
      </c>
      <c r="L69" s="38">
        <f>IFERROR(VLOOKUP(C:C,'[1]TOTAL APO'!$A:$B,2,0),)</f>
        <v>0</v>
      </c>
      <c r="M69" s="38">
        <f>IFERROR(VLOOKUP(A:A,[1]Short!$A:$Q,17,0),)</f>
        <v>0</v>
      </c>
      <c r="N69" s="38">
        <f>IFERROR(VLOOKUP(C:C,[1]GIT!$B:$D,3,0),)</f>
        <v>0</v>
      </c>
      <c r="O69" s="38">
        <f>IFERROR(VLOOKUP(A:A,[2]Sheet1!$A:$B,2,0),)</f>
        <v>37</v>
      </c>
      <c r="P69" s="38">
        <f>IFERROR(VLOOKUP(A:A,[2]Sheet1!$A:$B,2,0),)</f>
        <v>37</v>
      </c>
      <c r="Q69" s="38">
        <f t="shared" si="1"/>
        <v>0</v>
      </c>
      <c r="R69" s="38"/>
      <c r="S69" s="38"/>
    </row>
    <row r="70" spans="1:19" hidden="1" x14ac:dyDescent="0.25">
      <c r="A70" s="38" t="str">
        <f>F70&amp;C70</f>
        <v>C04440043918</v>
      </c>
      <c r="B70" s="38" t="str">
        <f>IF(J70&gt;=SUMIFS(E:E,C:C,C70),"Good to go","Short in Qty")</f>
        <v>Short in Qty</v>
      </c>
      <c r="C70" s="40">
        <v>40043918</v>
      </c>
      <c r="D70" s="40" t="s">
        <v>573</v>
      </c>
      <c r="E70" s="66">
        <v>20</v>
      </c>
      <c r="F70" s="38" t="s">
        <v>191</v>
      </c>
      <c r="G70" s="40" t="s">
        <v>269</v>
      </c>
      <c r="H70" s="38" t="s">
        <v>594</v>
      </c>
      <c r="I70" s="38" t="s">
        <v>595</v>
      </c>
      <c r="J70" s="38">
        <f>IFERROR(VLOOKUP(C:C,'[1]S&amp;S'!$B:$F,5,0),)</f>
        <v>0.88966666666667005</v>
      </c>
      <c r="K70" s="38">
        <f>IFERROR(VLOOKUP(A:A,[1]APO!$A:$F,6,0),)</f>
        <v>0</v>
      </c>
      <c r="L70" s="38">
        <f>IFERROR(VLOOKUP(C:C,'[1]TOTAL APO'!$A:$B,2,0),)</f>
        <v>0</v>
      </c>
      <c r="M70" s="38">
        <f>IFERROR(VLOOKUP(A:A,[1]Short!$A:$Q,17,0),)</f>
        <v>0</v>
      </c>
      <c r="N70" s="38">
        <f>IFERROR(VLOOKUP(C:C,[1]GIT!$B:$D,3,0),)</f>
        <v>0</v>
      </c>
      <c r="O70" s="38">
        <f>IFERROR(VLOOKUP(A:A,[2]Sheet1!$A:$B,2,0),)</f>
        <v>0</v>
      </c>
      <c r="P70" s="38">
        <f>IFERROR(VLOOKUP(A:A,[2]Sheet1!$A:$B,2,0),)</f>
        <v>0</v>
      </c>
      <c r="Q70" s="38">
        <f t="shared" si="1"/>
        <v>20</v>
      </c>
      <c r="R70" s="38"/>
      <c r="S70" s="38"/>
    </row>
    <row r="71" spans="1:19" x14ac:dyDescent="0.25">
      <c r="A71" s="38" t="str">
        <f>F71&amp;C71</f>
        <v>C12140061082</v>
      </c>
      <c r="B71" s="38" t="str">
        <f>IF(J71&gt;=SUMIFS(E:E,C:C,C71),"Good to go","Short in Qty")</f>
        <v>Good to go</v>
      </c>
      <c r="C71" s="40">
        <v>40061082</v>
      </c>
      <c r="D71" s="40" t="s">
        <v>222</v>
      </c>
      <c r="E71" s="66">
        <v>3</v>
      </c>
      <c r="F71" s="38" t="s">
        <v>194</v>
      </c>
      <c r="G71" s="40" t="s">
        <v>195</v>
      </c>
      <c r="H71" s="38" t="s">
        <v>199</v>
      </c>
      <c r="I71" s="38" t="s">
        <v>366</v>
      </c>
      <c r="J71" s="38">
        <f>IFERROR(VLOOKUP(C:C,'[1]S&amp;S'!$B:$F,5,0),)</f>
        <v>3</v>
      </c>
      <c r="K71" s="38">
        <f>IFERROR(VLOOKUP(A:A,[1]APO!$A:$F,6,0),)</f>
        <v>0</v>
      </c>
      <c r="L71" s="38">
        <f>IFERROR(VLOOKUP(C:C,'[1]TOTAL APO'!$A:$B,2,0),)</f>
        <v>0</v>
      </c>
      <c r="M71" s="38">
        <f>IFERROR(VLOOKUP(A:A,[1]Short!$A:$Q,17,0),)</f>
        <v>0</v>
      </c>
      <c r="N71" s="38">
        <f>IFERROR(VLOOKUP(C:C,[1]GIT!$B:$D,3,0),)</f>
        <v>0</v>
      </c>
      <c r="O71" s="38">
        <f>IFERROR(VLOOKUP(A:A,[2]Sheet1!$A:$B,2,0),)</f>
        <v>0</v>
      </c>
      <c r="P71" s="38">
        <f>IFERROR(VLOOKUP(A:A,[2]Sheet1!$A:$B,2,0),)</f>
        <v>0</v>
      </c>
      <c r="Q71" s="38">
        <f t="shared" si="1"/>
        <v>3</v>
      </c>
      <c r="R71" s="38"/>
      <c r="S71" s="38"/>
    </row>
    <row r="72" spans="1:19" hidden="1" x14ac:dyDescent="0.25">
      <c r="A72" s="38" t="str">
        <f>F72&amp;C72</f>
        <v>C04640043918</v>
      </c>
      <c r="B72" s="38" t="str">
        <f>IF(J72&gt;=SUMIFS(E:E,C:C,C72),"Good to go","Short in Qty")</f>
        <v>Short in Qty</v>
      </c>
      <c r="C72" s="40">
        <v>40043918</v>
      </c>
      <c r="D72" s="40" t="s">
        <v>573</v>
      </c>
      <c r="E72" s="66">
        <v>20</v>
      </c>
      <c r="F72" s="38" t="s">
        <v>13</v>
      </c>
      <c r="G72" s="40" t="s">
        <v>269</v>
      </c>
      <c r="H72" s="38" t="s">
        <v>594</v>
      </c>
      <c r="I72" s="38" t="s">
        <v>595</v>
      </c>
      <c r="J72" s="38">
        <f>IFERROR(VLOOKUP(C:C,'[1]S&amp;S'!$B:$F,5,0),)</f>
        <v>0.88966666666667005</v>
      </c>
      <c r="K72" s="38">
        <f>IFERROR(VLOOKUP(A:A,[1]APO!$A:$F,6,0),)</f>
        <v>0</v>
      </c>
      <c r="L72" s="38">
        <f>IFERROR(VLOOKUP(C:C,'[1]TOTAL APO'!$A:$B,2,0),)</f>
        <v>0</v>
      </c>
      <c r="M72" s="38">
        <f>IFERROR(VLOOKUP(A:A,[1]Short!$A:$Q,17,0),)</f>
        <v>0</v>
      </c>
      <c r="N72" s="38">
        <f>IFERROR(VLOOKUP(C:C,[1]GIT!$B:$D,3,0),)</f>
        <v>0</v>
      </c>
      <c r="O72" s="38">
        <f>IFERROR(VLOOKUP(A:A,[2]Sheet1!$A:$B,2,0),)</f>
        <v>0</v>
      </c>
      <c r="P72" s="38">
        <f>IFERROR(VLOOKUP(A:A,[2]Sheet1!$A:$B,2,0),)</f>
        <v>0</v>
      </c>
      <c r="Q72" s="38">
        <f t="shared" si="1"/>
        <v>20</v>
      </c>
      <c r="R72" s="38"/>
      <c r="S72" s="38"/>
    </row>
    <row r="73" spans="1:19" hidden="1" x14ac:dyDescent="0.25">
      <c r="A73" s="38" t="str">
        <f>F73&amp;C73</f>
        <v>C13140061668</v>
      </c>
      <c r="B73" s="38" t="str">
        <f>IF(J73&gt;=SUMIFS(E:E,C:C,C73),"Good to go","Short in Qty")</f>
        <v>Good to go</v>
      </c>
      <c r="C73" s="40">
        <v>40061668</v>
      </c>
      <c r="D73" s="40" t="s">
        <v>322</v>
      </c>
      <c r="E73" s="67">
        <v>5</v>
      </c>
      <c r="F73" s="38" t="s">
        <v>17</v>
      </c>
      <c r="G73" s="73" t="s">
        <v>467</v>
      </c>
      <c r="H73" s="38" t="s">
        <v>213</v>
      </c>
      <c r="I73" s="38" t="s">
        <v>482</v>
      </c>
      <c r="J73" s="38">
        <f>IFERROR(VLOOKUP(C:C,'[1]S&amp;S'!$B:$F,5,0),)</f>
        <v>1166.9583333333301</v>
      </c>
      <c r="K73" s="38">
        <f>IFERROR(VLOOKUP(A:A,[1]APO!$A:$F,6,0),)</f>
        <v>0</v>
      </c>
      <c r="L73" s="38">
        <f>IFERROR(VLOOKUP(C:C,'[1]TOTAL APO'!$A:$B,2,0),)</f>
        <v>0</v>
      </c>
      <c r="M73" s="38">
        <f>IFERROR(VLOOKUP(A:A,[1]Short!$A:$Q,17,0),)</f>
        <v>0</v>
      </c>
      <c r="N73" s="38">
        <f>IFERROR(VLOOKUP(C:C,[1]GIT!$B:$D,3,0),)</f>
        <v>0</v>
      </c>
      <c r="O73" s="38">
        <f>IFERROR(VLOOKUP(A:A,[2]Sheet1!$A:$B,2,0),)</f>
        <v>5</v>
      </c>
      <c r="P73" s="38">
        <f>IFERROR(VLOOKUP(A:A,[2]Sheet1!$A:$B,2,0),)</f>
        <v>5</v>
      </c>
      <c r="Q73" s="38">
        <f t="shared" si="1"/>
        <v>0</v>
      </c>
      <c r="R73" s="38"/>
      <c r="S73" s="38"/>
    </row>
    <row r="74" spans="1:19" x14ac:dyDescent="0.25">
      <c r="A74" s="38" t="str">
        <f>F74&amp;C74</f>
        <v>KT0240061668</v>
      </c>
      <c r="B74" s="38" t="str">
        <f>IF(J74&gt;=SUMIFS(E:E,C:C,C74),"Good to go","Short in Qty")</f>
        <v>Good to go</v>
      </c>
      <c r="C74" s="40">
        <v>40061668</v>
      </c>
      <c r="D74" s="40" t="s">
        <v>322</v>
      </c>
      <c r="E74" s="66">
        <v>1000</v>
      </c>
      <c r="F74" s="38" t="s">
        <v>202</v>
      </c>
      <c r="G74" s="40"/>
      <c r="H74" s="38" t="s">
        <v>203</v>
      </c>
      <c r="I74" s="38" t="s">
        <v>368</v>
      </c>
      <c r="J74" s="38">
        <f>IFERROR(VLOOKUP(C:C,'[1]S&amp;S'!$B:$F,5,0),)</f>
        <v>1166.9583333333301</v>
      </c>
      <c r="K74" s="38">
        <f>IFERROR(VLOOKUP(A:A,[1]APO!$A:$F,6,0),)</f>
        <v>0</v>
      </c>
      <c r="L74" s="38">
        <f>IFERROR(VLOOKUP(C:C,'[1]TOTAL APO'!$A:$B,2,0),)</f>
        <v>0</v>
      </c>
      <c r="M74" s="38">
        <f>IFERROR(VLOOKUP(A:A,[1]Short!$A:$Q,17,0),)</f>
        <v>0</v>
      </c>
      <c r="N74" s="38">
        <f>IFERROR(VLOOKUP(C:C,[1]GIT!$B:$D,3,0),)</f>
        <v>0</v>
      </c>
      <c r="O74" s="38">
        <f>IFERROR(VLOOKUP(A:A,[2]Sheet1!$A:$B,2,0),)</f>
        <v>0</v>
      </c>
      <c r="P74" s="38">
        <f>IFERROR(VLOOKUP(A:A,[2]Sheet1!$A:$B,2,0),)</f>
        <v>0</v>
      </c>
      <c r="Q74" s="38">
        <f t="shared" si="1"/>
        <v>1000</v>
      </c>
      <c r="R74" s="38"/>
      <c r="S74" s="38"/>
    </row>
    <row r="75" spans="1:19" x14ac:dyDescent="0.25">
      <c r="A75" s="38" t="str">
        <f>F75&amp;C75</f>
        <v>C04240063752</v>
      </c>
      <c r="B75" s="38" t="str">
        <f>IF(J75&gt;=SUMIFS(E:E,C:C,C75),"Good to go","Short in Qty")</f>
        <v>Good to go</v>
      </c>
      <c r="C75" s="40">
        <v>40063752</v>
      </c>
      <c r="D75" s="40" t="s">
        <v>514</v>
      </c>
      <c r="E75" s="66">
        <v>56</v>
      </c>
      <c r="F75" s="38" t="s">
        <v>10</v>
      </c>
      <c r="G75" s="40" t="s">
        <v>467</v>
      </c>
      <c r="H75" s="38" t="s">
        <v>9</v>
      </c>
      <c r="I75" s="38" t="s">
        <v>530</v>
      </c>
      <c r="J75" s="38">
        <f>IFERROR(VLOOKUP(C:C,'[1]S&amp;S'!$B:$F,5,0),)</f>
        <v>115</v>
      </c>
      <c r="K75" s="38">
        <f>IFERROR(VLOOKUP(A:A,[1]APO!$A:$F,6,0),)</f>
        <v>0</v>
      </c>
      <c r="L75" s="38">
        <f>IFERROR(VLOOKUP(C:C,'[1]TOTAL APO'!$A:$B,2,0),)</f>
        <v>0</v>
      </c>
      <c r="M75" s="38">
        <f>IFERROR(VLOOKUP(A:A,[1]Short!$A:$Q,17,0),)</f>
        <v>0</v>
      </c>
      <c r="N75" s="38">
        <f>IFERROR(VLOOKUP(C:C,[1]GIT!$B:$D,3,0),)</f>
        <v>0</v>
      </c>
      <c r="O75" s="38">
        <f>IFERROR(VLOOKUP(A:A,[2]Sheet1!$A:$B,2,0),)</f>
        <v>0</v>
      </c>
      <c r="P75" s="38">
        <f>IFERROR(VLOOKUP(A:A,[2]Sheet1!$A:$B,2,0),)</f>
        <v>0</v>
      </c>
      <c r="Q75" s="38">
        <f t="shared" si="1"/>
        <v>56</v>
      </c>
      <c r="R75" s="38"/>
      <c r="S75" s="38"/>
    </row>
    <row r="76" spans="1:19" hidden="1" x14ac:dyDescent="0.25">
      <c r="A76" s="38" t="str">
        <f>F76&amp;C76</f>
        <v>C04740043918</v>
      </c>
      <c r="B76" s="38" t="str">
        <f>IF(J76&gt;=SUMIFS(E:E,C:C,C76),"Good to go","Short in Qty")</f>
        <v>Short in Qty</v>
      </c>
      <c r="C76" s="40">
        <v>40043918</v>
      </c>
      <c r="D76" s="40" t="s">
        <v>573</v>
      </c>
      <c r="E76" s="66">
        <v>5</v>
      </c>
      <c r="F76" s="38" t="s">
        <v>192</v>
      </c>
      <c r="G76" s="40" t="s">
        <v>269</v>
      </c>
      <c r="H76" s="38" t="s">
        <v>594</v>
      </c>
      <c r="I76" s="38" t="s">
        <v>595</v>
      </c>
      <c r="J76" s="38">
        <f>IFERROR(VLOOKUP(C:C,'[1]S&amp;S'!$B:$F,5,0),)</f>
        <v>0.88966666666667005</v>
      </c>
      <c r="K76" s="38">
        <f>IFERROR(VLOOKUP(A:A,[1]APO!$A:$F,6,0),)</f>
        <v>0</v>
      </c>
      <c r="L76" s="38">
        <f>IFERROR(VLOOKUP(C:C,'[1]TOTAL APO'!$A:$B,2,0),)</f>
        <v>0</v>
      </c>
      <c r="M76" s="38">
        <f>IFERROR(VLOOKUP(A:A,[1]Short!$A:$Q,17,0),)</f>
        <v>0</v>
      </c>
      <c r="N76" s="38">
        <f>IFERROR(VLOOKUP(C:C,[1]GIT!$B:$D,3,0),)</f>
        <v>0</v>
      </c>
      <c r="O76" s="38">
        <f>IFERROR(VLOOKUP(A:A,[2]Sheet1!$A:$B,2,0),)</f>
        <v>0</v>
      </c>
      <c r="P76" s="38">
        <f>IFERROR(VLOOKUP(A:A,[2]Sheet1!$A:$B,2,0),)</f>
        <v>0</v>
      </c>
      <c r="Q76" s="38">
        <f t="shared" si="1"/>
        <v>5</v>
      </c>
      <c r="R76" s="38"/>
      <c r="S76" s="38"/>
    </row>
    <row r="77" spans="1:19" x14ac:dyDescent="0.25">
      <c r="A77" s="38" t="str">
        <f>F77&amp;C77</f>
        <v>KT0240061671</v>
      </c>
      <c r="B77" s="38" t="str">
        <f>IF(J77&gt;=SUMIFS(E:E,C:C,C77),"Good to go","Short in Qty")</f>
        <v>Good to go</v>
      </c>
      <c r="C77" s="40">
        <v>40061671</v>
      </c>
      <c r="D77" s="40" t="s">
        <v>359</v>
      </c>
      <c r="E77" s="66">
        <v>1500</v>
      </c>
      <c r="F77" s="38" t="s">
        <v>202</v>
      </c>
      <c r="G77" s="40"/>
      <c r="H77" s="38" t="s">
        <v>203</v>
      </c>
      <c r="I77" s="38" t="s">
        <v>368</v>
      </c>
      <c r="J77" s="38">
        <f>IFERROR(VLOOKUP(C:C,'[1]S&amp;S'!$B:$F,5,0),)</f>
        <v>1955.0208333333301</v>
      </c>
      <c r="K77" s="38">
        <f>IFERROR(VLOOKUP(A:A,[1]APO!$A:$F,6,0),)</f>
        <v>0</v>
      </c>
      <c r="L77" s="38">
        <f>IFERROR(VLOOKUP(C:C,'[1]TOTAL APO'!$A:$B,2,0),)</f>
        <v>0</v>
      </c>
      <c r="M77" s="38">
        <f>IFERROR(VLOOKUP(A:A,[1]Short!$A:$Q,17,0),)</f>
        <v>0</v>
      </c>
      <c r="N77" s="38">
        <f>IFERROR(VLOOKUP(C:C,[1]GIT!$B:$D,3,0),)</f>
        <v>0</v>
      </c>
      <c r="O77" s="38">
        <f>IFERROR(VLOOKUP(A:A,[2]Sheet1!$A:$B,2,0),)</f>
        <v>0</v>
      </c>
      <c r="P77" s="38">
        <f>IFERROR(VLOOKUP(A:A,[2]Sheet1!$A:$B,2,0),)</f>
        <v>0</v>
      </c>
      <c r="Q77" s="38">
        <f t="shared" si="1"/>
        <v>1500</v>
      </c>
      <c r="R77" s="38"/>
      <c r="S77" s="38"/>
    </row>
    <row r="78" spans="1:19" hidden="1" x14ac:dyDescent="0.25">
      <c r="A78" s="38" t="str">
        <f>F78&amp;C78</f>
        <v>C04640061999</v>
      </c>
      <c r="B78" s="38" t="str">
        <f>IF(J78&gt;=SUMIFS(E:E,C:C,C78),"Good to go","Short in Qty")</f>
        <v>Good to go</v>
      </c>
      <c r="C78" s="40">
        <v>40061999</v>
      </c>
      <c r="D78" s="40" t="s">
        <v>316</v>
      </c>
      <c r="E78" s="66">
        <v>13</v>
      </c>
      <c r="F78" s="38" t="s">
        <v>13</v>
      </c>
      <c r="G78" s="40" t="s">
        <v>467</v>
      </c>
      <c r="H78" s="38" t="s">
        <v>151</v>
      </c>
      <c r="I78" s="38" t="s">
        <v>369</v>
      </c>
      <c r="J78" s="38">
        <f>IFERROR(VLOOKUP(C:C,'[1]S&amp;S'!$B:$F,5,0),)</f>
        <v>359</v>
      </c>
      <c r="K78" s="38">
        <f>IFERROR(VLOOKUP(A:A,[1]APO!$A:$F,6,0),)</f>
        <v>0</v>
      </c>
      <c r="L78" s="38">
        <f>IFERROR(VLOOKUP(C:C,'[1]TOTAL APO'!$A:$B,2,0),)</f>
        <v>0</v>
      </c>
      <c r="M78" s="38">
        <f>IFERROR(VLOOKUP(A:A,[1]Short!$A:$Q,17,0),)</f>
        <v>0</v>
      </c>
      <c r="N78" s="38">
        <f>IFERROR(VLOOKUP(C:C,[1]GIT!$B:$D,3,0),)</f>
        <v>0</v>
      </c>
      <c r="O78" s="38">
        <f>IFERROR(VLOOKUP(A:A,[2]Sheet1!$A:$B,2,0),)</f>
        <v>13</v>
      </c>
      <c r="P78" s="38">
        <f>IFERROR(VLOOKUP(A:A,[2]Sheet1!$A:$B,2,0),)</f>
        <v>13</v>
      </c>
      <c r="Q78" s="38">
        <f t="shared" si="1"/>
        <v>0</v>
      </c>
      <c r="R78" s="38"/>
      <c r="S78" s="38"/>
    </row>
    <row r="79" spans="1:19" hidden="1" x14ac:dyDescent="0.25">
      <c r="A79" s="38" t="str">
        <f>F79&amp;C79</f>
        <v>C04240063700</v>
      </c>
      <c r="B79" s="38" t="str">
        <f>IF(J79&gt;=SUMIFS(E:E,C:C,C79),"Good to go","Short in Qty")</f>
        <v>Good to go</v>
      </c>
      <c r="C79" s="40">
        <v>40063700</v>
      </c>
      <c r="D79" s="40" t="s">
        <v>237</v>
      </c>
      <c r="E79" s="66">
        <v>52</v>
      </c>
      <c r="F79" s="38" t="s">
        <v>10</v>
      </c>
      <c r="G79" s="40" t="s">
        <v>467</v>
      </c>
      <c r="H79" s="38" t="s">
        <v>9</v>
      </c>
      <c r="I79" s="38" t="s">
        <v>530</v>
      </c>
      <c r="J79" s="38">
        <f>IFERROR(VLOOKUP(C:C,'[1]S&amp;S'!$B:$F,5,0),)</f>
        <v>9071</v>
      </c>
      <c r="K79" s="38">
        <f>IFERROR(VLOOKUP(A:A,[1]APO!$A:$F,6,0),)</f>
        <v>0</v>
      </c>
      <c r="L79" s="38">
        <f>IFERROR(VLOOKUP(C:C,'[1]TOTAL APO'!$A:$B,2,0),)</f>
        <v>0</v>
      </c>
      <c r="M79" s="38">
        <f>IFERROR(VLOOKUP(A:A,[1]Short!$A:$Q,17,0),)</f>
        <v>0</v>
      </c>
      <c r="N79" s="38">
        <f>IFERROR(VLOOKUP(C:C,[1]GIT!$B:$D,3,0),)</f>
        <v>0</v>
      </c>
      <c r="O79" s="38">
        <f>IFERROR(VLOOKUP(A:A,[2]Sheet1!$A:$B,2,0),)</f>
        <v>52</v>
      </c>
      <c r="P79" s="38">
        <f>IFERROR(VLOOKUP(A:A,[2]Sheet1!$A:$B,2,0),)</f>
        <v>52</v>
      </c>
      <c r="Q79" s="38">
        <f t="shared" si="1"/>
        <v>0</v>
      </c>
      <c r="R79" s="38"/>
      <c r="S79" s="38"/>
    </row>
    <row r="80" spans="1:19" hidden="1" x14ac:dyDescent="0.25">
      <c r="A80" s="38" t="str">
        <f>F80&amp;C80</f>
        <v>C11140061999</v>
      </c>
      <c r="B80" s="38" t="str">
        <f>IF(J80&gt;=SUMIFS(E:E,C:C,C80),"Good to go","Short in Qty")</f>
        <v>Good to go</v>
      </c>
      <c r="C80" s="40">
        <v>40061999</v>
      </c>
      <c r="D80" s="40" t="s">
        <v>316</v>
      </c>
      <c r="E80" s="66">
        <v>130</v>
      </c>
      <c r="F80" s="38" t="s">
        <v>16</v>
      </c>
      <c r="G80" s="40" t="s">
        <v>467</v>
      </c>
      <c r="H80" s="38" t="s">
        <v>213</v>
      </c>
      <c r="I80" s="38" t="s">
        <v>482</v>
      </c>
      <c r="J80" s="38">
        <f>IFERROR(VLOOKUP(C:C,'[1]S&amp;S'!$B:$F,5,0),)</f>
        <v>359</v>
      </c>
      <c r="K80" s="38">
        <f>IFERROR(VLOOKUP(A:A,[1]APO!$A:$F,6,0),)</f>
        <v>0</v>
      </c>
      <c r="L80" s="38">
        <f>IFERROR(VLOOKUP(C:C,'[1]TOTAL APO'!$A:$B,2,0),)</f>
        <v>0</v>
      </c>
      <c r="M80" s="38">
        <f>IFERROR(VLOOKUP(A:A,[1]Short!$A:$Q,17,0),)</f>
        <v>0</v>
      </c>
      <c r="N80" s="38">
        <f>IFERROR(VLOOKUP(C:C,[1]GIT!$B:$D,3,0),)</f>
        <v>0</v>
      </c>
      <c r="O80" s="38">
        <f>IFERROR(VLOOKUP(A:A,[2]Sheet1!$A:$B,2,0),)</f>
        <v>130</v>
      </c>
      <c r="P80" s="38">
        <f>IFERROR(VLOOKUP(A:A,[2]Sheet1!$A:$B,2,0),)</f>
        <v>130</v>
      </c>
      <c r="Q80" s="38">
        <f t="shared" si="1"/>
        <v>0</v>
      </c>
      <c r="R80" s="38"/>
      <c r="S80" s="38"/>
    </row>
    <row r="81" spans="1:19" hidden="1" x14ac:dyDescent="0.25">
      <c r="A81" s="38" t="str">
        <f>F81&amp;C81</f>
        <v>C04840062464</v>
      </c>
      <c r="B81" s="38" t="str">
        <f>IF(J81&gt;=SUMIFS(E:E,C:C,C81),"Good to go","Short in Qty")</f>
        <v>Good to go</v>
      </c>
      <c r="C81" s="40">
        <v>40062464</v>
      </c>
      <c r="D81" s="40" t="s">
        <v>220</v>
      </c>
      <c r="E81" s="66">
        <v>27</v>
      </c>
      <c r="F81" s="38" t="s">
        <v>8</v>
      </c>
      <c r="G81" s="73" t="s">
        <v>467</v>
      </c>
      <c r="H81" s="38" t="s">
        <v>84</v>
      </c>
      <c r="I81" s="38" t="s">
        <v>620</v>
      </c>
      <c r="J81" s="38">
        <f>IFERROR(VLOOKUP(C:C,'[1]S&amp;S'!$B:$F,5,0),)</f>
        <v>139</v>
      </c>
      <c r="K81" s="38">
        <f>IFERROR(VLOOKUP(A:A,[1]APO!$A:$F,6,0),)</f>
        <v>0</v>
      </c>
      <c r="L81" s="38">
        <f>IFERROR(VLOOKUP(C:C,'[1]TOTAL APO'!$A:$B,2,0),)</f>
        <v>0</v>
      </c>
      <c r="M81" s="38">
        <f>IFERROR(VLOOKUP(A:A,[1]Short!$A:$Q,17,0),)</f>
        <v>0</v>
      </c>
      <c r="N81" s="38">
        <f>IFERROR(VLOOKUP(C:C,[1]GIT!$B:$D,3,0),)</f>
        <v>0</v>
      </c>
      <c r="O81" s="38">
        <f>IFERROR(VLOOKUP(A:A,[2]Sheet1!$A:$B,2,0),)</f>
        <v>27</v>
      </c>
      <c r="P81" s="38">
        <f>IFERROR(VLOOKUP(A:A,[2]Sheet1!$A:$B,2,0),)</f>
        <v>27</v>
      </c>
      <c r="Q81" s="38">
        <f t="shared" si="1"/>
        <v>0</v>
      </c>
      <c r="R81" s="38"/>
      <c r="S81" s="38"/>
    </row>
    <row r="82" spans="1:19" hidden="1" x14ac:dyDescent="0.25">
      <c r="A82" s="38" t="str">
        <f>F82&amp;C82</f>
        <v>C04440038891</v>
      </c>
      <c r="B82" s="38" t="str">
        <f>IF(J82&gt;=SUMIFS(E:E,C:C,C82),"Good to go","Short in Qty")</f>
        <v>Good to go</v>
      </c>
      <c r="C82" s="40">
        <v>40038891</v>
      </c>
      <c r="D82" s="40" t="s">
        <v>502</v>
      </c>
      <c r="E82" s="66">
        <v>1</v>
      </c>
      <c r="F82" s="38" t="s">
        <v>191</v>
      </c>
      <c r="G82" s="40" t="s">
        <v>467</v>
      </c>
      <c r="H82" s="38" t="s">
        <v>84</v>
      </c>
      <c r="I82" s="38" t="s">
        <v>620</v>
      </c>
      <c r="J82" s="38">
        <f>IFERROR(VLOOKUP(C:C,'[1]S&amp;S'!$B:$F,5,0),)</f>
        <v>10.0027777777778</v>
      </c>
      <c r="K82" s="38">
        <f>IFERROR(VLOOKUP(A:A,[1]APO!$A:$F,6,0),)</f>
        <v>0</v>
      </c>
      <c r="L82" s="38">
        <f>IFERROR(VLOOKUP(C:C,'[1]TOTAL APO'!$A:$B,2,0),)</f>
        <v>0</v>
      </c>
      <c r="M82" s="38">
        <f>IFERROR(VLOOKUP(A:A,[1]Short!$A:$Q,17,0),)</f>
        <v>0</v>
      </c>
      <c r="N82" s="38">
        <f>IFERROR(VLOOKUP(C:C,[1]GIT!$B:$D,3,0),)</f>
        <v>0</v>
      </c>
      <c r="O82" s="38">
        <f>IFERROR(VLOOKUP(A:A,[2]Sheet1!$A:$B,2,0),)</f>
        <v>1</v>
      </c>
      <c r="P82" s="38">
        <f>IFERROR(VLOOKUP(A:A,[2]Sheet1!$A:$B,2,0),)</f>
        <v>1</v>
      </c>
      <c r="Q82" s="38">
        <f t="shared" si="1"/>
        <v>0</v>
      </c>
      <c r="R82" s="38"/>
      <c r="S82" s="38"/>
    </row>
    <row r="83" spans="1:19" hidden="1" x14ac:dyDescent="0.25">
      <c r="A83" s="38" t="str">
        <f>F83&amp;C83</f>
        <v>C04840050858</v>
      </c>
      <c r="B83" s="38" t="str">
        <f>IF(J83&gt;=SUMIFS(E:E,C:C,C83),"Good to go","Short in Qty")</f>
        <v>Good to go</v>
      </c>
      <c r="C83" s="40">
        <v>40050858</v>
      </c>
      <c r="D83" s="40" t="s">
        <v>618</v>
      </c>
      <c r="E83" s="66">
        <v>4</v>
      </c>
      <c r="F83" s="38" t="s">
        <v>8</v>
      </c>
      <c r="G83" s="73" t="s">
        <v>467</v>
      </c>
      <c r="H83" s="38" t="s">
        <v>84</v>
      </c>
      <c r="I83" s="38" t="s">
        <v>620</v>
      </c>
      <c r="J83" s="38">
        <f>IFERROR(VLOOKUP(C:C,'[1]S&amp;S'!$B:$F,5,0),)</f>
        <v>67</v>
      </c>
      <c r="K83" s="38">
        <f>IFERROR(VLOOKUP(A:A,[1]APO!$A:$F,6,0),)</f>
        <v>0</v>
      </c>
      <c r="L83" s="38">
        <f>IFERROR(VLOOKUP(C:C,'[1]TOTAL APO'!$A:$B,2,0),)</f>
        <v>0</v>
      </c>
      <c r="M83" s="38">
        <f>IFERROR(VLOOKUP(A:A,[1]Short!$A:$Q,17,0),)</f>
        <v>0</v>
      </c>
      <c r="N83" s="38">
        <f>IFERROR(VLOOKUP(C:C,[1]GIT!$B:$D,3,0),)</f>
        <v>0</v>
      </c>
      <c r="O83" s="38">
        <f>IFERROR(VLOOKUP(A:A,[2]Sheet1!$A:$B,2,0),)</f>
        <v>0</v>
      </c>
      <c r="P83" s="38">
        <f>IFERROR(VLOOKUP(A:A,[2]Sheet1!$A:$B,2,0),)</f>
        <v>0</v>
      </c>
      <c r="Q83" s="38">
        <f t="shared" si="1"/>
        <v>4</v>
      </c>
      <c r="R83" s="38"/>
      <c r="S83" s="38"/>
    </row>
    <row r="84" spans="1:19" x14ac:dyDescent="0.25">
      <c r="A84" s="38" t="str">
        <f>F84&amp;C84</f>
        <v>C04440039559</v>
      </c>
      <c r="B84" s="38" t="str">
        <f>IF(J84&gt;=SUMIFS(E:E,C:C,C84),"Good to go","Short in Qty")</f>
        <v>Good to go</v>
      </c>
      <c r="C84" s="40">
        <v>40039559</v>
      </c>
      <c r="D84" s="40" t="s">
        <v>517</v>
      </c>
      <c r="E84" s="66">
        <v>3</v>
      </c>
      <c r="F84" s="38" t="s">
        <v>191</v>
      </c>
      <c r="G84" s="40">
        <v>2</v>
      </c>
      <c r="H84" s="38" t="s">
        <v>9</v>
      </c>
      <c r="I84" s="38" t="s">
        <v>530</v>
      </c>
      <c r="J84" s="38">
        <f>IFERROR(VLOOKUP(C:C,'[1]S&amp;S'!$B:$F,5,0),)</f>
        <v>14</v>
      </c>
      <c r="K84" s="38">
        <f>IFERROR(VLOOKUP(A:A,[1]APO!$A:$F,6,0),)</f>
        <v>0</v>
      </c>
      <c r="L84" s="38">
        <f>IFERROR(VLOOKUP(C:C,'[1]TOTAL APO'!$A:$B,2,0),)</f>
        <v>0</v>
      </c>
      <c r="M84" s="38">
        <f>IFERROR(VLOOKUP(A:A,[1]Short!$A:$Q,17,0),)</f>
        <v>0</v>
      </c>
      <c r="N84" s="38">
        <f>IFERROR(VLOOKUP(C:C,[1]GIT!$B:$D,3,0),)</f>
        <v>0</v>
      </c>
      <c r="O84" s="38">
        <f>IFERROR(VLOOKUP(A:A,[2]Sheet1!$A:$B,2,0),)</f>
        <v>0</v>
      </c>
      <c r="P84" s="38">
        <f>IFERROR(VLOOKUP(A:A,[2]Sheet1!$A:$B,2,0),)</f>
        <v>0</v>
      </c>
      <c r="Q84" s="38">
        <f t="shared" si="1"/>
        <v>3</v>
      </c>
      <c r="R84" s="38"/>
      <c r="S84" s="38"/>
    </row>
    <row r="85" spans="1:19" x14ac:dyDescent="0.25">
      <c r="A85" s="38" t="str">
        <f>F85&amp;C85</f>
        <v>C12140062071</v>
      </c>
      <c r="B85" s="38" t="str">
        <f>IF(J85&gt;=SUMIFS(E:E,C:C,C85),"Good to go","Short in Qty")</f>
        <v>Good to go</v>
      </c>
      <c r="C85" s="40">
        <v>40062071</v>
      </c>
      <c r="D85" s="40" t="s">
        <v>224</v>
      </c>
      <c r="E85" s="66">
        <v>9</v>
      </c>
      <c r="F85" s="38" t="s">
        <v>194</v>
      </c>
      <c r="G85" s="40" t="s">
        <v>195</v>
      </c>
      <c r="H85" s="38" t="s">
        <v>9</v>
      </c>
      <c r="I85" s="38" t="s">
        <v>376</v>
      </c>
      <c r="J85" s="38">
        <f>IFERROR(VLOOKUP(C:C,'[1]S&amp;S'!$B:$F,5,0),)</f>
        <v>1950</v>
      </c>
      <c r="K85" s="38">
        <f>IFERROR(VLOOKUP(A:A,[1]APO!$A:$F,6,0),)</f>
        <v>0</v>
      </c>
      <c r="L85" s="38">
        <f>IFERROR(VLOOKUP(C:C,'[1]TOTAL APO'!$A:$B,2,0),)</f>
        <v>0</v>
      </c>
      <c r="M85" s="38">
        <f>IFERROR(VLOOKUP(A:A,[1]Short!$A:$Q,17,0),)</f>
        <v>0</v>
      </c>
      <c r="N85" s="38">
        <f>IFERROR(VLOOKUP(C:C,[1]GIT!$B:$D,3,0),)</f>
        <v>1500</v>
      </c>
      <c r="O85" s="38">
        <f>IFERROR(VLOOKUP(A:A,[2]Sheet1!$A:$B,2,0),)</f>
        <v>0</v>
      </c>
      <c r="P85" s="38">
        <f>IFERROR(VLOOKUP(A:A,[2]Sheet1!$A:$B,2,0),)</f>
        <v>0</v>
      </c>
      <c r="Q85" s="38">
        <f t="shared" si="1"/>
        <v>9</v>
      </c>
      <c r="R85" s="38"/>
      <c r="S85" s="38"/>
    </row>
    <row r="86" spans="1:19" x14ac:dyDescent="0.25">
      <c r="A86" s="38" t="str">
        <f>F86&amp;C86</f>
        <v>C10240062197</v>
      </c>
      <c r="B86" s="38" t="str">
        <f>IF(J86&gt;=SUMIFS(E:E,C:C,C86),"Good to go","Short in Qty")</f>
        <v>Good to go</v>
      </c>
      <c r="C86" s="40">
        <v>40062197</v>
      </c>
      <c r="D86" s="40" t="s">
        <v>225</v>
      </c>
      <c r="E86" s="66">
        <v>119</v>
      </c>
      <c r="F86" s="38" t="s">
        <v>226</v>
      </c>
      <c r="G86" s="40" t="s">
        <v>195</v>
      </c>
      <c r="H86" s="38" t="s">
        <v>227</v>
      </c>
      <c r="I86" s="38" t="s">
        <v>377</v>
      </c>
      <c r="J86" s="38">
        <f>IFERROR(VLOOKUP(C:C,'[1]S&amp;S'!$B:$F,5,0),)</f>
        <v>119</v>
      </c>
      <c r="K86" s="38">
        <f>IFERROR(VLOOKUP(A:A,[1]APO!$A:$F,6,0),)</f>
        <v>0</v>
      </c>
      <c r="L86" s="38">
        <f>IFERROR(VLOOKUP(C:C,'[1]TOTAL APO'!$A:$B,2,0),)</f>
        <v>0</v>
      </c>
      <c r="M86" s="38">
        <f>IFERROR(VLOOKUP(A:A,[1]Short!$A:$Q,17,0),)</f>
        <v>0</v>
      </c>
      <c r="N86" s="38">
        <f>IFERROR(VLOOKUP(C:C,[1]GIT!$B:$D,3,0),)</f>
        <v>0</v>
      </c>
      <c r="O86" s="38">
        <f>IFERROR(VLOOKUP(A:A,[2]Sheet1!$A:$B,2,0),)</f>
        <v>0</v>
      </c>
      <c r="P86" s="38">
        <f>IFERROR(VLOOKUP(A:A,[2]Sheet1!$A:$B,2,0),)</f>
        <v>0</v>
      </c>
      <c r="Q86" s="38">
        <f t="shared" si="1"/>
        <v>119</v>
      </c>
      <c r="R86" s="38"/>
      <c r="S86" s="38"/>
    </row>
    <row r="87" spans="1:19" hidden="1" x14ac:dyDescent="0.25">
      <c r="A87" s="38" t="str">
        <f>F87&amp;C87</f>
        <v>C04840043918</v>
      </c>
      <c r="B87" s="38" t="str">
        <f>IF(J87&gt;=SUMIFS(E:E,C:C,C87),"Good to go","Short in Qty")</f>
        <v>Short in Qty</v>
      </c>
      <c r="C87" s="40">
        <v>40043918</v>
      </c>
      <c r="D87" s="40" t="s">
        <v>573</v>
      </c>
      <c r="E87" s="66">
        <v>20</v>
      </c>
      <c r="F87" s="38" t="s">
        <v>8</v>
      </c>
      <c r="G87" s="40" t="s">
        <v>269</v>
      </c>
      <c r="H87" s="38" t="s">
        <v>594</v>
      </c>
      <c r="I87" s="38" t="s">
        <v>595</v>
      </c>
      <c r="J87" s="38">
        <f>IFERROR(VLOOKUP(C:C,'[1]S&amp;S'!$B:$F,5,0),)</f>
        <v>0.88966666666667005</v>
      </c>
      <c r="K87" s="38">
        <f>IFERROR(VLOOKUP(A:A,[1]APO!$A:$F,6,0),)</f>
        <v>0</v>
      </c>
      <c r="L87" s="38">
        <f>IFERROR(VLOOKUP(C:C,'[1]TOTAL APO'!$A:$B,2,0),)</f>
        <v>0</v>
      </c>
      <c r="M87" s="38">
        <f>IFERROR(VLOOKUP(A:A,[1]Short!$A:$Q,17,0),)</f>
        <v>0</v>
      </c>
      <c r="N87" s="38">
        <f>IFERROR(VLOOKUP(C:C,[1]GIT!$B:$D,3,0),)</f>
        <v>0</v>
      </c>
      <c r="O87" s="38">
        <f>IFERROR(VLOOKUP(A:A,[2]Sheet1!$A:$B,2,0),)</f>
        <v>0</v>
      </c>
      <c r="P87" s="38">
        <f>IFERROR(VLOOKUP(A:A,[2]Sheet1!$A:$B,2,0),)</f>
        <v>0</v>
      </c>
      <c r="Q87" s="38">
        <f t="shared" si="1"/>
        <v>20</v>
      </c>
      <c r="R87" s="38"/>
      <c r="S87" s="38"/>
    </row>
    <row r="88" spans="1:19" hidden="1" x14ac:dyDescent="0.25">
      <c r="A88" s="38" t="str">
        <f>F88&amp;C88</f>
        <v>C04340059678</v>
      </c>
      <c r="B88" s="38" t="str">
        <f>IF(J88&gt;=SUMIFS(E:E,C:C,C88),"Good to go","Short in Qty")</f>
        <v>Good to go</v>
      </c>
      <c r="C88" s="40">
        <v>40059678</v>
      </c>
      <c r="D88" s="40" t="s">
        <v>449</v>
      </c>
      <c r="E88" s="69">
        <v>60</v>
      </c>
      <c r="F88" s="38" t="s">
        <v>11</v>
      </c>
      <c r="G88" s="40" t="s">
        <v>467</v>
      </c>
      <c r="H88" s="38" t="s">
        <v>248</v>
      </c>
      <c r="I88" s="38" t="s">
        <v>457</v>
      </c>
      <c r="J88" s="38">
        <f>IFERROR(VLOOKUP(C:C,'[1]S&amp;S'!$B:$F,5,0),)</f>
        <v>100</v>
      </c>
      <c r="K88" s="38">
        <f>IFERROR(VLOOKUP(A:A,[1]APO!$A:$F,6,0),)</f>
        <v>0</v>
      </c>
      <c r="L88" s="38">
        <f>IFERROR(VLOOKUP(C:C,'[1]TOTAL APO'!$A:$B,2,0),)</f>
        <v>0</v>
      </c>
      <c r="M88" s="38">
        <f>IFERROR(VLOOKUP(A:A,[1]Short!$A:$Q,17,0),)</f>
        <v>0</v>
      </c>
      <c r="N88" s="38">
        <f>IFERROR(VLOOKUP(C:C,[1]GIT!$B:$D,3,0),)</f>
        <v>100</v>
      </c>
      <c r="O88" s="38">
        <f>IFERROR(VLOOKUP(A:A,[2]Sheet1!$A:$B,2,0),)</f>
        <v>60</v>
      </c>
      <c r="P88" s="38">
        <f>IFERROR(VLOOKUP(A:A,[2]Sheet1!$A:$B,2,0),)</f>
        <v>60</v>
      </c>
      <c r="Q88" s="38">
        <f t="shared" si="1"/>
        <v>0</v>
      </c>
      <c r="R88" s="38"/>
      <c r="S88" s="38"/>
    </row>
    <row r="89" spans="1:19" hidden="1" x14ac:dyDescent="0.25">
      <c r="A89" s="38" t="str">
        <f>F89&amp;C89</f>
        <v>C04340044139</v>
      </c>
      <c r="B89" s="38" t="str">
        <f>IF(J89&gt;=SUMIFS(E:E,C:C,C89),"Good to go","Short in Qty")</f>
        <v>Good to go</v>
      </c>
      <c r="C89" s="40">
        <v>40044139</v>
      </c>
      <c r="D89" s="40" t="s">
        <v>562</v>
      </c>
      <c r="E89" s="66">
        <v>6</v>
      </c>
      <c r="F89" s="38" t="s">
        <v>11</v>
      </c>
      <c r="G89" s="40" t="s">
        <v>467</v>
      </c>
      <c r="H89" s="38" t="s">
        <v>594</v>
      </c>
      <c r="I89" s="38" t="s">
        <v>595</v>
      </c>
      <c r="J89" s="38">
        <f>IFERROR(VLOOKUP(C:C,'[1]S&amp;S'!$B:$F,5,0),)</f>
        <v>6.25</v>
      </c>
      <c r="K89" s="38">
        <f>IFERROR(VLOOKUP(A:A,[1]APO!$A:$F,6,0),)</f>
        <v>0</v>
      </c>
      <c r="L89" s="38">
        <f>IFERROR(VLOOKUP(C:C,'[1]TOTAL APO'!$A:$B,2,0),)</f>
        <v>0</v>
      </c>
      <c r="M89" s="38">
        <f>IFERROR(VLOOKUP(A:A,[1]Short!$A:$Q,17,0),)</f>
        <v>0</v>
      </c>
      <c r="N89" s="38">
        <f>IFERROR(VLOOKUP(C:C,[1]GIT!$B:$D,3,0),)</f>
        <v>0</v>
      </c>
      <c r="O89" s="38">
        <f>IFERROR(VLOOKUP(A:A,[2]Sheet1!$A:$B,2,0),)</f>
        <v>6</v>
      </c>
      <c r="P89" s="38">
        <f>IFERROR(VLOOKUP(A:A,[2]Sheet1!$A:$B,2,0),)</f>
        <v>6</v>
      </c>
      <c r="Q89" s="38">
        <f t="shared" si="1"/>
        <v>0</v>
      </c>
      <c r="R89" s="38"/>
      <c r="S89" s="38"/>
    </row>
    <row r="90" spans="1:19" x14ac:dyDescent="0.25">
      <c r="A90" s="38" t="str">
        <f>F90&amp;C90</f>
        <v>C04840063752</v>
      </c>
      <c r="B90" s="38" t="str">
        <f>IF(J90&gt;=SUMIFS(E:E,C:C,C90),"Good to go","Short in Qty")</f>
        <v>Good to go</v>
      </c>
      <c r="C90" s="40">
        <v>40063752</v>
      </c>
      <c r="D90" s="40" t="s">
        <v>514</v>
      </c>
      <c r="E90" s="66">
        <v>41</v>
      </c>
      <c r="F90" s="38" t="s">
        <v>8</v>
      </c>
      <c r="G90" s="40" t="s">
        <v>467</v>
      </c>
      <c r="H90" s="38" t="s">
        <v>9</v>
      </c>
      <c r="I90" s="38" t="s">
        <v>530</v>
      </c>
      <c r="J90" s="38">
        <f>IFERROR(VLOOKUP(C:C,'[1]S&amp;S'!$B:$F,5,0),)</f>
        <v>115</v>
      </c>
      <c r="K90" s="38">
        <f>IFERROR(VLOOKUP(A:A,[1]APO!$A:$F,6,0),)</f>
        <v>0</v>
      </c>
      <c r="L90" s="38">
        <f>IFERROR(VLOOKUP(C:C,'[1]TOTAL APO'!$A:$B,2,0),)</f>
        <v>0</v>
      </c>
      <c r="M90" s="38">
        <f>IFERROR(VLOOKUP(A:A,[1]Short!$A:$Q,17,0),)</f>
        <v>0</v>
      </c>
      <c r="N90" s="38">
        <f>IFERROR(VLOOKUP(C:C,[1]GIT!$B:$D,3,0),)</f>
        <v>0</v>
      </c>
      <c r="O90" s="38">
        <f>IFERROR(VLOOKUP(A:A,[2]Sheet1!$A:$B,2,0),)</f>
        <v>0</v>
      </c>
      <c r="P90" s="38">
        <f>IFERROR(VLOOKUP(A:A,[2]Sheet1!$A:$B,2,0),)</f>
        <v>0</v>
      </c>
      <c r="Q90" s="38">
        <f t="shared" si="1"/>
        <v>41</v>
      </c>
      <c r="R90" s="38"/>
      <c r="S90" s="38"/>
    </row>
    <row r="91" spans="1:19" hidden="1" x14ac:dyDescent="0.25">
      <c r="A91" s="38" t="str">
        <f>F91&amp;C91</f>
        <v>C04840063022</v>
      </c>
      <c r="B91" s="38" t="str">
        <f>IF(J91&gt;=SUMIFS(E:E,C:C,C91),"Good to go","Short in Qty")</f>
        <v>Good to go</v>
      </c>
      <c r="C91" s="40">
        <v>40063022</v>
      </c>
      <c r="D91" s="40" t="s">
        <v>603</v>
      </c>
      <c r="E91" s="66">
        <v>65</v>
      </c>
      <c r="F91" s="38" t="s">
        <v>8</v>
      </c>
      <c r="G91" s="73" t="s">
        <v>467</v>
      </c>
      <c r="H91" s="38" t="s">
        <v>84</v>
      </c>
      <c r="I91" s="38" t="s">
        <v>620</v>
      </c>
      <c r="J91" s="38">
        <f>IFERROR(VLOOKUP(C:C,'[1]S&amp;S'!$B:$F,5,0),)</f>
        <v>224</v>
      </c>
      <c r="K91" s="38">
        <f>IFERROR(VLOOKUP(A:A,[1]APO!$A:$F,6,0),)</f>
        <v>0</v>
      </c>
      <c r="L91" s="38">
        <f>IFERROR(VLOOKUP(C:C,'[1]TOTAL APO'!$A:$B,2,0),)</f>
        <v>0</v>
      </c>
      <c r="M91" s="38">
        <f>IFERROR(VLOOKUP(A:A,[1]Short!$A:$Q,17,0),)</f>
        <v>0</v>
      </c>
      <c r="N91" s="38">
        <f>IFERROR(VLOOKUP(C:C,[1]GIT!$B:$D,3,0),)</f>
        <v>0</v>
      </c>
      <c r="O91" s="38">
        <f>IFERROR(VLOOKUP(A:A,[2]Sheet1!$A:$B,2,0),)</f>
        <v>65</v>
      </c>
      <c r="P91" s="38">
        <f>IFERROR(VLOOKUP(A:A,[2]Sheet1!$A:$B,2,0),)</f>
        <v>65</v>
      </c>
      <c r="Q91" s="38">
        <f t="shared" si="1"/>
        <v>0</v>
      </c>
      <c r="R91" s="38"/>
      <c r="S91" s="38"/>
    </row>
    <row r="92" spans="1:19" hidden="1" x14ac:dyDescent="0.25">
      <c r="A92" s="38" t="str">
        <f>F92&amp;C92</f>
        <v>C04840063753</v>
      </c>
      <c r="B92" s="38" t="str">
        <f>IF(J92&gt;=SUMIFS(E:E,C:C,C92),"Good to go","Short in Qty")</f>
        <v>Good to go</v>
      </c>
      <c r="C92" s="40">
        <v>40063753</v>
      </c>
      <c r="D92" s="40" t="s">
        <v>513</v>
      </c>
      <c r="E92" s="66">
        <v>40</v>
      </c>
      <c r="F92" s="38" t="s">
        <v>8</v>
      </c>
      <c r="G92" s="73" t="s">
        <v>467</v>
      </c>
      <c r="H92" s="38" t="s">
        <v>84</v>
      </c>
      <c r="I92" s="38" t="s">
        <v>620</v>
      </c>
      <c r="J92" s="38">
        <f>IFERROR(VLOOKUP(C:C,'[1]S&amp;S'!$B:$F,5,0),)</f>
        <v>7686</v>
      </c>
      <c r="K92" s="38">
        <f>IFERROR(VLOOKUP(A:A,[1]APO!$A:$F,6,0),)</f>
        <v>0</v>
      </c>
      <c r="L92" s="38">
        <f>IFERROR(VLOOKUP(C:C,'[1]TOTAL APO'!$A:$B,2,0),)</f>
        <v>0</v>
      </c>
      <c r="M92" s="38">
        <f>IFERROR(VLOOKUP(A:A,[1]Short!$A:$Q,17,0),)</f>
        <v>0</v>
      </c>
      <c r="N92" s="38">
        <f>IFERROR(VLOOKUP(C:C,[1]GIT!$B:$D,3,0),)</f>
        <v>0</v>
      </c>
      <c r="O92" s="38">
        <f>IFERROR(VLOOKUP(A:A,[2]Sheet1!$A:$B,2,0),)</f>
        <v>40</v>
      </c>
      <c r="P92" s="38">
        <f>IFERROR(VLOOKUP(A:A,[2]Sheet1!$A:$B,2,0),)</f>
        <v>40</v>
      </c>
      <c r="Q92" s="38">
        <f t="shared" si="1"/>
        <v>0</v>
      </c>
      <c r="R92" s="38"/>
      <c r="S92" s="38"/>
    </row>
    <row r="93" spans="1:19" hidden="1" x14ac:dyDescent="0.25">
      <c r="A93" s="38" t="str">
        <f>F93&amp;C93</f>
        <v>C04640062328</v>
      </c>
      <c r="B93" s="38" t="str">
        <f>IF(J93&gt;=SUMIFS(E:E,C:C,C93),"Good to go","Short in Qty")</f>
        <v>Good to go</v>
      </c>
      <c r="C93" s="40">
        <v>40062328</v>
      </c>
      <c r="D93" s="40" t="s">
        <v>329</v>
      </c>
      <c r="E93" s="66">
        <v>3</v>
      </c>
      <c r="F93" s="38" t="s">
        <v>13</v>
      </c>
      <c r="G93" s="40" t="s">
        <v>467</v>
      </c>
      <c r="H93" s="38" t="s">
        <v>151</v>
      </c>
      <c r="I93" s="38" t="s">
        <v>369</v>
      </c>
      <c r="J93" s="38">
        <f>IFERROR(VLOOKUP(C:C,'[1]S&amp;S'!$B:$F,5,0),)</f>
        <v>103</v>
      </c>
      <c r="K93" s="38">
        <f>IFERROR(VLOOKUP(A:A,[1]APO!$A:$F,6,0),)</f>
        <v>0</v>
      </c>
      <c r="L93" s="38">
        <f>IFERROR(VLOOKUP(C:C,'[1]TOTAL APO'!$A:$B,2,0),)</f>
        <v>0</v>
      </c>
      <c r="M93" s="38">
        <f>IFERROR(VLOOKUP(A:A,[1]Short!$A:$Q,17,0),)</f>
        <v>0</v>
      </c>
      <c r="N93" s="38">
        <f>IFERROR(VLOOKUP(C:C,[1]GIT!$B:$D,3,0),)</f>
        <v>3</v>
      </c>
      <c r="O93" s="38">
        <f>IFERROR(VLOOKUP(A:A,[2]Sheet1!$A:$B,2,0),)</f>
        <v>3</v>
      </c>
      <c r="P93" s="38">
        <f>IFERROR(VLOOKUP(A:A,[2]Sheet1!$A:$B,2,0),)</f>
        <v>3</v>
      </c>
      <c r="Q93" s="38">
        <f t="shared" si="1"/>
        <v>0</v>
      </c>
      <c r="R93" s="38"/>
      <c r="S93" s="38"/>
    </row>
    <row r="94" spans="1:19" hidden="1" x14ac:dyDescent="0.25">
      <c r="A94" s="38" t="str">
        <f>F94&amp;C94</f>
        <v>C04840063688</v>
      </c>
      <c r="B94" s="38" t="str">
        <f>IF(J94&gt;=SUMIFS(E:E,C:C,C94),"Good to go","Short in Qty")</f>
        <v>Good to go</v>
      </c>
      <c r="C94" s="40">
        <v>40063688</v>
      </c>
      <c r="D94" s="40" t="s">
        <v>243</v>
      </c>
      <c r="E94" s="66">
        <v>75</v>
      </c>
      <c r="F94" s="38" t="s">
        <v>8</v>
      </c>
      <c r="G94" s="40" t="s">
        <v>467</v>
      </c>
      <c r="H94" s="38" t="s">
        <v>9</v>
      </c>
      <c r="I94" s="38" t="s">
        <v>530</v>
      </c>
      <c r="J94" s="38">
        <f>IFERROR(VLOOKUP(C:C,'[1]S&amp;S'!$B:$F,5,0),)</f>
        <v>8824</v>
      </c>
      <c r="K94" s="38">
        <f>IFERROR(VLOOKUP(A:A,[1]APO!$A:$F,6,0),)</f>
        <v>0</v>
      </c>
      <c r="L94" s="38">
        <f>IFERROR(VLOOKUP(C:C,'[1]TOTAL APO'!$A:$B,2,0),)</f>
        <v>0</v>
      </c>
      <c r="M94" s="38">
        <f>IFERROR(VLOOKUP(A:A,[1]Short!$A:$Q,17,0),)</f>
        <v>0</v>
      </c>
      <c r="N94" s="38">
        <f>IFERROR(VLOOKUP(C:C,[1]GIT!$B:$D,3,0),)</f>
        <v>0</v>
      </c>
      <c r="O94" s="38">
        <f>IFERROR(VLOOKUP(A:A,[2]Sheet1!$A:$B,2,0),)</f>
        <v>75</v>
      </c>
      <c r="P94" s="38">
        <f>IFERROR(VLOOKUP(A:A,[2]Sheet1!$A:$B,2,0),)</f>
        <v>75</v>
      </c>
      <c r="Q94" s="38">
        <f t="shared" si="1"/>
        <v>0</v>
      </c>
      <c r="R94" s="38"/>
      <c r="S94" s="38"/>
    </row>
    <row r="95" spans="1:19" hidden="1" x14ac:dyDescent="0.25">
      <c r="A95" s="38" t="str">
        <f>F95&amp;C95</f>
        <v>C04640062334</v>
      </c>
      <c r="B95" s="38" t="str">
        <f>IF(J95&gt;=SUMIFS(E:E,C:C,C95),"Good to go","Short in Qty")</f>
        <v>Good to go</v>
      </c>
      <c r="C95" s="40">
        <v>40062334</v>
      </c>
      <c r="D95" s="40" t="s">
        <v>324</v>
      </c>
      <c r="E95" s="66">
        <v>4</v>
      </c>
      <c r="F95" s="38" t="s">
        <v>13</v>
      </c>
      <c r="G95" s="40" t="s">
        <v>467</v>
      </c>
      <c r="H95" s="38" t="s">
        <v>151</v>
      </c>
      <c r="I95" s="38" t="s">
        <v>369</v>
      </c>
      <c r="J95" s="38">
        <f>IFERROR(VLOOKUP(C:C,'[1]S&amp;S'!$B:$F,5,0),)</f>
        <v>999</v>
      </c>
      <c r="K95" s="38">
        <f>IFERROR(VLOOKUP(A:A,[1]APO!$A:$F,6,0),)</f>
        <v>0</v>
      </c>
      <c r="L95" s="38">
        <f>IFERROR(VLOOKUP(C:C,'[1]TOTAL APO'!$A:$B,2,0),)</f>
        <v>0</v>
      </c>
      <c r="M95" s="38">
        <f>IFERROR(VLOOKUP(A:A,[1]Short!$A:$Q,17,0),)</f>
        <v>0</v>
      </c>
      <c r="N95" s="38">
        <f>IFERROR(VLOOKUP(C:C,[1]GIT!$B:$D,3,0),)</f>
        <v>5</v>
      </c>
      <c r="O95" s="38">
        <f>IFERROR(VLOOKUP(A:A,[2]Sheet1!$A:$B,2,0),)</f>
        <v>4</v>
      </c>
      <c r="P95" s="38">
        <f>IFERROR(VLOOKUP(A:A,[2]Sheet1!$A:$B,2,0),)</f>
        <v>4</v>
      </c>
      <c r="Q95" s="38">
        <f t="shared" si="1"/>
        <v>0</v>
      </c>
      <c r="R95" s="38"/>
      <c r="S95" s="38"/>
    </row>
    <row r="96" spans="1:19" hidden="1" x14ac:dyDescent="0.25">
      <c r="A96" s="38" t="str">
        <f>F96&amp;C96</f>
        <v>C04840063700</v>
      </c>
      <c r="B96" s="38" t="str">
        <f>IF(J96&gt;=SUMIFS(E:E,C:C,C96),"Good to go","Short in Qty")</f>
        <v>Good to go</v>
      </c>
      <c r="C96" s="40">
        <v>40063700</v>
      </c>
      <c r="D96" s="40" t="s">
        <v>237</v>
      </c>
      <c r="E96" s="66">
        <v>12</v>
      </c>
      <c r="F96" s="38" t="s">
        <v>8</v>
      </c>
      <c r="G96" s="73" t="s">
        <v>467</v>
      </c>
      <c r="H96" s="38" t="s">
        <v>84</v>
      </c>
      <c r="I96" s="38" t="s">
        <v>620</v>
      </c>
      <c r="J96" s="38">
        <f>IFERROR(VLOOKUP(C:C,'[1]S&amp;S'!$B:$F,5,0),)</f>
        <v>9071</v>
      </c>
      <c r="K96" s="38">
        <f>IFERROR(VLOOKUP(A:A,[1]APO!$A:$F,6,0),)</f>
        <v>0</v>
      </c>
      <c r="L96" s="38">
        <f>IFERROR(VLOOKUP(C:C,'[1]TOTAL APO'!$A:$B,2,0),)</f>
        <v>0</v>
      </c>
      <c r="M96" s="38">
        <f>IFERROR(VLOOKUP(A:A,[1]Short!$A:$Q,17,0),)</f>
        <v>0</v>
      </c>
      <c r="N96" s="38">
        <f>IFERROR(VLOOKUP(C:C,[1]GIT!$B:$D,3,0),)</f>
        <v>0</v>
      </c>
      <c r="O96" s="38">
        <f>IFERROR(VLOOKUP(A:A,[2]Sheet1!$A:$B,2,0),)</f>
        <v>12</v>
      </c>
      <c r="P96" s="38">
        <f>IFERROR(VLOOKUP(A:A,[2]Sheet1!$A:$B,2,0),)</f>
        <v>12</v>
      </c>
      <c r="Q96" s="38">
        <f t="shared" si="1"/>
        <v>0</v>
      </c>
      <c r="R96" s="38"/>
      <c r="S96" s="38"/>
    </row>
    <row r="97" spans="1:19" hidden="1" x14ac:dyDescent="0.25">
      <c r="A97" s="38" t="str">
        <f>F97&amp;C97</f>
        <v>C04640062336</v>
      </c>
      <c r="B97" s="38" t="str">
        <f>IF(J97&gt;=SUMIFS(E:E,C:C,C97),"Good to go","Short in Qty")</f>
        <v>Good to go</v>
      </c>
      <c r="C97" s="40">
        <v>40062336</v>
      </c>
      <c r="D97" s="40" t="s">
        <v>332</v>
      </c>
      <c r="E97" s="66">
        <v>4</v>
      </c>
      <c r="F97" s="38" t="s">
        <v>13</v>
      </c>
      <c r="G97" s="40" t="s">
        <v>467</v>
      </c>
      <c r="H97" s="38" t="s">
        <v>151</v>
      </c>
      <c r="I97" s="38" t="s">
        <v>369</v>
      </c>
      <c r="J97" s="38">
        <f>IFERROR(VLOOKUP(C:C,'[1]S&amp;S'!$B:$F,5,0),)</f>
        <v>1282</v>
      </c>
      <c r="K97" s="38">
        <f>IFERROR(VLOOKUP(A:A,[1]APO!$A:$F,6,0),)</f>
        <v>0</v>
      </c>
      <c r="L97" s="38">
        <f>IFERROR(VLOOKUP(C:C,'[1]TOTAL APO'!$A:$B,2,0),)</f>
        <v>0</v>
      </c>
      <c r="M97" s="38">
        <f>IFERROR(VLOOKUP(A:A,[1]Short!$A:$Q,17,0),)</f>
        <v>0</v>
      </c>
      <c r="N97" s="38">
        <f>IFERROR(VLOOKUP(C:C,[1]GIT!$B:$D,3,0),)</f>
        <v>0</v>
      </c>
      <c r="O97" s="38">
        <f>IFERROR(VLOOKUP(A:A,[2]Sheet1!$A:$B,2,0),)</f>
        <v>4</v>
      </c>
      <c r="P97" s="38">
        <f>IFERROR(VLOOKUP(A:A,[2]Sheet1!$A:$B,2,0),)</f>
        <v>4</v>
      </c>
      <c r="Q97" s="38">
        <f t="shared" si="1"/>
        <v>0</v>
      </c>
      <c r="R97" s="38"/>
      <c r="S97" s="38"/>
    </row>
    <row r="98" spans="1:19" hidden="1" x14ac:dyDescent="0.25">
      <c r="A98" s="38" t="str">
        <f>F98&amp;C98</f>
        <v>C04440059678</v>
      </c>
      <c r="B98" s="38" t="str">
        <f>IF(J98&gt;=SUMIFS(E:E,C:C,C98),"Good to go","Short in Qty")</f>
        <v>Good to go</v>
      </c>
      <c r="C98" s="40">
        <v>40059678</v>
      </c>
      <c r="D98" s="40" t="s">
        <v>449</v>
      </c>
      <c r="E98" s="69">
        <v>40</v>
      </c>
      <c r="F98" s="38" t="s">
        <v>191</v>
      </c>
      <c r="G98" s="40" t="s">
        <v>467</v>
      </c>
      <c r="H98" s="38" t="s">
        <v>248</v>
      </c>
      <c r="I98" s="38" t="s">
        <v>457</v>
      </c>
      <c r="J98" s="38">
        <f>IFERROR(VLOOKUP(C:C,'[1]S&amp;S'!$B:$F,5,0),)</f>
        <v>100</v>
      </c>
      <c r="K98" s="38">
        <f>IFERROR(VLOOKUP(A:A,[1]APO!$A:$F,6,0),)</f>
        <v>0</v>
      </c>
      <c r="L98" s="38">
        <f>IFERROR(VLOOKUP(C:C,'[1]TOTAL APO'!$A:$B,2,0),)</f>
        <v>0</v>
      </c>
      <c r="M98" s="38">
        <f>IFERROR(VLOOKUP(A:A,[1]Short!$A:$Q,17,0),)</f>
        <v>0</v>
      </c>
      <c r="N98" s="38">
        <f>IFERROR(VLOOKUP(C:C,[1]GIT!$B:$D,3,0),)</f>
        <v>100</v>
      </c>
      <c r="O98" s="38">
        <f>IFERROR(VLOOKUP(A:A,[2]Sheet1!$A:$B,2,0),)</f>
        <v>40</v>
      </c>
      <c r="P98" s="38">
        <f>IFERROR(VLOOKUP(A:A,[2]Sheet1!$A:$B,2,0),)</f>
        <v>40</v>
      </c>
      <c r="Q98" s="38">
        <f t="shared" si="1"/>
        <v>0</v>
      </c>
      <c r="R98" s="38"/>
      <c r="S98" s="38"/>
    </row>
    <row r="99" spans="1:19" hidden="1" x14ac:dyDescent="0.25">
      <c r="A99" s="38" t="str">
        <f>F99&amp;C99</f>
        <v>C04640062349</v>
      </c>
      <c r="B99" s="38" t="str">
        <f>IF(J99&gt;=SUMIFS(E:E,C:C,C99),"Good to go","Short in Qty")</f>
        <v>Good to go</v>
      </c>
      <c r="C99" s="40">
        <v>40062349</v>
      </c>
      <c r="D99" s="40" t="s">
        <v>344</v>
      </c>
      <c r="E99" s="66">
        <v>1</v>
      </c>
      <c r="F99" s="38" t="s">
        <v>13</v>
      </c>
      <c r="G99" s="40" t="s">
        <v>467</v>
      </c>
      <c r="H99" s="38" t="s">
        <v>151</v>
      </c>
      <c r="I99" s="38" t="s">
        <v>369</v>
      </c>
      <c r="J99" s="38">
        <f>IFERROR(VLOOKUP(C:C,'[1]S&amp;S'!$B:$F,5,0),)</f>
        <v>1064</v>
      </c>
      <c r="K99" s="38">
        <f>IFERROR(VLOOKUP(A:A,[1]APO!$A:$F,6,0),)</f>
        <v>0</v>
      </c>
      <c r="L99" s="38">
        <f>IFERROR(VLOOKUP(C:C,'[1]TOTAL APO'!$A:$B,2,0),)</f>
        <v>0</v>
      </c>
      <c r="M99" s="38">
        <f>IFERROR(VLOOKUP(A:A,[1]Short!$A:$Q,17,0),)</f>
        <v>0</v>
      </c>
      <c r="N99" s="38">
        <f>IFERROR(VLOOKUP(C:C,[1]GIT!$B:$D,3,0),)</f>
        <v>184</v>
      </c>
      <c r="O99" s="38">
        <f>IFERROR(VLOOKUP(A:A,[2]Sheet1!$A:$B,2,0),)</f>
        <v>1</v>
      </c>
      <c r="P99" s="38">
        <f>IFERROR(VLOOKUP(A:A,[2]Sheet1!$A:$B,2,0),)</f>
        <v>1</v>
      </c>
      <c r="Q99" s="38">
        <f t="shared" si="1"/>
        <v>0</v>
      </c>
      <c r="R99" s="38"/>
      <c r="S99" s="38"/>
    </row>
    <row r="100" spans="1:19" hidden="1" x14ac:dyDescent="0.25">
      <c r="A100" s="38" t="str">
        <f>F100&amp;C100</f>
        <v>C04640062385</v>
      </c>
      <c r="B100" s="38" t="str">
        <f>IF(J100&gt;=SUMIFS(E:E,C:C,C100),"Good to go","Short in Qty")</f>
        <v>Good to go</v>
      </c>
      <c r="C100" s="40">
        <v>40062385</v>
      </c>
      <c r="D100" s="40" t="s">
        <v>341</v>
      </c>
      <c r="E100" s="66">
        <v>3</v>
      </c>
      <c r="F100" s="38" t="s">
        <v>13</v>
      </c>
      <c r="G100" s="40" t="s">
        <v>467</v>
      </c>
      <c r="H100" s="38" t="s">
        <v>151</v>
      </c>
      <c r="I100" s="38" t="s">
        <v>369</v>
      </c>
      <c r="J100" s="38">
        <f>IFERROR(VLOOKUP(C:C,'[1]S&amp;S'!$B:$F,5,0),)</f>
        <v>590.75</v>
      </c>
      <c r="K100" s="38">
        <f>IFERROR(VLOOKUP(A:A,[1]APO!$A:$F,6,0),)</f>
        <v>0</v>
      </c>
      <c r="L100" s="38">
        <f>IFERROR(VLOOKUP(C:C,'[1]TOTAL APO'!$A:$B,2,0),)</f>
        <v>0</v>
      </c>
      <c r="M100" s="38">
        <f>IFERROR(VLOOKUP(A:A,[1]Short!$A:$Q,17,0),)</f>
        <v>0</v>
      </c>
      <c r="N100" s="38">
        <f>IFERROR(VLOOKUP(C:C,[1]GIT!$B:$D,3,0),)</f>
        <v>0</v>
      </c>
      <c r="O100" s="38">
        <f>IFERROR(VLOOKUP(A:A,[2]Sheet1!$A:$B,2,0),)</f>
        <v>3</v>
      </c>
      <c r="P100" s="38">
        <f>IFERROR(VLOOKUP(A:A,[2]Sheet1!$A:$B,2,0),)</f>
        <v>3</v>
      </c>
      <c r="Q100" s="38">
        <f t="shared" si="1"/>
        <v>0</v>
      </c>
      <c r="R100" s="38"/>
      <c r="S100" s="38"/>
    </row>
    <row r="101" spans="1:19" hidden="1" x14ac:dyDescent="0.25">
      <c r="A101" s="38" t="str">
        <f>F101&amp;C101</f>
        <v>C04340059499</v>
      </c>
      <c r="B101" s="38" t="str">
        <f>IF(J101&gt;=SUMIFS(E:E,C:C,C101),"Good to go","Short in Qty")</f>
        <v>Good to go</v>
      </c>
      <c r="C101" s="40">
        <v>40059499</v>
      </c>
      <c r="D101" s="40" t="s">
        <v>295</v>
      </c>
      <c r="E101" s="66">
        <v>16</v>
      </c>
      <c r="F101" s="38" t="s">
        <v>11</v>
      </c>
      <c r="G101" s="40" t="s">
        <v>467</v>
      </c>
      <c r="H101" s="38" t="s">
        <v>9</v>
      </c>
      <c r="I101" s="38" t="s">
        <v>530</v>
      </c>
      <c r="J101" s="38">
        <f>IFERROR(VLOOKUP(C:C,'[1]S&amp;S'!$B:$F,5,0),)</f>
        <v>16</v>
      </c>
      <c r="K101" s="38">
        <f>IFERROR(VLOOKUP(A:A,[1]APO!$A:$F,6,0),)</f>
        <v>0</v>
      </c>
      <c r="L101" s="38">
        <f>IFERROR(VLOOKUP(C:C,'[1]TOTAL APO'!$A:$B,2,0),)</f>
        <v>0</v>
      </c>
      <c r="M101" s="38">
        <f>IFERROR(VLOOKUP(A:A,[1]Short!$A:$Q,17,0),)</f>
        <v>0</v>
      </c>
      <c r="N101" s="38">
        <f>IFERROR(VLOOKUP(C:C,[1]GIT!$B:$D,3,0),)</f>
        <v>0</v>
      </c>
      <c r="O101" s="38">
        <f>IFERROR(VLOOKUP(A:A,[2]Sheet1!$A:$B,2,0),)</f>
        <v>16</v>
      </c>
      <c r="P101" s="38">
        <f>IFERROR(VLOOKUP(A:A,[2]Sheet1!$A:$B,2,0),)</f>
        <v>16</v>
      </c>
      <c r="Q101" s="38">
        <f t="shared" si="1"/>
        <v>0</v>
      </c>
      <c r="R101" s="38"/>
      <c r="S101" s="38"/>
    </row>
    <row r="102" spans="1:19" hidden="1" x14ac:dyDescent="0.25">
      <c r="A102" s="38" t="str">
        <f>F102&amp;C102</f>
        <v>C04340059534</v>
      </c>
      <c r="B102" s="38" t="str">
        <f>IF(J102&gt;=SUMIFS(E:E,C:C,C102),"Good to go","Short in Qty")</f>
        <v>Good to go</v>
      </c>
      <c r="C102" s="40">
        <v>40059534</v>
      </c>
      <c r="D102" s="40" t="s">
        <v>217</v>
      </c>
      <c r="E102" s="66">
        <v>4</v>
      </c>
      <c r="F102" s="38" t="s">
        <v>11</v>
      </c>
      <c r="G102" s="40" t="s">
        <v>467</v>
      </c>
      <c r="H102" s="38" t="s">
        <v>9</v>
      </c>
      <c r="I102" s="38" t="s">
        <v>530</v>
      </c>
      <c r="J102" s="38">
        <f>IFERROR(VLOOKUP(C:C,'[1]S&amp;S'!$B:$F,5,0),)</f>
        <v>46</v>
      </c>
      <c r="K102" s="38">
        <f>IFERROR(VLOOKUP(A:A,[1]APO!$A:$F,6,0),)</f>
        <v>0</v>
      </c>
      <c r="L102" s="38">
        <f>IFERROR(VLOOKUP(C:C,'[1]TOTAL APO'!$A:$B,2,0),)</f>
        <v>0</v>
      </c>
      <c r="M102" s="38">
        <f>IFERROR(VLOOKUP(A:A,[1]Short!$A:$Q,17,0),)</f>
        <v>0</v>
      </c>
      <c r="N102" s="38">
        <f>IFERROR(VLOOKUP(C:C,[1]GIT!$B:$D,3,0),)</f>
        <v>0</v>
      </c>
      <c r="O102" s="38">
        <f>IFERROR(VLOOKUP(A:A,[2]Sheet1!$A:$B,2,0),)</f>
        <v>4</v>
      </c>
      <c r="P102" s="38">
        <f>IFERROR(VLOOKUP(A:A,[2]Sheet1!$A:$B,2,0),)</f>
        <v>4</v>
      </c>
      <c r="Q102" s="38">
        <f t="shared" si="1"/>
        <v>0</v>
      </c>
      <c r="R102" s="38"/>
      <c r="S102" s="38"/>
    </row>
    <row r="103" spans="1:19" hidden="1" x14ac:dyDescent="0.25">
      <c r="A103" s="38" t="str">
        <f>F103&amp;C103</f>
        <v>C04640062517</v>
      </c>
      <c r="B103" s="38" t="str">
        <f>IF(J103&gt;=SUMIFS(E:E,C:C,C103),"Good to go","Short in Qty")</f>
        <v>Good to go</v>
      </c>
      <c r="C103" s="40">
        <v>40062517</v>
      </c>
      <c r="D103" s="40" t="s">
        <v>342</v>
      </c>
      <c r="E103" s="66">
        <v>3</v>
      </c>
      <c r="F103" s="38" t="s">
        <v>13</v>
      </c>
      <c r="G103" s="40" t="s">
        <v>467</v>
      </c>
      <c r="H103" s="38" t="s">
        <v>151</v>
      </c>
      <c r="I103" s="38" t="s">
        <v>369</v>
      </c>
      <c r="J103" s="38">
        <f>IFERROR(VLOOKUP(C:C,'[1]S&amp;S'!$B:$F,5,0),)</f>
        <v>449</v>
      </c>
      <c r="K103" s="38">
        <f>IFERROR(VLOOKUP(A:A,[1]APO!$A:$F,6,0),)</f>
        <v>0</v>
      </c>
      <c r="L103" s="38">
        <f>IFERROR(VLOOKUP(C:C,'[1]TOTAL APO'!$A:$B,2,0),)</f>
        <v>0</v>
      </c>
      <c r="M103" s="38">
        <f>IFERROR(VLOOKUP(A:A,[1]Short!$A:$Q,17,0),)</f>
        <v>0</v>
      </c>
      <c r="N103" s="38">
        <f>IFERROR(VLOOKUP(C:C,[1]GIT!$B:$D,3,0),)</f>
        <v>0</v>
      </c>
      <c r="O103" s="38">
        <f>IFERROR(VLOOKUP(A:A,[2]Sheet1!$A:$B,2,0),)</f>
        <v>3</v>
      </c>
      <c r="P103" s="38">
        <f>IFERROR(VLOOKUP(A:A,[2]Sheet1!$A:$B,2,0),)</f>
        <v>3</v>
      </c>
      <c r="Q103" s="38">
        <f t="shared" si="1"/>
        <v>0</v>
      </c>
      <c r="R103" s="38"/>
      <c r="S103" s="38"/>
    </row>
    <row r="104" spans="1:19" hidden="1" x14ac:dyDescent="0.25">
      <c r="A104" s="38" t="str">
        <f>F104&amp;C104</f>
        <v>C04840063794</v>
      </c>
      <c r="B104" s="38" t="str">
        <f>IF(J104&gt;=SUMIFS(E:E,C:C,C104),"Good to go","Short in Qty")</f>
        <v>Good to go</v>
      </c>
      <c r="C104" s="40">
        <v>40063794</v>
      </c>
      <c r="D104" s="40" t="s">
        <v>249</v>
      </c>
      <c r="E104" s="66">
        <v>1</v>
      </c>
      <c r="F104" s="38" t="s">
        <v>8</v>
      </c>
      <c r="G104" s="40" t="s">
        <v>467</v>
      </c>
      <c r="H104" s="38" t="s">
        <v>9</v>
      </c>
      <c r="I104" s="38" t="s">
        <v>530</v>
      </c>
      <c r="J104" s="38">
        <f>IFERROR(VLOOKUP(C:C,'[1]S&amp;S'!$B:$F,5,0),)</f>
        <v>12.0416666666667</v>
      </c>
      <c r="K104" s="38">
        <f>IFERROR(VLOOKUP(A:A,[1]APO!$A:$F,6,0),)</f>
        <v>0</v>
      </c>
      <c r="L104" s="38">
        <f>IFERROR(VLOOKUP(C:C,'[1]TOTAL APO'!$A:$B,2,0),)</f>
        <v>0</v>
      </c>
      <c r="M104" s="38">
        <f>IFERROR(VLOOKUP(A:A,[1]Short!$A:$Q,17,0),)</f>
        <v>0</v>
      </c>
      <c r="N104" s="38">
        <f>IFERROR(VLOOKUP(C:C,[1]GIT!$B:$D,3,0),)</f>
        <v>0</v>
      </c>
      <c r="O104" s="38">
        <f>IFERROR(VLOOKUP(A:A,[2]Sheet1!$A:$B,2,0),)</f>
        <v>1</v>
      </c>
      <c r="P104" s="38">
        <f>IFERROR(VLOOKUP(A:A,[2]Sheet1!$A:$B,2,0),)</f>
        <v>1</v>
      </c>
      <c r="Q104" s="38">
        <f t="shared" si="1"/>
        <v>0</v>
      </c>
      <c r="R104" s="38"/>
      <c r="S104" s="38"/>
    </row>
    <row r="105" spans="1:19" hidden="1" x14ac:dyDescent="0.25">
      <c r="A105" s="38" t="str">
        <f>F105&amp;C105</f>
        <v>C04640062523</v>
      </c>
      <c r="B105" s="38" t="str">
        <f>IF(J105&gt;=SUMIFS(E:E,C:C,C105),"Good to go","Short in Qty")</f>
        <v>Good to go</v>
      </c>
      <c r="C105" s="40">
        <v>40062523</v>
      </c>
      <c r="D105" s="40" t="s">
        <v>319</v>
      </c>
      <c r="E105" s="66">
        <v>10</v>
      </c>
      <c r="F105" s="38" t="s">
        <v>13</v>
      </c>
      <c r="G105" s="40" t="s">
        <v>467</v>
      </c>
      <c r="H105" s="38" t="s">
        <v>151</v>
      </c>
      <c r="I105" s="38" t="s">
        <v>369</v>
      </c>
      <c r="J105" s="38">
        <f>IFERROR(VLOOKUP(C:C,'[1]S&amp;S'!$B:$F,5,0),)</f>
        <v>1438</v>
      </c>
      <c r="K105" s="38">
        <f>IFERROR(VLOOKUP(A:A,[1]APO!$A:$F,6,0),)</f>
        <v>0</v>
      </c>
      <c r="L105" s="38">
        <f>IFERROR(VLOOKUP(C:C,'[1]TOTAL APO'!$A:$B,2,0),)</f>
        <v>0</v>
      </c>
      <c r="M105" s="38">
        <f>IFERROR(VLOOKUP(A:A,[1]Short!$A:$Q,17,0),)</f>
        <v>0</v>
      </c>
      <c r="N105" s="38">
        <f>IFERROR(VLOOKUP(C:C,[1]GIT!$B:$D,3,0),)</f>
        <v>0</v>
      </c>
      <c r="O105" s="38">
        <f>IFERROR(VLOOKUP(A:A,[2]Sheet1!$A:$B,2,0),)</f>
        <v>10</v>
      </c>
      <c r="P105" s="38">
        <f>IFERROR(VLOOKUP(A:A,[2]Sheet1!$A:$B,2,0),)</f>
        <v>10</v>
      </c>
      <c r="Q105" s="38">
        <f t="shared" si="1"/>
        <v>0</v>
      </c>
      <c r="R105" s="38"/>
      <c r="S105" s="38"/>
    </row>
    <row r="106" spans="1:19" hidden="1" x14ac:dyDescent="0.25">
      <c r="A106" s="38" t="str">
        <f>F106&amp;C106</f>
        <v>C10240062523</v>
      </c>
      <c r="B106" s="38" t="str">
        <f>IF(J106&gt;=SUMIFS(E:E,C:C,C106),"Good to go","Short in Qty")</f>
        <v>Good to go</v>
      </c>
      <c r="C106" s="40">
        <v>40062523</v>
      </c>
      <c r="D106" s="40" t="s">
        <v>319</v>
      </c>
      <c r="E106" s="66">
        <v>200</v>
      </c>
      <c r="F106" s="38" t="s">
        <v>226</v>
      </c>
      <c r="G106" s="40" t="s">
        <v>467</v>
      </c>
      <c r="H106" s="38" t="s">
        <v>213</v>
      </c>
      <c r="I106" s="38" t="s">
        <v>482</v>
      </c>
      <c r="J106" s="38">
        <f>IFERROR(VLOOKUP(C:C,'[1]S&amp;S'!$B:$F,5,0),)</f>
        <v>1438</v>
      </c>
      <c r="K106" s="38">
        <f>IFERROR(VLOOKUP(A:A,[1]APO!$A:$F,6,0),)</f>
        <v>0</v>
      </c>
      <c r="L106" s="38">
        <f>IFERROR(VLOOKUP(C:C,'[1]TOTAL APO'!$A:$B,2,0),)</f>
        <v>0</v>
      </c>
      <c r="M106" s="38">
        <f>IFERROR(VLOOKUP(A:A,[1]Short!$A:$Q,17,0),)</f>
        <v>0</v>
      </c>
      <c r="N106" s="38">
        <f>IFERROR(VLOOKUP(C:C,[1]GIT!$B:$D,3,0),)</f>
        <v>0</v>
      </c>
      <c r="O106" s="38">
        <f>IFERROR(VLOOKUP(A:A,[2]Sheet1!$A:$B,2,0),)</f>
        <v>200</v>
      </c>
      <c r="P106" s="38">
        <f>IFERROR(VLOOKUP(A:A,[2]Sheet1!$A:$B,2,0),)</f>
        <v>200</v>
      </c>
      <c r="Q106" s="38">
        <f t="shared" si="1"/>
        <v>0</v>
      </c>
      <c r="R106" s="38"/>
      <c r="S106" s="38"/>
    </row>
    <row r="107" spans="1:19" hidden="1" x14ac:dyDescent="0.25">
      <c r="A107" s="38" t="str">
        <f>F107&amp;C107</f>
        <v>C11140062523</v>
      </c>
      <c r="B107" s="38" t="str">
        <f>IF(J107&gt;=SUMIFS(E:E,C:C,C107),"Good to go","Short in Qty")</f>
        <v>Good to go</v>
      </c>
      <c r="C107" s="40">
        <v>40062523</v>
      </c>
      <c r="D107" s="40" t="s">
        <v>319</v>
      </c>
      <c r="E107" s="66">
        <v>100</v>
      </c>
      <c r="F107" s="38" t="s">
        <v>16</v>
      </c>
      <c r="G107" s="40" t="s">
        <v>467</v>
      </c>
      <c r="H107" s="38" t="s">
        <v>213</v>
      </c>
      <c r="I107" s="38" t="s">
        <v>482</v>
      </c>
      <c r="J107" s="38">
        <f>IFERROR(VLOOKUP(C:C,'[1]S&amp;S'!$B:$F,5,0),)</f>
        <v>1438</v>
      </c>
      <c r="K107" s="38">
        <f>IFERROR(VLOOKUP(A:A,[1]APO!$A:$F,6,0),)</f>
        <v>0</v>
      </c>
      <c r="L107" s="38">
        <f>IFERROR(VLOOKUP(C:C,'[1]TOTAL APO'!$A:$B,2,0),)</f>
        <v>0</v>
      </c>
      <c r="M107" s="38">
        <f>IFERROR(VLOOKUP(A:A,[1]Short!$A:$Q,17,0),)</f>
        <v>0</v>
      </c>
      <c r="N107" s="38">
        <f>IFERROR(VLOOKUP(C:C,[1]GIT!$B:$D,3,0),)</f>
        <v>0</v>
      </c>
      <c r="O107" s="38">
        <f>IFERROR(VLOOKUP(A:A,[2]Sheet1!$A:$B,2,0),)</f>
        <v>100</v>
      </c>
      <c r="P107" s="38">
        <f>IFERROR(VLOOKUP(A:A,[2]Sheet1!$A:$B,2,0),)</f>
        <v>100</v>
      </c>
      <c r="Q107" s="38">
        <f t="shared" si="1"/>
        <v>0</v>
      </c>
      <c r="R107" s="38"/>
      <c r="S107" s="38"/>
    </row>
    <row r="108" spans="1:19" x14ac:dyDescent="0.25">
      <c r="A108" s="38" t="str">
        <f>F108&amp;C108</f>
        <v>C04840063699</v>
      </c>
      <c r="B108" s="38" t="str">
        <f>IF(J108&gt;=SUMIFS(E:E,C:C,C108),"Good to go","Short in Qty")</f>
        <v>Good to go</v>
      </c>
      <c r="C108" s="40">
        <v>40063699</v>
      </c>
      <c r="D108" s="40" t="s">
        <v>515</v>
      </c>
      <c r="E108" s="66">
        <v>27</v>
      </c>
      <c r="F108" s="38" t="s">
        <v>8</v>
      </c>
      <c r="G108" s="73">
        <v>26</v>
      </c>
      <c r="H108" s="38" t="s">
        <v>9</v>
      </c>
      <c r="I108" s="38" t="s">
        <v>530</v>
      </c>
      <c r="J108" s="38">
        <f>IFERROR(VLOOKUP(C:C,'[1]S&amp;S'!$B:$F,5,0),)</f>
        <v>10473.125</v>
      </c>
      <c r="K108" s="38">
        <f>IFERROR(VLOOKUP(A:A,[1]APO!$A:$F,6,0),)</f>
        <v>0</v>
      </c>
      <c r="L108" s="38">
        <f>IFERROR(VLOOKUP(C:C,'[1]TOTAL APO'!$A:$B,2,0),)</f>
        <v>0</v>
      </c>
      <c r="M108" s="38">
        <f>IFERROR(VLOOKUP(A:A,[1]Short!$A:$Q,17,0),)</f>
        <v>0</v>
      </c>
      <c r="N108" s="38">
        <f>IFERROR(VLOOKUP(C:C,[1]GIT!$B:$D,3,0),)</f>
        <v>0</v>
      </c>
      <c r="O108" s="38">
        <f>IFERROR(VLOOKUP(A:A,[2]Sheet1!$A:$B,2,0),)</f>
        <v>26</v>
      </c>
      <c r="P108" s="38">
        <f>IFERROR(VLOOKUP(A:A,[2]Sheet1!$A:$B,2,0),)</f>
        <v>26</v>
      </c>
      <c r="Q108" s="38">
        <f t="shared" si="1"/>
        <v>1</v>
      </c>
      <c r="R108" s="38"/>
      <c r="S108" s="38"/>
    </row>
    <row r="109" spans="1:19" hidden="1" x14ac:dyDescent="0.25">
      <c r="A109" s="38" t="str">
        <f>F109&amp;C109</f>
        <v>C04640062524</v>
      </c>
      <c r="B109" s="38" t="str">
        <f>IF(J109&gt;=SUMIFS(E:E,C:C,C109),"Good to go","Short in Qty")</f>
        <v>Good to go</v>
      </c>
      <c r="C109" s="40">
        <v>40062524</v>
      </c>
      <c r="D109" s="40" t="s">
        <v>308</v>
      </c>
      <c r="E109" s="66">
        <v>10</v>
      </c>
      <c r="F109" s="38" t="s">
        <v>13</v>
      </c>
      <c r="G109" s="40" t="s">
        <v>467</v>
      </c>
      <c r="H109" s="38" t="s">
        <v>151</v>
      </c>
      <c r="I109" s="38" t="s">
        <v>369</v>
      </c>
      <c r="J109" s="38">
        <f>IFERROR(VLOOKUP(C:C,'[1]S&amp;S'!$B:$F,5,0),)</f>
        <v>1379</v>
      </c>
      <c r="K109" s="38">
        <f>IFERROR(VLOOKUP(A:A,[1]APO!$A:$F,6,0),)</f>
        <v>0</v>
      </c>
      <c r="L109" s="38">
        <f>IFERROR(VLOOKUP(C:C,'[1]TOTAL APO'!$A:$B,2,0),)</f>
        <v>0</v>
      </c>
      <c r="M109" s="38">
        <f>IFERROR(VLOOKUP(A:A,[1]Short!$A:$Q,17,0),)</f>
        <v>0</v>
      </c>
      <c r="N109" s="38">
        <f>IFERROR(VLOOKUP(C:C,[1]GIT!$B:$D,3,0),)</f>
        <v>0</v>
      </c>
      <c r="O109" s="38">
        <f>IFERROR(VLOOKUP(A:A,[2]Sheet1!$A:$B,2,0),)</f>
        <v>10</v>
      </c>
      <c r="P109" s="38">
        <f>IFERROR(VLOOKUP(A:A,[2]Sheet1!$A:$B,2,0),)</f>
        <v>10</v>
      </c>
      <c r="Q109" s="38">
        <f t="shared" si="1"/>
        <v>0</v>
      </c>
      <c r="R109" s="38"/>
      <c r="S109" s="38"/>
    </row>
    <row r="110" spans="1:19" x14ac:dyDescent="0.25">
      <c r="A110" s="38" t="str">
        <f>F110&amp;C110</f>
        <v>C04840063026</v>
      </c>
      <c r="B110" s="38" t="str">
        <f>IF(J110&gt;=SUMIFS(E:E,C:C,C110),"Good to go","Short in Qty")</f>
        <v>Good to go</v>
      </c>
      <c r="C110" s="40">
        <v>40063026</v>
      </c>
      <c r="D110" s="40" t="s">
        <v>231</v>
      </c>
      <c r="E110" s="66">
        <v>76</v>
      </c>
      <c r="F110" s="38" t="s">
        <v>8</v>
      </c>
      <c r="G110" s="40"/>
      <c r="H110" s="38" t="s">
        <v>9</v>
      </c>
      <c r="I110" s="38" t="s">
        <v>530</v>
      </c>
      <c r="J110" s="38">
        <f>IFERROR(VLOOKUP(C:C,'[1]S&amp;S'!$B:$F,5,0),)</f>
        <v>1398</v>
      </c>
      <c r="K110" s="38">
        <f>IFERROR(VLOOKUP(A:A,[1]APO!$A:$F,6,0),)</f>
        <v>0</v>
      </c>
      <c r="L110" s="38">
        <f>IFERROR(VLOOKUP(C:C,'[1]TOTAL APO'!$A:$B,2,0),)</f>
        <v>0</v>
      </c>
      <c r="M110" s="38">
        <f>IFERROR(VLOOKUP(A:A,[1]Short!$A:$Q,17,0),)</f>
        <v>0</v>
      </c>
      <c r="N110" s="38">
        <f>IFERROR(VLOOKUP(C:C,[1]GIT!$B:$D,3,0),)</f>
        <v>0</v>
      </c>
      <c r="O110" s="38">
        <f>IFERROR(VLOOKUP(A:A,[2]Sheet1!$A:$B,2,0),)</f>
        <v>0</v>
      </c>
      <c r="P110" s="38">
        <f>IFERROR(VLOOKUP(A:A,[2]Sheet1!$A:$B,2,0),)</f>
        <v>0</v>
      </c>
      <c r="Q110" s="38">
        <f t="shared" si="1"/>
        <v>76</v>
      </c>
      <c r="R110" s="38"/>
      <c r="S110" s="38"/>
    </row>
    <row r="111" spans="1:19" hidden="1" x14ac:dyDescent="0.25">
      <c r="A111" s="38" t="str">
        <f>F111&amp;C111</f>
        <v>C04840065273</v>
      </c>
      <c r="B111" s="38" t="str">
        <f>IF(J111&gt;=SUMIFS(E:E,C:C,C111),"Good to go","Short in Qty")</f>
        <v>Good to go</v>
      </c>
      <c r="C111" s="40">
        <v>40065273</v>
      </c>
      <c r="D111" s="40" t="s">
        <v>262</v>
      </c>
      <c r="E111" s="66">
        <v>28</v>
      </c>
      <c r="F111" s="38" t="s">
        <v>8</v>
      </c>
      <c r="G111" s="40" t="s">
        <v>467</v>
      </c>
      <c r="H111" s="38" t="s">
        <v>9</v>
      </c>
      <c r="I111" s="38" t="s">
        <v>530</v>
      </c>
      <c r="J111" s="38">
        <f>IFERROR(VLOOKUP(C:C,'[1]S&amp;S'!$B:$F,5,0),)</f>
        <v>138</v>
      </c>
      <c r="K111" s="38">
        <f>IFERROR(VLOOKUP(A:A,[1]APO!$A:$F,6,0),)</f>
        <v>0</v>
      </c>
      <c r="L111" s="38">
        <f>IFERROR(VLOOKUP(C:C,'[1]TOTAL APO'!$A:$B,2,0),)</f>
        <v>0</v>
      </c>
      <c r="M111" s="38">
        <f>IFERROR(VLOOKUP(A:A,[1]Short!$A:$Q,17,0),)</f>
        <v>0</v>
      </c>
      <c r="N111" s="38">
        <f>IFERROR(VLOOKUP(C:C,[1]GIT!$B:$D,3,0),)</f>
        <v>0</v>
      </c>
      <c r="O111" s="38">
        <f>IFERROR(VLOOKUP(A:A,[2]Sheet1!$A:$B,2,0),)</f>
        <v>28</v>
      </c>
      <c r="P111" s="38">
        <f>IFERROR(VLOOKUP(A:A,[2]Sheet1!$A:$B,2,0),)</f>
        <v>28</v>
      </c>
      <c r="Q111" s="38">
        <f t="shared" si="1"/>
        <v>0</v>
      </c>
      <c r="R111" s="38"/>
      <c r="S111" s="38"/>
    </row>
    <row r="112" spans="1:19" x14ac:dyDescent="0.25">
      <c r="A112" s="38" t="str">
        <f>F112&amp;C112</f>
        <v>C12140063016</v>
      </c>
      <c r="B112" s="38" t="str">
        <f>IF(J112&gt;=SUMIFS(E:E,C:C,C112),"Good to go","Short in Qty")</f>
        <v>Good to go</v>
      </c>
      <c r="C112" s="40">
        <v>40063016</v>
      </c>
      <c r="D112" s="40" t="s">
        <v>230</v>
      </c>
      <c r="E112" s="66">
        <v>8</v>
      </c>
      <c r="F112" s="38" t="s">
        <v>194</v>
      </c>
      <c r="G112" s="40" t="s">
        <v>195</v>
      </c>
      <c r="H112" s="38" t="s">
        <v>9</v>
      </c>
      <c r="I112" s="38" t="s">
        <v>378</v>
      </c>
      <c r="J112" s="38">
        <f>IFERROR(VLOOKUP(C:C,'[1]S&amp;S'!$B:$F,5,0),)</f>
        <v>401</v>
      </c>
      <c r="K112" s="38">
        <f>IFERROR(VLOOKUP(A:A,[1]APO!$A:$F,6,0),)</f>
        <v>0</v>
      </c>
      <c r="L112" s="38">
        <f>IFERROR(VLOOKUP(C:C,'[1]TOTAL APO'!$A:$B,2,0),)</f>
        <v>0</v>
      </c>
      <c r="M112" s="38">
        <f>IFERROR(VLOOKUP(A:A,[1]Short!$A:$Q,17,0),)</f>
        <v>0</v>
      </c>
      <c r="N112" s="38">
        <f>IFERROR(VLOOKUP(C:C,[1]GIT!$B:$D,3,0),)</f>
        <v>0</v>
      </c>
      <c r="O112" s="38">
        <f>IFERROR(VLOOKUP(A:A,[2]Sheet1!$A:$B,2,0),)</f>
        <v>0</v>
      </c>
      <c r="P112" s="38">
        <f>IFERROR(VLOOKUP(A:A,[2]Sheet1!$A:$B,2,0),)</f>
        <v>0</v>
      </c>
      <c r="Q112" s="38">
        <f t="shared" si="1"/>
        <v>8</v>
      </c>
      <c r="R112" s="38"/>
      <c r="S112" s="38"/>
    </row>
    <row r="113" spans="1:19" hidden="1" x14ac:dyDescent="0.25">
      <c r="A113" s="38" t="str">
        <f>F113&amp;C113</f>
        <v>C11140049906</v>
      </c>
      <c r="B113" s="38" t="str">
        <f>IF(J113&gt;=SUMIFS(E:E,C:C,C113),"Good to go","Short in Qty")</f>
        <v>Good to go</v>
      </c>
      <c r="C113" s="40">
        <v>40049906</v>
      </c>
      <c r="D113" s="40" t="s">
        <v>587</v>
      </c>
      <c r="E113" s="66">
        <v>400</v>
      </c>
      <c r="F113" s="38" t="s">
        <v>16</v>
      </c>
      <c r="G113" s="40"/>
      <c r="H113" s="38" t="s">
        <v>594</v>
      </c>
      <c r="I113" s="38" t="s">
        <v>595</v>
      </c>
      <c r="J113" s="38">
        <f>IFERROR(VLOOKUP(C:C,'[1]S&amp;S'!$B:$F,5,0),)</f>
        <v>697</v>
      </c>
      <c r="K113" s="38">
        <f>IFERROR(VLOOKUP(A:A,[1]APO!$A:$F,6,0),)</f>
        <v>0</v>
      </c>
      <c r="L113" s="38">
        <f>IFERROR(VLOOKUP(C:C,'[1]TOTAL APO'!$A:$B,2,0),)</f>
        <v>0</v>
      </c>
      <c r="M113" s="38">
        <f>IFERROR(VLOOKUP(A:A,[1]Short!$A:$Q,17,0),)</f>
        <v>0</v>
      </c>
      <c r="N113" s="38">
        <f>IFERROR(VLOOKUP(C:C,[1]GIT!$B:$D,3,0),)</f>
        <v>200</v>
      </c>
      <c r="O113" s="38">
        <f>IFERROR(VLOOKUP(A:A,[2]Sheet1!$A:$B,2,0),)</f>
        <v>0</v>
      </c>
      <c r="P113" s="38">
        <f>IFERROR(VLOOKUP(A:A,[2]Sheet1!$A:$B,2,0),)</f>
        <v>0</v>
      </c>
      <c r="Q113" s="38">
        <f t="shared" si="1"/>
        <v>400</v>
      </c>
      <c r="R113" s="38"/>
      <c r="S113" s="38"/>
    </row>
    <row r="114" spans="1:19" hidden="1" x14ac:dyDescent="0.25">
      <c r="A114" s="38" t="str">
        <f>F114&amp;C114</f>
        <v>C04240063018</v>
      </c>
      <c r="B114" s="38" t="str">
        <f>IF(J114&gt;=SUMIFS(E:E,C:C,C114),"Good to go","Short in Qty")</f>
        <v>Good to go</v>
      </c>
      <c r="C114" s="40">
        <v>40063018</v>
      </c>
      <c r="D114" s="40" t="s">
        <v>511</v>
      </c>
      <c r="E114" s="67">
        <v>119</v>
      </c>
      <c r="F114" s="38" t="s">
        <v>10</v>
      </c>
      <c r="G114" s="40" t="s">
        <v>467</v>
      </c>
      <c r="H114" s="38" t="s">
        <v>9</v>
      </c>
      <c r="I114" s="38" t="s">
        <v>530</v>
      </c>
      <c r="J114" s="38">
        <f>IFERROR(VLOOKUP(C:C,'[1]S&amp;S'!$B:$F,5,0),)</f>
        <v>1061</v>
      </c>
      <c r="K114" s="38">
        <f>IFERROR(VLOOKUP(A:A,[1]APO!$A:$F,6,0),)</f>
        <v>0</v>
      </c>
      <c r="L114" s="38">
        <f>IFERROR(VLOOKUP(C:C,'[1]TOTAL APO'!$A:$B,2,0),)</f>
        <v>0</v>
      </c>
      <c r="M114" s="38">
        <f>IFERROR(VLOOKUP(A:A,[1]Short!$A:$Q,17,0),)</f>
        <v>0</v>
      </c>
      <c r="N114" s="38">
        <f>IFERROR(VLOOKUP(C:C,[1]GIT!$B:$D,3,0),)</f>
        <v>213</v>
      </c>
      <c r="O114" s="38">
        <f>IFERROR(VLOOKUP(A:A,[2]Sheet1!$A:$B,2,0),)</f>
        <v>119</v>
      </c>
      <c r="P114" s="38">
        <f>IFERROR(VLOOKUP(A:A,[2]Sheet1!$A:$B,2,0),)</f>
        <v>119</v>
      </c>
      <c r="Q114" s="38">
        <f t="shared" si="1"/>
        <v>0</v>
      </c>
      <c r="R114" s="38"/>
      <c r="S114" s="38"/>
    </row>
    <row r="115" spans="1:19" x14ac:dyDescent="0.25">
      <c r="A115" s="38" t="str">
        <f>F115&amp;C115</f>
        <v>C12140063026</v>
      </c>
      <c r="B115" s="38" t="str">
        <f>IF(J115&gt;=SUMIFS(E:E,C:C,C115),"Good to go","Short in Qty")</f>
        <v>Good to go</v>
      </c>
      <c r="C115" s="40">
        <v>40063026</v>
      </c>
      <c r="D115" s="40" t="s">
        <v>231</v>
      </c>
      <c r="E115" s="66">
        <v>74</v>
      </c>
      <c r="F115" s="38" t="s">
        <v>194</v>
      </c>
      <c r="G115" s="40" t="s">
        <v>195</v>
      </c>
      <c r="H115" s="38" t="s">
        <v>9</v>
      </c>
      <c r="I115" s="38" t="s">
        <v>379</v>
      </c>
      <c r="J115" s="38">
        <f>IFERROR(VLOOKUP(C:C,'[1]S&amp;S'!$B:$F,5,0),)</f>
        <v>1398</v>
      </c>
      <c r="K115" s="38">
        <f>IFERROR(VLOOKUP(A:A,[1]APO!$A:$F,6,0),)</f>
        <v>0</v>
      </c>
      <c r="L115" s="38">
        <f>IFERROR(VLOOKUP(C:C,'[1]TOTAL APO'!$A:$B,2,0),)</f>
        <v>0</v>
      </c>
      <c r="M115" s="38">
        <f>IFERROR(VLOOKUP(A:A,[1]Short!$A:$Q,17,0),)</f>
        <v>0</v>
      </c>
      <c r="N115" s="38">
        <f>IFERROR(VLOOKUP(C:C,[1]GIT!$B:$D,3,0),)</f>
        <v>0</v>
      </c>
      <c r="O115" s="38">
        <f>IFERROR(VLOOKUP(A:A,[2]Sheet1!$A:$B,2,0),)</f>
        <v>0</v>
      </c>
      <c r="P115" s="38">
        <f>IFERROR(VLOOKUP(A:A,[2]Sheet1!$A:$B,2,0),)</f>
        <v>0</v>
      </c>
      <c r="Q115" s="38">
        <f t="shared" si="1"/>
        <v>74</v>
      </c>
      <c r="R115" s="38"/>
      <c r="S115" s="38"/>
    </row>
    <row r="116" spans="1:19" hidden="1" x14ac:dyDescent="0.25">
      <c r="A116" s="38" t="str">
        <f>F116&amp;C116</f>
        <v>C04640039559</v>
      </c>
      <c r="B116" s="38" t="str">
        <f>IF(J116&gt;=SUMIFS(E:E,C:C,C116),"Good to go","Short in Qty")</f>
        <v>Good to go</v>
      </c>
      <c r="C116" s="40">
        <v>40039559</v>
      </c>
      <c r="D116" s="40" t="s">
        <v>517</v>
      </c>
      <c r="E116" s="66">
        <v>1</v>
      </c>
      <c r="F116" s="38" t="s">
        <v>13</v>
      </c>
      <c r="G116" s="40"/>
      <c r="H116" s="38" t="s">
        <v>84</v>
      </c>
      <c r="I116" s="38" t="s">
        <v>620</v>
      </c>
      <c r="J116" s="38">
        <f>IFERROR(VLOOKUP(C:C,'[1]S&amp;S'!$B:$F,5,0),)</f>
        <v>14</v>
      </c>
      <c r="K116" s="38">
        <f>IFERROR(VLOOKUP(A:A,[1]APO!$A:$F,6,0),)</f>
        <v>0</v>
      </c>
      <c r="L116" s="38">
        <f>IFERROR(VLOOKUP(C:C,'[1]TOTAL APO'!$A:$B,2,0),)</f>
        <v>0</v>
      </c>
      <c r="M116" s="38">
        <f>IFERROR(VLOOKUP(A:A,[1]Short!$A:$Q,17,0),)</f>
        <v>0</v>
      </c>
      <c r="N116" s="38">
        <f>IFERROR(VLOOKUP(C:C,[1]GIT!$B:$D,3,0),)</f>
        <v>0</v>
      </c>
      <c r="O116" s="38">
        <f>IFERROR(VLOOKUP(A:A,[2]Sheet1!$A:$B,2,0),)</f>
        <v>0</v>
      </c>
      <c r="P116" s="38">
        <f>IFERROR(VLOOKUP(A:A,[2]Sheet1!$A:$B,2,0),)</f>
        <v>0</v>
      </c>
      <c r="Q116" s="38">
        <f t="shared" si="1"/>
        <v>1</v>
      </c>
      <c r="R116" s="38"/>
      <c r="S116" s="38"/>
    </row>
    <row r="117" spans="1:19" x14ac:dyDescent="0.25">
      <c r="A117" s="38" t="str">
        <f>F117&amp;C117</f>
        <v>C04440063282</v>
      </c>
      <c r="B117" s="38" t="str">
        <f>IF(J117&gt;=SUMIFS(E:E,C:C,C117),"Good to go","Short in Qty")</f>
        <v>Good to go</v>
      </c>
      <c r="C117" s="40">
        <v>40063282</v>
      </c>
      <c r="D117" s="40" t="s">
        <v>270</v>
      </c>
      <c r="E117" s="66">
        <v>18</v>
      </c>
      <c r="F117" s="38" t="s">
        <v>191</v>
      </c>
      <c r="G117" s="8"/>
      <c r="H117" s="38" t="s">
        <v>9</v>
      </c>
      <c r="I117" s="38" t="s">
        <v>371</v>
      </c>
      <c r="J117" s="38">
        <f>IFERROR(VLOOKUP(C:C,'[1]S&amp;S'!$B:$F,5,0),)</f>
        <v>42</v>
      </c>
      <c r="K117" s="38">
        <f>IFERROR(VLOOKUP(A:A,[1]APO!$A:$F,6,0),)</f>
        <v>0</v>
      </c>
      <c r="L117" s="38">
        <f>IFERROR(VLOOKUP(C:C,'[1]TOTAL APO'!$A:$B,2,0),)</f>
        <v>0</v>
      </c>
      <c r="M117" s="38">
        <f>IFERROR(VLOOKUP(A:A,[1]Short!$A:$Q,17,0),)</f>
        <v>0</v>
      </c>
      <c r="N117" s="38">
        <f>IFERROR(VLOOKUP(C:C,[1]GIT!$B:$D,3,0),)</f>
        <v>42</v>
      </c>
      <c r="O117" s="38">
        <f>IFERROR(VLOOKUP(A:A,[2]Sheet1!$A:$B,2,0),)</f>
        <v>0</v>
      </c>
      <c r="P117" s="38">
        <f>IFERROR(VLOOKUP(A:A,[2]Sheet1!$A:$B,2,0),)</f>
        <v>0</v>
      </c>
      <c r="Q117" s="38">
        <f t="shared" si="1"/>
        <v>18</v>
      </c>
      <c r="R117" s="38"/>
      <c r="S117" s="38"/>
    </row>
    <row r="118" spans="1:19" x14ac:dyDescent="0.25">
      <c r="A118" s="38" t="str">
        <f>F118&amp;C118</f>
        <v>C04640063282</v>
      </c>
      <c r="B118" s="38" t="str">
        <f>IF(J118&gt;=SUMIFS(E:E,C:C,C118),"Good to go","Short in Qty")</f>
        <v>Good to go</v>
      </c>
      <c r="C118" s="40">
        <v>40063282</v>
      </c>
      <c r="D118" s="40" t="s">
        <v>270</v>
      </c>
      <c r="E118" s="66">
        <v>20</v>
      </c>
      <c r="F118" s="38" t="s">
        <v>13</v>
      </c>
      <c r="G118" s="40"/>
      <c r="H118" s="38" t="s">
        <v>9</v>
      </c>
      <c r="I118" s="38" t="s">
        <v>371</v>
      </c>
      <c r="J118" s="38">
        <f>IFERROR(VLOOKUP(C:C,'[1]S&amp;S'!$B:$F,5,0),)</f>
        <v>42</v>
      </c>
      <c r="K118" s="38">
        <f>IFERROR(VLOOKUP(A:A,[1]APO!$A:$F,6,0),)</f>
        <v>0</v>
      </c>
      <c r="L118" s="38">
        <f>IFERROR(VLOOKUP(C:C,'[1]TOTAL APO'!$A:$B,2,0),)</f>
        <v>0</v>
      </c>
      <c r="M118" s="38">
        <f>IFERROR(VLOOKUP(A:A,[1]Short!$A:$Q,17,0),)</f>
        <v>0</v>
      </c>
      <c r="N118" s="38">
        <f>IFERROR(VLOOKUP(C:C,[1]GIT!$B:$D,3,0),)</f>
        <v>42</v>
      </c>
      <c r="O118" s="38">
        <f>IFERROR(VLOOKUP(A:A,[2]Sheet1!$A:$B,2,0),)</f>
        <v>0</v>
      </c>
      <c r="P118" s="38">
        <f>IFERROR(VLOOKUP(A:A,[2]Sheet1!$A:$B,2,0),)</f>
        <v>0</v>
      </c>
      <c r="Q118" s="38">
        <f t="shared" si="1"/>
        <v>20</v>
      </c>
      <c r="R118" s="38"/>
      <c r="S118" s="38"/>
    </row>
    <row r="119" spans="1:19" x14ac:dyDescent="0.25">
      <c r="A119" s="38" t="str">
        <f>F119&amp;C119</f>
        <v>C04640062018</v>
      </c>
      <c r="B119" s="38" t="str">
        <f>IF(J119&gt;=SUMIFS(E:E,C:C,C119),"Good to go","Short in Qty")</f>
        <v>Good to go</v>
      </c>
      <c r="C119" s="40">
        <v>40062018</v>
      </c>
      <c r="D119" s="40" t="s">
        <v>272</v>
      </c>
      <c r="E119" s="66">
        <v>1</v>
      </c>
      <c r="F119" s="38" t="s">
        <v>13</v>
      </c>
      <c r="G119" s="40"/>
      <c r="H119" s="38" t="s">
        <v>9</v>
      </c>
      <c r="I119" s="38" t="s">
        <v>530</v>
      </c>
      <c r="J119" s="38">
        <f>IFERROR(VLOOKUP(C:C,'[1]S&amp;S'!$B:$F,5,0),)</f>
        <v>260</v>
      </c>
      <c r="K119" s="38">
        <f>IFERROR(VLOOKUP(A:A,[1]APO!$A:$F,6,0),)</f>
        <v>0</v>
      </c>
      <c r="L119" s="38">
        <f>IFERROR(VLOOKUP(C:C,'[1]TOTAL APO'!$A:$B,2,0),)</f>
        <v>0</v>
      </c>
      <c r="M119" s="38">
        <f>IFERROR(VLOOKUP(A:A,[1]Short!$A:$Q,17,0),)</f>
        <v>0</v>
      </c>
      <c r="N119" s="38">
        <f>IFERROR(VLOOKUP(C:C,[1]GIT!$B:$D,3,0),)</f>
        <v>0</v>
      </c>
      <c r="O119" s="38">
        <f>IFERROR(VLOOKUP(A:A,[2]Sheet1!$A:$B,2,0),)</f>
        <v>0</v>
      </c>
      <c r="P119" s="38">
        <f>IFERROR(VLOOKUP(A:A,[2]Sheet1!$A:$B,2,0),)</f>
        <v>0</v>
      </c>
      <c r="Q119" s="38">
        <f t="shared" si="1"/>
        <v>1</v>
      </c>
      <c r="R119" s="38"/>
      <c r="S119" s="38"/>
    </row>
    <row r="120" spans="1:19" hidden="1" x14ac:dyDescent="0.25">
      <c r="A120" s="38" t="str">
        <f>F120&amp;C120</f>
        <v>C04840063689</v>
      </c>
      <c r="B120" s="38" t="str">
        <f>IF(J120&gt;=SUMIFS(E:E,C:C,C120),"Good to go","Short in Qty")</f>
        <v>Good to go</v>
      </c>
      <c r="C120" s="40">
        <v>40063689</v>
      </c>
      <c r="D120" s="40" t="s">
        <v>516</v>
      </c>
      <c r="E120" s="66">
        <v>25</v>
      </c>
      <c r="F120" s="38" t="s">
        <v>8</v>
      </c>
      <c r="G120" s="73" t="s">
        <v>467</v>
      </c>
      <c r="H120" s="38" t="s">
        <v>84</v>
      </c>
      <c r="I120" s="38" t="s">
        <v>620</v>
      </c>
      <c r="J120" s="38">
        <f>IFERROR(VLOOKUP(C:C,'[1]S&amp;S'!$B:$F,5,0),)</f>
        <v>2042</v>
      </c>
      <c r="K120" s="38">
        <f>IFERROR(VLOOKUP(A:A,[1]APO!$A:$F,6,0),)</f>
        <v>0</v>
      </c>
      <c r="L120" s="38">
        <f>IFERROR(VLOOKUP(C:C,'[1]TOTAL APO'!$A:$B,2,0),)</f>
        <v>0</v>
      </c>
      <c r="M120" s="38">
        <f>IFERROR(VLOOKUP(A:A,[1]Short!$A:$Q,17,0),)</f>
        <v>0</v>
      </c>
      <c r="N120" s="38">
        <f>IFERROR(VLOOKUP(C:C,[1]GIT!$B:$D,3,0),)</f>
        <v>0</v>
      </c>
      <c r="O120" s="38">
        <f>IFERROR(VLOOKUP(A:A,[2]Sheet1!$A:$B,2,0),)</f>
        <v>25</v>
      </c>
      <c r="P120" s="38">
        <f>IFERROR(VLOOKUP(A:A,[2]Sheet1!$A:$B,2,0),)</f>
        <v>25</v>
      </c>
      <c r="Q120" s="38">
        <f t="shared" si="1"/>
        <v>0</v>
      </c>
      <c r="R120" s="38"/>
      <c r="S120" s="38"/>
    </row>
    <row r="121" spans="1:19" hidden="1" x14ac:dyDescent="0.25">
      <c r="A121" s="38" t="str">
        <f>F121&amp;C121</f>
        <v>C04840063581</v>
      </c>
      <c r="B121" s="38" t="str">
        <f>IF(J121&gt;=SUMIFS(E:E,C:C,C121),"Good to go","Short in Qty")</f>
        <v>Good to go</v>
      </c>
      <c r="C121" s="40">
        <v>40063581</v>
      </c>
      <c r="D121" s="40" t="s">
        <v>494</v>
      </c>
      <c r="E121" s="66">
        <v>34</v>
      </c>
      <c r="F121" s="38" t="s">
        <v>8</v>
      </c>
      <c r="G121" s="40" t="s">
        <v>467</v>
      </c>
      <c r="H121" s="38" t="s">
        <v>9</v>
      </c>
      <c r="I121" s="38" t="s">
        <v>530</v>
      </c>
      <c r="J121" s="38">
        <f>IFERROR(VLOOKUP(C:C,'[1]S&amp;S'!$B:$F,5,0),)</f>
        <v>337</v>
      </c>
      <c r="K121" s="38">
        <f>IFERROR(VLOOKUP(A:A,[1]APO!$A:$F,6,0),)</f>
        <v>0</v>
      </c>
      <c r="L121" s="38">
        <f>IFERROR(VLOOKUP(C:C,'[1]TOTAL APO'!$A:$B,2,0),)</f>
        <v>0</v>
      </c>
      <c r="M121" s="38">
        <f>IFERROR(VLOOKUP(A:A,[1]Short!$A:$Q,17,0),)</f>
        <v>0</v>
      </c>
      <c r="N121" s="38">
        <f>IFERROR(VLOOKUP(C:C,[1]GIT!$B:$D,3,0),)</f>
        <v>337</v>
      </c>
      <c r="O121" s="38">
        <f>IFERROR(VLOOKUP(A:A,[2]Sheet1!$A:$B,2,0),)</f>
        <v>34</v>
      </c>
      <c r="P121" s="38">
        <f>IFERROR(VLOOKUP(A:A,[2]Sheet1!$A:$B,2,0),)</f>
        <v>34</v>
      </c>
      <c r="Q121" s="38">
        <f t="shared" si="1"/>
        <v>0</v>
      </c>
      <c r="R121" s="38"/>
      <c r="S121" s="38"/>
    </row>
    <row r="122" spans="1:19" hidden="1" x14ac:dyDescent="0.25">
      <c r="A122" s="38" t="str">
        <f>F122&amp;C122</f>
        <v>C04240063025</v>
      </c>
      <c r="B122" s="38" t="str">
        <f>IF(J122&gt;=SUMIFS(E:E,C:C,C122),"Good to go","Short in Qty")</f>
        <v>Good to go</v>
      </c>
      <c r="C122" s="40">
        <v>40063025</v>
      </c>
      <c r="D122" s="40" t="s">
        <v>263</v>
      </c>
      <c r="E122" s="67">
        <v>200</v>
      </c>
      <c r="F122" s="38" t="s">
        <v>10</v>
      </c>
      <c r="G122" s="40" t="s">
        <v>467</v>
      </c>
      <c r="H122" s="38" t="s">
        <v>9</v>
      </c>
      <c r="I122" s="38" t="s">
        <v>530</v>
      </c>
      <c r="J122" s="38">
        <f>IFERROR(VLOOKUP(C:C,'[1]S&amp;S'!$B:$F,5,0),)</f>
        <v>1656</v>
      </c>
      <c r="K122" s="38">
        <f>IFERROR(VLOOKUP(A:A,[1]APO!$A:$F,6,0),)</f>
        <v>0</v>
      </c>
      <c r="L122" s="38">
        <f>IFERROR(VLOOKUP(C:C,'[1]TOTAL APO'!$A:$B,2,0),)</f>
        <v>0</v>
      </c>
      <c r="M122" s="38">
        <f>IFERROR(VLOOKUP(A:A,[1]Short!$A:$Q,17,0),)</f>
        <v>0</v>
      </c>
      <c r="N122" s="38">
        <f>IFERROR(VLOOKUP(C:C,[1]GIT!$B:$D,3,0),)</f>
        <v>1100</v>
      </c>
      <c r="O122" s="38">
        <f>IFERROR(VLOOKUP(A:A,[2]Sheet1!$A:$B,2,0),)</f>
        <v>200</v>
      </c>
      <c r="P122" s="38">
        <f>IFERROR(VLOOKUP(A:A,[2]Sheet1!$A:$B,2,0),)</f>
        <v>200</v>
      </c>
      <c r="Q122" s="38">
        <f t="shared" si="1"/>
        <v>0</v>
      </c>
      <c r="R122" s="38"/>
      <c r="S122" s="38"/>
    </row>
    <row r="123" spans="1:19" x14ac:dyDescent="0.25">
      <c r="A123" s="38" t="str">
        <f>F123&amp;C123</f>
        <v>C12140063493</v>
      </c>
      <c r="B123" s="38" t="str">
        <f>IF(J123&gt;=SUMIFS(E:E,C:C,C123),"Good to go","Short in Qty")</f>
        <v>Good to go</v>
      </c>
      <c r="C123" s="40">
        <v>40063493</v>
      </c>
      <c r="D123" s="40" t="s">
        <v>233</v>
      </c>
      <c r="E123" s="66">
        <v>4</v>
      </c>
      <c r="F123" s="38" t="s">
        <v>194</v>
      </c>
      <c r="G123" s="40" t="s">
        <v>195</v>
      </c>
      <c r="H123" s="38" t="s">
        <v>199</v>
      </c>
      <c r="I123" s="38" t="s">
        <v>366</v>
      </c>
      <c r="J123" s="38">
        <f>IFERROR(VLOOKUP(C:C,'[1]S&amp;S'!$B:$F,5,0),)</f>
        <v>4</v>
      </c>
      <c r="K123" s="38">
        <f>IFERROR(VLOOKUP(A:A,[1]APO!$A:$F,6,0),)</f>
        <v>0</v>
      </c>
      <c r="L123" s="38">
        <f>IFERROR(VLOOKUP(C:C,'[1]TOTAL APO'!$A:$B,2,0),)</f>
        <v>0</v>
      </c>
      <c r="M123" s="38">
        <f>IFERROR(VLOOKUP(A:A,[1]Short!$A:$Q,17,0),)</f>
        <v>0</v>
      </c>
      <c r="N123" s="38">
        <f>IFERROR(VLOOKUP(C:C,[1]GIT!$B:$D,3,0),)</f>
        <v>0</v>
      </c>
      <c r="O123" s="38">
        <f>IFERROR(VLOOKUP(A:A,[2]Sheet1!$A:$B,2,0),)</f>
        <v>0</v>
      </c>
      <c r="P123" s="38">
        <f>IFERROR(VLOOKUP(A:A,[2]Sheet1!$A:$B,2,0),)</f>
        <v>0</v>
      </c>
      <c r="Q123" s="38">
        <f t="shared" si="1"/>
        <v>4</v>
      </c>
      <c r="R123" s="38"/>
      <c r="S123" s="38"/>
    </row>
    <row r="124" spans="1:19" hidden="1" x14ac:dyDescent="0.25">
      <c r="A124" s="38" t="str">
        <f>F124&amp;C124</f>
        <v>C04840057928</v>
      </c>
      <c r="B124" s="38" t="str">
        <f>IF(J124&gt;=SUMIFS(E:E,C:C,C124),"Good to go","Short in Qty")</f>
        <v>Good to go</v>
      </c>
      <c r="C124" s="40">
        <v>40057928</v>
      </c>
      <c r="D124" s="40" t="s">
        <v>526</v>
      </c>
      <c r="E124" s="66">
        <v>50</v>
      </c>
      <c r="F124" s="38" t="s">
        <v>8</v>
      </c>
      <c r="G124" s="40" t="s">
        <v>467</v>
      </c>
      <c r="H124" s="38" t="s">
        <v>594</v>
      </c>
      <c r="I124" s="38" t="s">
        <v>595</v>
      </c>
      <c r="J124" s="38">
        <f>IFERROR(VLOOKUP(C:C,'[1]S&amp;S'!$B:$F,5,0),)</f>
        <v>1958</v>
      </c>
      <c r="K124" s="38">
        <f>IFERROR(VLOOKUP(A:A,[1]APO!$A:$F,6,0),)</f>
        <v>0</v>
      </c>
      <c r="L124" s="38">
        <f>IFERROR(VLOOKUP(C:C,'[1]TOTAL APO'!$A:$B,2,0),)</f>
        <v>0</v>
      </c>
      <c r="M124" s="38">
        <f>IFERROR(VLOOKUP(A:A,[1]Short!$A:$Q,17,0),)</f>
        <v>0</v>
      </c>
      <c r="N124" s="38">
        <f>IFERROR(VLOOKUP(C:C,[1]GIT!$B:$D,3,0),)</f>
        <v>513</v>
      </c>
      <c r="O124" s="38">
        <f>IFERROR(VLOOKUP(A:A,[2]Sheet1!$A:$B,2,0),)</f>
        <v>50</v>
      </c>
      <c r="P124" s="38">
        <f>IFERROR(VLOOKUP(A:A,[2]Sheet1!$A:$B,2,0),)</f>
        <v>50</v>
      </c>
      <c r="Q124" s="38">
        <f t="shared" si="1"/>
        <v>0</v>
      </c>
      <c r="R124" s="38">
        <v>1</v>
      </c>
      <c r="S124" s="38"/>
    </row>
    <row r="125" spans="1:19" hidden="1" x14ac:dyDescent="0.25">
      <c r="A125" s="38" t="str">
        <f>F125&amp;C125</f>
        <v>C04340049906</v>
      </c>
      <c r="B125" s="38" t="str">
        <f>IF(J125&gt;=SUMIFS(E:E,C:C,C125),"Good to go","Short in Qty")</f>
        <v>Good to go</v>
      </c>
      <c r="C125" s="40">
        <v>40049906</v>
      </c>
      <c r="D125" s="40" t="s">
        <v>587</v>
      </c>
      <c r="E125" s="66">
        <v>100</v>
      </c>
      <c r="F125" s="38" t="s">
        <v>11</v>
      </c>
      <c r="G125" s="40" t="s">
        <v>467</v>
      </c>
      <c r="H125" s="38" t="s">
        <v>594</v>
      </c>
      <c r="I125" s="38" t="s">
        <v>595</v>
      </c>
      <c r="J125" s="38">
        <f>IFERROR(VLOOKUP(C:C,'[1]S&amp;S'!$B:$F,5,0),)</f>
        <v>697</v>
      </c>
      <c r="K125" s="38">
        <f>IFERROR(VLOOKUP(A:A,[1]APO!$A:$F,6,0),)</f>
        <v>0</v>
      </c>
      <c r="L125" s="38">
        <f>IFERROR(VLOOKUP(C:C,'[1]TOTAL APO'!$A:$B,2,0),)</f>
        <v>0</v>
      </c>
      <c r="M125" s="38">
        <f>IFERROR(VLOOKUP(A:A,[1]Short!$A:$Q,17,0),)</f>
        <v>0</v>
      </c>
      <c r="N125" s="38">
        <f>IFERROR(VLOOKUP(C:C,[1]GIT!$B:$D,3,0),)</f>
        <v>200</v>
      </c>
      <c r="O125" s="38">
        <f>IFERROR(VLOOKUP(A:A,[2]Sheet1!$A:$B,2,0),)</f>
        <v>100</v>
      </c>
      <c r="P125" s="38">
        <f>IFERROR(VLOOKUP(A:A,[2]Sheet1!$A:$B,2,0),)</f>
        <v>100</v>
      </c>
      <c r="Q125" s="38">
        <f t="shared" si="1"/>
        <v>0</v>
      </c>
      <c r="R125" s="38"/>
      <c r="S125" s="38"/>
    </row>
    <row r="126" spans="1:19" x14ac:dyDescent="0.25">
      <c r="A126" s="38" t="str">
        <f>F126&amp;C126</f>
        <v>C12140063556</v>
      </c>
      <c r="B126" s="38" t="str">
        <f>IF(J126&gt;=SUMIFS(E:E,C:C,C126),"Good to go","Short in Qty")</f>
        <v>Good to go</v>
      </c>
      <c r="C126" s="40">
        <v>40063556</v>
      </c>
      <c r="D126" s="40" t="s">
        <v>234</v>
      </c>
      <c r="E126" s="66">
        <v>34</v>
      </c>
      <c r="F126" s="38" t="s">
        <v>194</v>
      </c>
      <c r="G126" s="40" t="s">
        <v>195</v>
      </c>
      <c r="H126" s="38" t="s">
        <v>235</v>
      </c>
      <c r="I126" s="38" t="s">
        <v>380</v>
      </c>
      <c r="J126" s="38">
        <f>IFERROR(VLOOKUP(C:C,'[1]S&amp;S'!$B:$F,5,0),)</f>
        <v>34</v>
      </c>
      <c r="K126" s="38">
        <f>IFERROR(VLOOKUP(A:A,[1]APO!$A:$F,6,0),)</f>
        <v>0</v>
      </c>
      <c r="L126" s="38">
        <f>IFERROR(VLOOKUP(C:C,'[1]TOTAL APO'!$A:$B,2,0),)</f>
        <v>0</v>
      </c>
      <c r="M126" s="38">
        <f>IFERROR(VLOOKUP(A:A,[1]Short!$A:$Q,17,0),)</f>
        <v>0</v>
      </c>
      <c r="N126" s="38">
        <f>IFERROR(VLOOKUP(C:C,[1]GIT!$B:$D,3,0),)</f>
        <v>0</v>
      </c>
      <c r="O126" s="38">
        <f>IFERROR(VLOOKUP(A:A,[2]Sheet1!$A:$B,2,0),)</f>
        <v>0</v>
      </c>
      <c r="P126" s="38">
        <f>IFERROR(VLOOKUP(A:A,[2]Sheet1!$A:$B,2,0),)</f>
        <v>0</v>
      </c>
      <c r="Q126" s="38">
        <f t="shared" si="1"/>
        <v>34</v>
      </c>
      <c r="R126" s="38"/>
      <c r="S126" s="38"/>
    </row>
    <row r="127" spans="1:19" hidden="1" x14ac:dyDescent="0.25">
      <c r="A127" s="38" t="str">
        <f>F127&amp;C127</f>
        <v>C04240041526</v>
      </c>
      <c r="B127" s="38" t="str">
        <f>IF(J127&gt;=SUMIFS(E:E,C:C,C127),"Good to go","Short in Qty")</f>
        <v>Good to go</v>
      </c>
      <c r="C127" s="40">
        <v>40041526</v>
      </c>
      <c r="D127" s="40" t="s">
        <v>428</v>
      </c>
      <c r="E127" s="66">
        <v>30</v>
      </c>
      <c r="F127" s="38" t="s">
        <v>10</v>
      </c>
      <c r="G127" s="40" t="s">
        <v>467</v>
      </c>
      <c r="H127" s="38" t="s">
        <v>429</v>
      </c>
      <c r="I127" s="38" t="s">
        <v>430</v>
      </c>
      <c r="J127" s="38">
        <f>IFERROR(VLOOKUP(C:C,'[1]S&amp;S'!$B:$F,5,0),)</f>
        <v>1052.0407499999999</v>
      </c>
      <c r="K127" s="38">
        <f>IFERROR(VLOOKUP(A:A,[1]APO!$A:$F,6,0),)</f>
        <v>0</v>
      </c>
      <c r="L127" s="38">
        <f>IFERROR(VLOOKUP(C:C,'[1]TOTAL APO'!$A:$B,2,0),)</f>
        <v>0</v>
      </c>
      <c r="M127" s="38">
        <f>IFERROR(VLOOKUP(A:A,[1]Short!$A:$Q,17,0),)</f>
        <v>0</v>
      </c>
      <c r="N127" s="38">
        <f>IFERROR(VLOOKUP(C:C,[1]GIT!$B:$D,3,0),)</f>
        <v>0</v>
      </c>
      <c r="O127" s="38">
        <f>IFERROR(VLOOKUP(A:A,[2]Sheet1!$A:$B,2,0),)</f>
        <v>30</v>
      </c>
      <c r="P127" s="38">
        <f>IFERROR(VLOOKUP(A:A,[2]Sheet1!$A:$B,2,0),)</f>
        <v>30</v>
      </c>
      <c r="Q127" s="38">
        <f t="shared" si="1"/>
        <v>0</v>
      </c>
      <c r="R127" s="38"/>
      <c r="S127" s="38"/>
    </row>
    <row r="128" spans="1:19" x14ac:dyDescent="0.25">
      <c r="A128" s="38" t="str">
        <f>F128&amp;C128</f>
        <v>C04840063757</v>
      </c>
      <c r="B128" s="38" t="str">
        <f>IF(J128&gt;=SUMIFS(E:E,C:C,C128),"Good to go","Short in Qty")</f>
        <v>Good to go</v>
      </c>
      <c r="C128" s="40">
        <v>40063757</v>
      </c>
      <c r="D128" s="40" t="s">
        <v>261</v>
      </c>
      <c r="E128" s="66">
        <v>175</v>
      </c>
      <c r="F128" s="38" t="s">
        <v>8</v>
      </c>
      <c r="G128" s="40" t="s">
        <v>467</v>
      </c>
      <c r="H128" s="38" t="s">
        <v>9</v>
      </c>
      <c r="I128" s="38" t="s">
        <v>530</v>
      </c>
      <c r="J128" s="38">
        <f>IFERROR(VLOOKUP(C:C,'[1]S&amp;S'!$B:$F,5,0),)</f>
        <v>500</v>
      </c>
      <c r="K128" s="38">
        <f>IFERROR(VLOOKUP(A:A,[1]APO!$A:$F,6,0),)</f>
        <v>0</v>
      </c>
      <c r="L128" s="38">
        <f>IFERROR(VLOOKUP(C:C,'[1]TOTAL APO'!$A:$B,2,0),)</f>
        <v>0</v>
      </c>
      <c r="M128" s="38">
        <f>IFERROR(VLOOKUP(A:A,[1]Short!$A:$Q,17,0),)</f>
        <v>0</v>
      </c>
      <c r="N128" s="38">
        <f>IFERROR(VLOOKUP(C:C,[1]GIT!$B:$D,3,0),)</f>
        <v>500</v>
      </c>
      <c r="O128" s="38">
        <f>IFERROR(VLOOKUP(A:A,[2]Sheet1!$A:$B,2,0),)</f>
        <v>130</v>
      </c>
      <c r="P128" s="38">
        <f>IFERROR(VLOOKUP(A:A,[2]Sheet1!$A:$B,2,0),)</f>
        <v>130</v>
      </c>
      <c r="Q128" s="38">
        <f t="shared" si="1"/>
        <v>45</v>
      </c>
      <c r="R128" s="38"/>
      <c r="S128" s="38"/>
    </row>
    <row r="129" spans="1:19" hidden="1" x14ac:dyDescent="0.25">
      <c r="A129" s="38" t="str">
        <f>F129&amp;C129</f>
        <v>C04340062024</v>
      </c>
      <c r="B129" s="38" t="str">
        <f>IF(J129&gt;=SUMIFS(E:E,C:C,C129),"Good to go","Short in Qty")</f>
        <v>Good to go</v>
      </c>
      <c r="C129" s="40">
        <v>40062024</v>
      </c>
      <c r="D129" s="40" t="s">
        <v>276</v>
      </c>
      <c r="E129" s="66">
        <v>49</v>
      </c>
      <c r="F129" s="38" t="s">
        <v>11</v>
      </c>
      <c r="G129" s="40" t="s">
        <v>467</v>
      </c>
      <c r="H129" s="38" t="s">
        <v>9</v>
      </c>
      <c r="I129" s="38" t="s">
        <v>530</v>
      </c>
      <c r="J129" s="38">
        <f>IFERROR(VLOOKUP(C:C,'[1]S&amp;S'!$B:$F,5,0),)</f>
        <v>1231.00416666667</v>
      </c>
      <c r="K129" s="38">
        <f>IFERROR(VLOOKUP(A:A,[1]APO!$A:$F,6,0),)</f>
        <v>0</v>
      </c>
      <c r="L129" s="38">
        <f>IFERROR(VLOOKUP(C:C,'[1]TOTAL APO'!$A:$B,2,0),)</f>
        <v>0</v>
      </c>
      <c r="M129" s="38">
        <f>IFERROR(VLOOKUP(A:A,[1]Short!$A:$Q,17,0),)</f>
        <v>0</v>
      </c>
      <c r="N129" s="38">
        <f>IFERROR(VLOOKUP(C:C,[1]GIT!$B:$D,3,0),)</f>
        <v>0</v>
      </c>
      <c r="O129" s="38">
        <f>IFERROR(VLOOKUP(A:A,[2]Sheet1!$A:$B,2,0),)</f>
        <v>49</v>
      </c>
      <c r="P129" s="38">
        <f>IFERROR(VLOOKUP(A:A,[2]Sheet1!$A:$B,2,0),)</f>
        <v>49</v>
      </c>
      <c r="Q129" s="38">
        <f t="shared" si="1"/>
        <v>0</v>
      </c>
      <c r="R129" s="38"/>
      <c r="S129" s="38"/>
    </row>
    <row r="130" spans="1:19" hidden="1" x14ac:dyDescent="0.25">
      <c r="A130" s="38" t="str">
        <f>F130&amp;C130</f>
        <v>C11140049949</v>
      </c>
      <c r="B130" s="38" t="str">
        <f>IF(J130&gt;=SUMIFS(E:E,C:C,C130),"Good to go","Short in Qty")</f>
        <v>Good to go</v>
      </c>
      <c r="C130" s="40">
        <v>40049949</v>
      </c>
      <c r="D130" s="40" t="s">
        <v>354</v>
      </c>
      <c r="E130" s="75">
        <v>120</v>
      </c>
      <c r="F130" s="38" t="s">
        <v>16</v>
      </c>
      <c r="G130" s="40" t="s">
        <v>467</v>
      </c>
      <c r="H130" s="38" t="s">
        <v>248</v>
      </c>
      <c r="I130" s="38" t="s">
        <v>457</v>
      </c>
      <c r="J130" s="38">
        <f>IFERROR(VLOOKUP(C:C,'[1]S&amp;S'!$B:$F,5,0),)</f>
        <v>625</v>
      </c>
      <c r="K130" s="38">
        <f>IFERROR(VLOOKUP(A:A,[1]APO!$A:$F,6,0),)</f>
        <v>0</v>
      </c>
      <c r="L130" s="38">
        <f>IFERROR(VLOOKUP(C:C,'[1]TOTAL APO'!$A:$B,2,0),)</f>
        <v>0</v>
      </c>
      <c r="M130" s="38">
        <f>IFERROR(VLOOKUP(A:A,[1]Short!$A:$Q,17,0),)</f>
        <v>0</v>
      </c>
      <c r="N130" s="38">
        <f>IFERROR(VLOOKUP(C:C,[1]GIT!$B:$D,3,0),)</f>
        <v>0</v>
      </c>
      <c r="O130" s="38">
        <f>IFERROR(VLOOKUP(A:A,[2]Sheet1!$A:$B,2,0),)</f>
        <v>120</v>
      </c>
      <c r="P130" s="38">
        <f>IFERROR(VLOOKUP(A:A,[2]Sheet1!$A:$B,2,0),)</f>
        <v>120</v>
      </c>
      <c r="Q130" s="38">
        <f t="shared" si="1"/>
        <v>0</v>
      </c>
      <c r="R130" s="38"/>
      <c r="S130" s="38"/>
    </row>
    <row r="131" spans="1:19" x14ac:dyDescent="0.25">
      <c r="A131" s="38" t="str">
        <f>F131&amp;C131</f>
        <v>C12140063685</v>
      </c>
      <c r="B131" s="38" t="str">
        <f>IF(J131&gt;=SUMIFS(E:E,C:C,C131),"Good to go","Short in Qty")</f>
        <v>Good to go</v>
      </c>
      <c r="C131" s="40">
        <v>40063685</v>
      </c>
      <c r="D131" s="40" t="s">
        <v>236</v>
      </c>
      <c r="E131" s="66">
        <v>29</v>
      </c>
      <c r="F131" s="38" t="s">
        <v>194</v>
      </c>
      <c r="G131" s="40" t="s">
        <v>195</v>
      </c>
      <c r="H131" s="38" t="s">
        <v>9</v>
      </c>
      <c r="I131" s="38" t="s">
        <v>367</v>
      </c>
      <c r="J131" s="38">
        <f>IFERROR(VLOOKUP(C:C,'[1]S&amp;S'!$B:$F,5,0),)</f>
        <v>3653.4444444444398</v>
      </c>
      <c r="K131" s="38">
        <f>IFERROR(VLOOKUP(A:A,[1]APO!$A:$F,6,0),)</f>
        <v>0</v>
      </c>
      <c r="L131" s="38">
        <f>IFERROR(VLOOKUP(C:C,'[1]TOTAL APO'!$A:$B,2,0),)</f>
        <v>0</v>
      </c>
      <c r="M131" s="38">
        <f>IFERROR(VLOOKUP(A:A,[1]Short!$A:$Q,17,0),)</f>
        <v>0</v>
      </c>
      <c r="N131" s="38">
        <f>IFERROR(VLOOKUP(C:C,[1]GIT!$B:$D,3,0),)</f>
        <v>0</v>
      </c>
      <c r="O131" s="38">
        <f>IFERROR(VLOOKUP(A:A,[2]Sheet1!$A:$B,2,0),)</f>
        <v>0</v>
      </c>
      <c r="P131" s="38">
        <f>IFERROR(VLOOKUP(A:A,[2]Sheet1!$A:$B,2,0),)</f>
        <v>0</v>
      </c>
      <c r="Q131" s="38">
        <f t="shared" ref="Q131:Q194" si="2">+E131-P131</f>
        <v>29</v>
      </c>
      <c r="R131" s="38"/>
      <c r="S131" s="38"/>
    </row>
    <row r="132" spans="1:19" x14ac:dyDescent="0.25">
      <c r="A132" s="38" t="str">
        <f>F132&amp;C132</f>
        <v>C12140063700</v>
      </c>
      <c r="B132" s="38" t="str">
        <f>IF(J132&gt;=SUMIFS(E:E,C:C,C132),"Good to go","Short in Qty")</f>
        <v>Good to go</v>
      </c>
      <c r="C132" s="40">
        <v>40063700</v>
      </c>
      <c r="D132" s="40" t="s">
        <v>237</v>
      </c>
      <c r="E132" s="66">
        <v>1</v>
      </c>
      <c r="F132" s="38" t="s">
        <v>194</v>
      </c>
      <c r="G132" s="40" t="s">
        <v>195</v>
      </c>
      <c r="H132" s="38" t="s">
        <v>9</v>
      </c>
      <c r="I132" s="38" t="s">
        <v>379</v>
      </c>
      <c r="J132" s="38">
        <f>IFERROR(VLOOKUP(C:C,'[1]S&amp;S'!$B:$F,5,0),)</f>
        <v>9071</v>
      </c>
      <c r="K132" s="38">
        <f>IFERROR(VLOOKUP(A:A,[1]APO!$A:$F,6,0),)</f>
        <v>0</v>
      </c>
      <c r="L132" s="38">
        <f>IFERROR(VLOOKUP(C:C,'[1]TOTAL APO'!$A:$B,2,0),)</f>
        <v>0</v>
      </c>
      <c r="M132" s="38">
        <f>IFERROR(VLOOKUP(A:A,[1]Short!$A:$Q,17,0),)</f>
        <v>0</v>
      </c>
      <c r="N132" s="38">
        <f>IFERROR(VLOOKUP(C:C,[1]GIT!$B:$D,3,0),)</f>
        <v>0</v>
      </c>
      <c r="O132" s="38">
        <f>IFERROR(VLOOKUP(A:A,[2]Sheet1!$A:$B,2,0),)</f>
        <v>0</v>
      </c>
      <c r="P132" s="38">
        <f>IFERROR(VLOOKUP(A:A,[2]Sheet1!$A:$B,2,0),)</f>
        <v>0</v>
      </c>
      <c r="Q132" s="38">
        <f t="shared" si="2"/>
        <v>1</v>
      </c>
      <c r="R132" s="38"/>
      <c r="S132" s="38"/>
    </row>
    <row r="133" spans="1:19" x14ac:dyDescent="0.25">
      <c r="A133" s="38" t="str">
        <f>F133&amp;C133</f>
        <v>C04840063808</v>
      </c>
      <c r="B133" s="38" t="str">
        <f>IF(J133&gt;=SUMIFS(E:E,C:C,C133),"Good to go","Short in Qty")</f>
        <v>Good to go</v>
      </c>
      <c r="C133" s="40">
        <v>40063808</v>
      </c>
      <c r="D133" s="40" t="s">
        <v>271</v>
      </c>
      <c r="E133" s="66">
        <v>30</v>
      </c>
      <c r="F133" s="38" t="s">
        <v>8</v>
      </c>
      <c r="G133" s="40" t="s">
        <v>467</v>
      </c>
      <c r="H133" s="38" t="s">
        <v>9</v>
      </c>
      <c r="I133" s="38" t="s">
        <v>371</v>
      </c>
      <c r="J133" s="38">
        <f>IFERROR(VLOOKUP(C:C,'[1]S&amp;S'!$B:$F,5,0),)</f>
        <v>90</v>
      </c>
      <c r="K133" s="38">
        <f>IFERROR(VLOOKUP(A:A,[1]APO!$A:$F,6,0),)</f>
        <v>0</v>
      </c>
      <c r="L133" s="38">
        <f>IFERROR(VLOOKUP(C:C,'[1]TOTAL APO'!$A:$B,2,0),)</f>
        <v>0</v>
      </c>
      <c r="M133" s="38">
        <f>IFERROR(VLOOKUP(A:A,[1]Short!$A:$Q,17,0),)</f>
        <v>0</v>
      </c>
      <c r="N133" s="38">
        <f>IFERROR(VLOOKUP(C:C,[1]GIT!$B:$D,3,0),)</f>
        <v>0</v>
      </c>
      <c r="O133" s="38">
        <f>IFERROR(VLOOKUP(A:A,[2]Sheet1!$A:$B,2,0),)</f>
        <v>0</v>
      </c>
      <c r="P133" s="38">
        <f>IFERROR(VLOOKUP(A:A,[2]Sheet1!$A:$B,2,0),)</f>
        <v>0</v>
      </c>
      <c r="Q133" s="38">
        <f t="shared" si="2"/>
        <v>30</v>
      </c>
      <c r="R133" s="38"/>
      <c r="S133" s="38"/>
    </row>
    <row r="134" spans="1:19" hidden="1" x14ac:dyDescent="0.25">
      <c r="A134" s="38" t="str">
        <f>F134&amp;C134</f>
        <v>C04340041316</v>
      </c>
      <c r="B134" s="38" t="str">
        <f>IF(J134&gt;=SUMIFS(E:E,C:C,C134),"Good to go","Short in Qty")</f>
        <v>Good to go</v>
      </c>
      <c r="C134" s="40">
        <v>40041316</v>
      </c>
      <c r="D134" s="40" t="s">
        <v>252</v>
      </c>
      <c r="E134" s="66">
        <v>19</v>
      </c>
      <c r="F134" s="38" t="s">
        <v>11</v>
      </c>
      <c r="G134" s="40" t="s">
        <v>467</v>
      </c>
      <c r="H134" s="38" t="s">
        <v>84</v>
      </c>
      <c r="I134" s="38" t="s">
        <v>620</v>
      </c>
      <c r="J134" s="38">
        <f>IFERROR(VLOOKUP(C:C,'[1]S&amp;S'!$B:$F,5,0),)</f>
        <v>19</v>
      </c>
      <c r="K134" s="38">
        <f>IFERROR(VLOOKUP(A:A,[1]APO!$A:$F,6,0),)</f>
        <v>0</v>
      </c>
      <c r="L134" s="38">
        <f>IFERROR(VLOOKUP(C:C,'[1]TOTAL APO'!$A:$B,2,0),)</f>
        <v>0</v>
      </c>
      <c r="M134" s="38">
        <f>IFERROR(VLOOKUP(A:A,[1]Short!$A:$Q,17,0),)</f>
        <v>0</v>
      </c>
      <c r="N134" s="38">
        <f>IFERROR(VLOOKUP(C:C,[1]GIT!$B:$D,3,0),)</f>
        <v>0</v>
      </c>
      <c r="O134" s="38">
        <f>IFERROR(VLOOKUP(A:A,[2]Sheet1!$A:$B,2,0),)</f>
        <v>19</v>
      </c>
      <c r="P134" s="38">
        <f>IFERROR(VLOOKUP(A:A,[2]Sheet1!$A:$B,2,0),)</f>
        <v>19</v>
      </c>
      <c r="Q134" s="38">
        <f t="shared" si="2"/>
        <v>0</v>
      </c>
      <c r="R134" s="38"/>
      <c r="S134" s="38"/>
    </row>
    <row r="135" spans="1:19" hidden="1" x14ac:dyDescent="0.25">
      <c r="A135" s="38" t="str">
        <f>F135&amp;C135</f>
        <v>C10240049949</v>
      </c>
      <c r="B135" s="38" t="str">
        <f>IF(J135&gt;=SUMIFS(E:E,C:C,C135),"Good to go","Short in Qty")</f>
        <v>Good to go</v>
      </c>
      <c r="C135" s="40">
        <v>40049949</v>
      </c>
      <c r="D135" s="40" t="s">
        <v>354</v>
      </c>
      <c r="E135" s="67">
        <v>250</v>
      </c>
      <c r="F135" s="38" t="s">
        <v>226</v>
      </c>
      <c r="G135" s="40" t="s">
        <v>467</v>
      </c>
      <c r="H135" s="38" t="s">
        <v>594</v>
      </c>
      <c r="I135" s="38" t="s">
        <v>595</v>
      </c>
      <c r="J135" s="38">
        <f>IFERROR(VLOOKUP(C:C,'[1]S&amp;S'!$B:$F,5,0),)</f>
        <v>625</v>
      </c>
      <c r="K135" s="38">
        <f>IFERROR(VLOOKUP(A:A,[1]APO!$A:$F,6,0),)</f>
        <v>0</v>
      </c>
      <c r="L135" s="38">
        <f>IFERROR(VLOOKUP(C:C,'[1]TOTAL APO'!$A:$B,2,0),)</f>
        <v>0</v>
      </c>
      <c r="M135" s="38">
        <f>IFERROR(VLOOKUP(A:A,[1]Short!$A:$Q,17,0),)</f>
        <v>0</v>
      </c>
      <c r="N135" s="38">
        <f>IFERROR(VLOOKUP(C:C,[1]GIT!$B:$D,3,0),)</f>
        <v>0</v>
      </c>
      <c r="O135" s="38">
        <f>IFERROR(VLOOKUP(A:A,[2]Sheet1!$A:$B,2,0),)</f>
        <v>250</v>
      </c>
      <c r="P135" s="38">
        <f>IFERROR(VLOOKUP(A:A,[2]Sheet1!$A:$B,2,0),)</f>
        <v>250</v>
      </c>
      <c r="Q135" s="38">
        <f t="shared" si="2"/>
        <v>0</v>
      </c>
      <c r="R135" s="38"/>
      <c r="S135" s="38"/>
    </row>
    <row r="136" spans="1:19" hidden="1" x14ac:dyDescent="0.25">
      <c r="A136" s="38" t="str">
        <f>F136&amp;C136</f>
        <v>C04640063788</v>
      </c>
      <c r="B136" s="38" t="str">
        <f>IF(J136&gt;=SUMIFS(E:E,C:C,C136),"Good to go","Short in Qty")</f>
        <v>Good to go</v>
      </c>
      <c r="C136" s="40">
        <v>40063788</v>
      </c>
      <c r="D136" s="40" t="s">
        <v>345</v>
      </c>
      <c r="E136" s="66">
        <v>2</v>
      </c>
      <c r="F136" s="38" t="s">
        <v>13</v>
      </c>
      <c r="G136" s="40" t="s">
        <v>467</v>
      </c>
      <c r="H136" s="38" t="s">
        <v>151</v>
      </c>
      <c r="I136" s="38" t="s">
        <v>369</v>
      </c>
      <c r="J136" s="38">
        <f>IFERROR(VLOOKUP(C:C,'[1]S&amp;S'!$B:$F,5,0),)</f>
        <v>430</v>
      </c>
      <c r="K136" s="38">
        <f>IFERROR(VLOOKUP(A:A,[1]APO!$A:$F,6,0),)</f>
        <v>0</v>
      </c>
      <c r="L136" s="38">
        <f>IFERROR(VLOOKUP(C:C,'[1]TOTAL APO'!$A:$B,2,0),)</f>
        <v>0</v>
      </c>
      <c r="M136" s="38">
        <f>IFERROR(VLOOKUP(A:A,[1]Short!$A:$Q,17,0),)</f>
        <v>0</v>
      </c>
      <c r="N136" s="38">
        <f>IFERROR(VLOOKUP(C:C,[1]GIT!$B:$D,3,0),)</f>
        <v>0</v>
      </c>
      <c r="O136" s="38">
        <f>IFERROR(VLOOKUP(A:A,[2]Sheet1!$A:$B,2,0),)</f>
        <v>2</v>
      </c>
      <c r="P136" s="38">
        <f>IFERROR(VLOOKUP(A:A,[2]Sheet1!$A:$B,2,0),)</f>
        <v>2</v>
      </c>
      <c r="Q136" s="38">
        <f t="shared" si="2"/>
        <v>0</v>
      </c>
      <c r="R136" s="38"/>
      <c r="S136" s="38"/>
    </row>
    <row r="137" spans="1:19" hidden="1" x14ac:dyDescent="0.25">
      <c r="A137" s="38" t="str">
        <f>F137&amp;C137</f>
        <v>C04340041325</v>
      </c>
      <c r="B137" s="38" t="str">
        <f>IF(J137&gt;=SUMIFS(E:E,C:C,C137),"Good to go","Short in Qty")</f>
        <v>Good to go</v>
      </c>
      <c r="C137" s="40">
        <v>40041325</v>
      </c>
      <c r="D137" s="40" t="s">
        <v>193</v>
      </c>
      <c r="E137" s="66">
        <v>54</v>
      </c>
      <c r="F137" s="38" t="s">
        <v>11</v>
      </c>
      <c r="G137" s="40" t="s">
        <v>467</v>
      </c>
      <c r="H137" s="38" t="s">
        <v>84</v>
      </c>
      <c r="I137" s="38" t="s">
        <v>620</v>
      </c>
      <c r="J137" s="38">
        <f>IFERROR(VLOOKUP(C:C,'[1]S&amp;S'!$B:$F,5,0),)</f>
        <v>85.000066666666697</v>
      </c>
      <c r="K137" s="38">
        <f>IFERROR(VLOOKUP(A:A,[1]APO!$A:$F,6,0),)</f>
        <v>0</v>
      </c>
      <c r="L137" s="38">
        <f>IFERROR(VLOOKUP(C:C,'[1]TOTAL APO'!$A:$B,2,0),)</f>
        <v>0</v>
      </c>
      <c r="M137" s="38">
        <f>IFERROR(VLOOKUP(A:A,[1]Short!$A:$Q,17,0),)</f>
        <v>0</v>
      </c>
      <c r="N137" s="38">
        <f>IFERROR(VLOOKUP(C:C,[1]GIT!$B:$D,3,0),)</f>
        <v>0</v>
      </c>
      <c r="O137" s="38">
        <f>IFERROR(VLOOKUP(A:A,[2]Sheet1!$A:$B,2,0),)</f>
        <v>54</v>
      </c>
      <c r="P137" s="38">
        <f>IFERROR(VLOOKUP(A:A,[2]Sheet1!$A:$B,2,0),)</f>
        <v>54</v>
      </c>
      <c r="Q137" s="38">
        <f t="shared" si="2"/>
        <v>0</v>
      </c>
      <c r="R137" s="38"/>
      <c r="S137" s="38"/>
    </row>
    <row r="138" spans="1:19" hidden="1" x14ac:dyDescent="0.25">
      <c r="A138" s="38" t="str">
        <f>F138&amp;C138</f>
        <v>C13140057243</v>
      </c>
      <c r="B138" s="38" t="str">
        <f>IF(J138&gt;=SUMIFS(E:E,C:C,C138),"Good to go","Short in Qty")</f>
        <v>Good to go</v>
      </c>
      <c r="C138" s="40">
        <v>40057243</v>
      </c>
      <c r="D138" s="40" t="s">
        <v>448</v>
      </c>
      <c r="E138" s="75">
        <v>1000</v>
      </c>
      <c r="F138" s="38" t="s">
        <v>17</v>
      </c>
      <c r="G138" s="40" t="s">
        <v>467</v>
      </c>
      <c r="H138" s="38" t="s">
        <v>248</v>
      </c>
      <c r="I138" s="38" t="s">
        <v>457</v>
      </c>
      <c r="J138" s="38">
        <f>IFERROR(VLOOKUP(C:C,'[1]S&amp;S'!$B:$F,5,0),)</f>
        <v>1268.9994999999999</v>
      </c>
      <c r="K138" s="38">
        <f>IFERROR(VLOOKUP(A:A,[1]APO!$A:$F,6,0),)</f>
        <v>0</v>
      </c>
      <c r="L138" s="38">
        <f>IFERROR(VLOOKUP(C:C,'[1]TOTAL APO'!$A:$B,2,0),)</f>
        <v>0</v>
      </c>
      <c r="M138" s="38">
        <f>IFERROR(VLOOKUP(A:A,[1]Short!$A:$Q,17,0),)</f>
        <v>0</v>
      </c>
      <c r="N138" s="38">
        <f>IFERROR(VLOOKUP(C:C,[1]GIT!$B:$D,3,0),)</f>
        <v>0</v>
      </c>
      <c r="O138" s="38">
        <f>IFERROR(VLOOKUP(A:A,[2]Sheet1!$A:$B,2,0),)</f>
        <v>1000</v>
      </c>
      <c r="P138" s="38">
        <f>IFERROR(VLOOKUP(A:A,[2]Sheet1!$A:$B,2,0),)</f>
        <v>1000</v>
      </c>
      <c r="Q138" s="38">
        <f t="shared" si="2"/>
        <v>0</v>
      </c>
      <c r="R138" s="38"/>
      <c r="S138" s="38"/>
    </row>
    <row r="139" spans="1:19" hidden="1" x14ac:dyDescent="0.25">
      <c r="A139" s="38" t="str">
        <f>F139&amp;C139</f>
        <v>C04840063756</v>
      </c>
      <c r="B139" s="38" t="str">
        <f>IF(J139&gt;=SUMIFS(E:E,C:C,C139),"Good to go","Short in Qty")</f>
        <v>Good to go</v>
      </c>
      <c r="C139" s="40">
        <v>40063756</v>
      </c>
      <c r="D139" s="40" t="s">
        <v>464</v>
      </c>
      <c r="E139" s="66">
        <v>31</v>
      </c>
      <c r="F139" s="38" t="s">
        <v>8</v>
      </c>
      <c r="G139" s="40" t="s">
        <v>467</v>
      </c>
      <c r="H139" s="38" t="s">
        <v>9</v>
      </c>
      <c r="I139" s="38" t="s">
        <v>530</v>
      </c>
      <c r="J139" s="38">
        <f>IFERROR(VLOOKUP(C:C,'[1]S&amp;S'!$B:$F,5,0),)</f>
        <v>81</v>
      </c>
      <c r="K139" s="38">
        <f>IFERROR(VLOOKUP(A:A,[1]APO!$A:$F,6,0),)</f>
        <v>0</v>
      </c>
      <c r="L139" s="38">
        <f>IFERROR(VLOOKUP(C:C,'[1]TOTAL APO'!$A:$B,2,0),)</f>
        <v>0</v>
      </c>
      <c r="M139" s="38">
        <f>IFERROR(VLOOKUP(A:A,[1]Short!$A:$Q,17,0),)</f>
        <v>0</v>
      </c>
      <c r="N139" s="38">
        <f>IFERROR(VLOOKUP(C:C,[1]GIT!$B:$D,3,0),)</f>
        <v>0</v>
      </c>
      <c r="O139" s="38">
        <f>IFERROR(VLOOKUP(A:A,[2]Sheet1!$A:$B,2,0),)</f>
        <v>31</v>
      </c>
      <c r="P139" s="38">
        <f>IFERROR(VLOOKUP(A:A,[2]Sheet1!$A:$B,2,0),)</f>
        <v>31</v>
      </c>
      <c r="Q139" s="38">
        <f t="shared" si="2"/>
        <v>0</v>
      </c>
      <c r="R139" s="38"/>
      <c r="S139" s="38"/>
    </row>
    <row r="140" spans="1:19" x14ac:dyDescent="0.25">
      <c r="A140" s="38" t="str">
        <f>F140&amp;C140</f>
        <v>C12140063967</v>
      </c>
      <c r="B140" s="38" t="str">
        <f>IF(J140&gt;=SUMIFS(E:E,C:C,C140),"Good to go","Short in Qty")</f>
        <v>Good to go</v>
      </c>
      <c r="C140" s="40">
        <v>40063967</v>
      </c>
      <c r="D140" s="40" t="s">
        <v>239</v>
      </c>
      <c r="E140" s="71">
        <v>20</v>
      </c>
      <c r="F140" s="38" t="s">
        <v>194</v>
      </c>
      <c r="G140" s="40" t="s">
        <v>195</v>
      </c>
      <c r="H140" s="38" t="s">
        <v>240</v>
      </c>
      <c r="I140" s="38" t="s">
        <v>381</v>
      </c>
      <c r="J140" s="38">
        <f>IFERROR(VLOOKUP(C:C,'[1]S&amp;S'!$B:$F,5,0),)</f>
        <v>570</v>
      </c>
      <c r="K140" s="38">
        <f>IFERROR(VLOOKUP(A:A,[1]APO!$A:$F,6,0),)</f>
        <v>0</v>
      </c>
      <c r="L140" s="38">
        <f>IFERROR(VLOOKUP(C:C,'[1]TOTAL APO'!$A:$B,2,0),)</f>
        <v>0</v>
      </c>
      <c r="M140" s="38">
        <f>IFERROR(VLOOKUP(A:A,[1]Short!$A:$Q,17,0),)</f>
        <v>0</v>
      </c>
      <c r="N140" s="38">
        <f>IFERROR(VLOOKUP(C:C,[1]GIT!$B:$D,3,0),)</f>
        <v>0</v>
      </c>
      <c r="O140" s="38">
        <f>IFERROR(VLOOKUP(A:A,[2]Sheet1!$A:$B,2,0),)</f>
        <v>0</v>
      </c>
      <c r="P140" s="38">
        <f>IFERROR(VLOOKUP(A:A,[2]Sheet1!$A:$B,2,0),)</f>
        <v>0</v>
      </c>
      <c r="Q140" s="38">
        <f t="shared" si="2"/>
        <v>20</v>
      </c>
      <c r="R140" s="38"/>
      <c r="S140" s="38"/>
    </row>
    <row r="141" spans="1:19" hidden="1" x14ac:dyDescent="0.25">
      <c r="A141" s="38" t="str">
        <f>F141&amp;C141</f>
        <v>C11140064088</v>
      </c>
      <c r="B141" s="38" t="str">
        <f>IF(J141&gt;=SUMIFS(E:E,C:C,C141),"Good to go","Short in Qty")</f>
        <v>Good to go</v>
      </c>
      <c r="C141" s="40">
        <v>40064088</v>
      </c>
      <c r="D141" s="40" t="s">
        <v>258</v>
      </c>
      <c r="E141" s="67">
        <v>200</v>
      </c>
      <c r="F141" s="38" t="s">
        <v>16</v>
      </c>
      <c r="G141" s="40" t="s">
        <v>467</v>
      </c>
      <c r="H141" s="38" t="s">
        <v>213</v>
      </c>
      <c r="I141" s="38" t="s">
        <v>482</v>
      </c>
      <c r="J141" s="38">
        <f>IFERROR(VLOOKUP(C:C,'[1]S&amp;S'!$B:$F,5,0),)</f>
        <v>716</v>
      </c>
      <c r="K141" s="38">
        <f>IFERROR(VLOOKUP(A:A,[1]APO!$A:$F,6,0),)</f>
        <v>0</v>
      </c>
      <c r="L141" s="38">
        <f>IFERROR(VLOOKUP(C:C,'[1]TOTAL APO'!$A:$B,2,0),)</f>
        <v>0</v>
      </c>
      <c r="M141" s="38">
        <f>IFERROR(VLOOKUP(A:A,[1]Short!$A:$Q,17,0),)</f>
        <v>0</v>
      </c>
      <c r="N141" s="38">
        <f>IFERROR(VLOOKUP(C:C,[1]GIT!$B:$D,3,0),)</f>
        <v>0</v>
      </c>
      <c r="O141" s="38">
        <f>IFERROR(VLOOKUP(A:A,[2]Sheet1!$A:$B,2,0),)</f>
        <v>200</v>
      </c>
      <c r="P141" s="38">
        <f>IFERROR(VLOOKUP(A:A,[2]Sheet1!$A:$B,2,0),)</f>
        <v>200</v>
      </c>
      <c r="Q141" s="38">
        <f t="shared" si="2"/>
        <v>0</v>
      </c>
      <c r="R141" s="38"/>
      <c r="S141" s="38"/>
    </row>
    <row r="142" spans="1:19" hidden="1" x14ac:dyDescent="0.25">
      <c r="A142" s="38" t="str">
        <f>F142&amp;C142</f>
        <v>C04640064088</v>
      </c>
      <c r="B142" s="38" t="str">
        <f>IF(J142&gt;=SUMIFS(E:E,C:C,C142),"Good to go","Short in Qty")</f>
        <v>Good to go</v>
      </c>
      <c r="C142" s="40">
        <v>40064088</v>
      </c>
      <c r="D142" s="40" t="s">
        <v>258</v>
      </c>
      <c r="E142" s="66">
        <v>14</v>
      </c>
      <c r="F142" s="38" t="s">
        <v>13</v>
      </c>
      <c r="G142" s="40" t="s">
        <v>467</v>
      </c>
      <c r="H142" s="38" t="s">
        <v>151</v>
      </c>
      <c r="I142" s="38" t="s">
        <v>369</v>
      </c>
      <c r="J142" s="38">
        <f>IFERROR(VLOOKUP(C:C,'[1]S&amp;S'!$B:$F,5,0),)</f>
        <v>716</v>
      </c>
      <c r="K142" s="38">
        <f>IFERROR(VLOOKUP(A:A,[1]APO!$A:$F,6,0),)</f>
        <v>0</v>
      </c>
      <c r="L142" s="38">
        <f>IFERROR(VLOOKUP(C:C,'[1]TOTAL APO'!$A:$B,2,0),)</f>
        <v>0</v>
      </c>
      <c r="M142" s="38">
        <f>IFERROR(VLOOKUP(A:A,[1]Short!$A:$Q,17,0),)</f>
        <v>0</v>
      </c>
      <c r="N142" s="38">
        <f>IFERROR(VLOOKUP(C:C,[1]GIT!$B:$D,3,0),)</f>
        <v>0</v>
      </c>
      <c r="O142" s="38">
        <f>IFERROR(VLOOKUP(A:A,[2]Sheet1!$A:$B,2,0),)</f>
        <v>14</v>
      </c>
      <c r="P142" s="38">
        <f>IFERROR(VLOOKUP(A:A,[2]Sheet1!$A:$B,2,0),)</f>
        <v>14</v>
      </c>
      <c r="Q142" s="38">
        <f t="shared" si="2"/>
        <v>0</v>
      </c>
      <c r="R142" s="38"/>
      <c r="S142" s="38"/>
    </row>
    <row r="143" spans="1:19" x14ac:dyDescent="0.25">
      <c r="A143" s="38" t="str">
        <f>F143&amp;C143</f>
        <v>C04240064228</v>
      </c>
      <c r="B143" s="38" t="str">
        <f>IF(J143&gt;=SUMIFS(E:E,C:C,C143),"Good to go","Short in Qty")</f>
        <v>Good to go</v>
      </c>
      <c r="C143" s="40">
        <v>40064228</v>
      </c>
      <c r="D143" s="40" t="s">
        <v>247</v>
      </c>
      <c r="E143" s="66">
        <v>16</v>
      </c>
      <c r="F143" s="38" t="s">
        <v>10</v>
      </c>
      <c r="G143" s="40" t="s">
        <v>195</v>
      </c>
      <c r="H143" s="38" t="s">
        <v>248</v>
      </c>
      <c r="I143" s="38" t="s">
        <v>384</v>
      </c>
      <c r="J143" s="38">
        <f>IFERROR(VLOOKUP(C:C,'[1]S&amp;S'!$B:$F,5,0),)</f>
        <v>16.75</v>
      </c>
      <c r="K143" s="38">
        <f>IFERROR(VLOOKUP(A:A,[1]APO!$A:$F,6,0),)</f>
        <v>0</v>
      </c>
      <c r="L143" s="38">
        <f>IFERROR(VLOOKUP(C:C,'[1]TOTAL APO'!$A:$B,2,0),)</f>
        <v>0</v>
      </c>
      <c r="M143" s="38">
        <f>IFERROR(VLOOKUP(A:A,[1]Short!$A:$Q,17,0),)</f>
        <v>0</v>
      </c>
      <c r="N143" s="38">
        <f>IFERROR(VLOOKUP(C:C,[1]GIT!$B:$D,3,0),)</f>
        <v>0</v>
      </c>
      <c r="O143" s="38">
        <f>IFERROR(VLOOKUP(A:A,[2]Sheet1!$A:$B,2,0),)</f>
        <v>0</v>
      </c>
      <c r="P143" s="38">
        <f>IFERROR(VLOOKUP(A:A,[2]Sheet1!$A:$B,2,0),)</f>
        <v>0</v>
      </c>
      <c r="Q143" s="38">
        <f t="shared" si="2"/>
        <v>16</v>
      </c>
      <c r="R143" s="38"/>
      <c r="S143" s="38"/>
    </row>
    <row r="144" spans="1:19" hidden="1" x14ac:dyDescent="0.25">
      <c r="A144" s="38" t="str">
        <f>F144&amp;C144</f>
        <v>C04640064248</v>
      </c>
      <c r="B144" s="38" t="str">
        <f>IF(J144&gt;=SUMIFS(E:E,C:C,C144),"Good to go","Short in Qty")</f>
        <v>Good to go</v>
      </c>
      <c r="C144" s="40">
        <v>40064248</v>
      </c>
      <c r="D144" s="40" t="s">
        <v>241</v>
      </c>
      <c r="E144" s="66">
        <v>10</v>
      </c>
      <c r="F144" s="38" t="s">
        <v>13</v>
      </c>
      <c r="G144" s="40" t="s">
        <v>467</v>
      </c>
      <c r="H144" s="38" t="s">
        <v>188</v>
      </c>
      <c r="I144" s="38" t="s">
        <v>362</v>
      </c>
      <c r="J144" s="38">
        <f>IFERROR(VLOOKUP(C:C,'[1]S&amp;S'!$B:$F,5,0),)</f>
        <v>75</v>
      </c>
      <c r="K144" s="38">
        <f>IFERROR(VLOOKUP(A:A,[1]APO!$A:$F,6,0),)</f>
        <v>0</v>
      </c>
      <c r="L144" s="38">
        <f>IFERROR(VLOOKUP(C:C,'[1]TOTAL APO'!$A:$B,2,0),)</f>
        <v>0</v>
      </c>
      <c r="M144" s="38">
        <f>IFERROR(VLOOKUP(A:A,[1]Short!$A:$Q,17,0),)</f>
        <v>0</v>
      </c>
      <c r="N144" s="38">
        <f>IFERROR(VLOOKUP(C:C,[1]GIT!$B:$D,3,0),)</f>
        <v>0</v>
      </c>
      <c r="O144" s="38">
        <f>IFERROR(VLOOKUP(A:A,[2]Sheet1!$A:$B,2,0),)</f>
        <v>10</v>
      </c>
      <c r="P144" s="38">
        <f>IFERROR(VLOOKUP(A:A,[2]Sheet1!$A:$B,2,0),)</f>
        <v>10</v>
      </c>
      <c r="Q144" s="38">
        <f t="shared" si="2"/>
        <v>0</v>
      </c>
      <c r="R144" s="38"/>
      <c r="S144" s="38"/>
    </row>
    <row r="145" spans="1:19" hidden="1" x14ac:dyDescent="0.25">
      <c r="A145" s="38" t="str">
        <f>F145&amp;C145</f>
        <v>C04640064330</v>
      </c>
      <c r="B145" s="38" t="str">
        <f>IF(J145&gt;=SUMIFS(E:E,C:C,C145),"Good to go","Short in Qty")</f>
        <v>Good to go</v>
      </c>
      <c r="C145" s="40">
        <v>40064330</v>
      </c>
      <c r="D145" s="40" t="s">
        <v>346</v>
      </c>
      <c r="E145" s="66">
        <v>2</v>
      </c>
      <c r="F145" s="38" t="s">
        <v>13</v>
      </c>
      <c r="G145" s="40" t="s">
        <v>467</v>
      </c>
      <c r="H145" s="38" t="s">
        <v>151</v>
      </c>
      <c r="I145" s="38" t="s">
        <v>369</v>
      </c>
      <c r="J145" s="38">
        <f>IFERROR(VLOOKUP(C:C,'[1]S&amp;S'!$B:$F,5,0),)</f>
        <v>8</v>
      </c>
      <c r="K145" s="38">
        <f>IFERROR(VLOOKUP(A:A,[1]APO!$A:$F,6,0),)</f>
        <v>0</v>
      </c>
      <c r="L145" s="38">
        <f>IFERROR(VLOOKUP(C:C,'[1]TOTAL APO'!$A:$B,2,0),)</f>
        <v>0</v>
      </c>
      <c r="M145" s="38">
        <f>IFERROR(VLOOKUP(A:A,[1]Short!$A:$Q,17,0),)</f>
        <v>0</v>
      </c>
      <c r="N145" s="38">
        <f>IFERROR(VLOOKUP(C:C,[1]GIT!$B:$D,3,0),)</f>
        <v>0</v>
      </c>
      <c r="O145" s="38">
        <f>IFERROR(VLOOKUP(A:A,[2]Sheet1!$A:$B,2,0),)</f>
        <v>2</v>
      </c>
      <c r="P145" s="38">
        <f>IFERROR(VLOOKUP(A:A,[2]Sheet1!$A:$B,2,0),)</f>
        <v>2</v>
      </c>
      <c r="Q145" s="38">
        <f t="shared" si="2"/>
        <v>0</v>
      </c>
      <c r="R145" s="38"/>
      <c r="S145" s="38"/>
    </row>
    <row r="146" spans="1:19" x14ac:dyDescent="0.25">
      <c r="A146" s="38" t="str">
        <f>F146&amp;C146</f>
        <v>KT0240064374</v>
      </c>
      <c r="B146" s="38" t="str">
        <f>IF(J146&gt;=SUMIFS(E:E,C:C,C146),"Good to go","Short in Qty")</f>
        <v>Good to go</v>
      </c>
      <c r="C146" s="40">
        <v>40064374</v>
      </c>
      <c r="D146" s="40" t="s">
        <v>360</v>
      </c>
      <c r="E146" s="66">
        <v>213</v>
      </c>
      <c r="F146" s="38" t="s">
        <v>202</v>
      </c>
      <c r="G146" s="40"/>
      <c r="H146" s="38" t="s">
        <v>203</v>
      </c>
      <c r="I146" s="38" t="s">
        <v>368</v>
      </c>
      <c r="J146" s="38">
        <f>IFERROR(VLOOKUP(C:C,'[1]S&amp;S'!$B:$F,5,0),)</f>
        <v>618</v>
      </c>
      <c r="K146" s="38">
        <f>IFERROR(VLOOKUP(A:A,[1]APO!$A:$F,6,0),)</f>
        <v>0</v>
      </c>
      <c r="L146" s="38">
        <f>IFERROR(VLOOKUP(C:C,'[1]TOTAL APO'!$A:$B,2,0),)</f>
        <v>0</v>
      </c>
      <c r="M146" s="38">
        <f>IFERROR(VLOOKUP(A:A,[1]Short!$A:$Q,17,0),)</f>
        <v>0</v>
      </c>
      <c r="N146" s="38">
        <f>IFERROR(VLOOKUP(C:C,[1]GIT!$B:$D,3,0),)</f>
        <v>0</v>
      </c>
      <c r="O146" s="38">
        <f>IFERROR(VLOOKUP(A:A,[2]Sheet1!$A:$B,2,0),)</f>
        <v>0</v>
      </c>
      <c r="P146" s="38">
        <f>IFERROR(VLOOKUP(A:A,[2]Sheet1!$A:$B,2,0),)</f>
        <v>0</v>
      </c>
      <c r="Q146" s="38">
        <f t="shared" si="2"/>
        <v>213</v>
      </c>
      <c r="R146" s="38"/>
      <c r="S146" s="38"/>
    </row>
    <row r="147" spans="1:19" hidden="1" x14ac:dyDescent="0.25">
      <c r="A147" s="38" t="str">
        <f>F147&amp;C147</f>
        <v>C04240063699</v>
      </c>
      <c r="B147" s="38" t="str">
        <f>IF(J147&gt;=SUMIFS(E:E,C:C,C147),"Good to go","Short in Qty")</f>
        <v>Good to go</v>
      </c>
      <c r="C147" s="40">
        <v>40063699</v>
      </c>
      <c r="D147" s="40" t="s">
        <v>515</v>
      </c>
      <c r="E147" s="66">
        <v>33</v>
      </c>
      <c r="F147" s="38" t="s">
        <v>10</v>
      </c>
      <c r="G147" s="40" t="s">
        <v>467</v>
      </c>
      <c r="H147" s="38" t="s">
        <v>9</v>
      </c>
      <c r="I147" s="38" t="s">
        <v>530</v>
      </c>
      <c r="J147" s="38">
        <f>IFERROR(VLOOKUP(C:C,'[1]S&amp;S'!$B:$F,5,0),)</f>
        <v>10473.125</v>
      </c>
      <c r="K147" s="38">
        <f>IFERROR(VLOOKUP(A:A,[1]APO!$A:$F,6,0),)</f>
        <v>0</v>
      </c>
      <c r="L147" s="38">
        <f>IFERROR(VLOOKUP(C:C,'[1]TOTAL APO'!$A:$B,2,0),)</f>
        <v>0</v>
      </c>
      <c r="M147" s="38">
        <f>IFERROR(VLOOKUP(A:A,[1]Short!$A:$Q,17,0),)</f>
        <v>0</v>
      </c>
      <c r="N147" s="38">
        <f>IFERROR(VLOOKUP(C:C,[1]GIT!$B:$D,3,0),)</f>
        <v>0</v>
      </c>
      <c r="O147" s="38">
        <f>IFERROR(VLOOKUP(A:A,[2]Sheet1!$A:$B,2,0),)</f>
        <v>33</v>
      </c>
      <c r="P147" s="38">
        <f>IFERROR(VLOOKUP(A:A,[2]Sheet1!$A:$B,2,0),)</f>
        <v>33</v>
      </c>
      <c r="Q147" s="38">
        <f t="shared" si="2"/>
        <v>0</v>
      </c>
      <c r="R147" s="38"/>
      <c r="S147" s="38"/>
    </row>
    <row r="148" spans="1:19" hidden="1" x14ac:dyDescent="0.25">
      <c r="A148" s="38" t="str">
        <f>F148&amp;C148</f>
        <v>C04240063021</v>
      </c>
      <c r="B148" s="38" t="str">
        <f>IF(J148&gt;=SUMIFS(E:E,C:C,C148),"Good to go","Short in Qty")</f>
        <v>Good to go</v>
      </c>
      <c r="C148" s="40">
        <v>40063021</v>
      </c>
      <c r="D148" s="40" t="s">
        <v>266</v>
      </c>
      <c r="E148" s="66">
        <v>14</v>
      </c>
      <c r="F148" s="38" t="s">
        <v>10</v>
      </c>
      <c r="G148" s="40" t="s">
        <v>467</v>
      </c>
      <c r="H148" s="38" t="s">
        <v>9</v>
      </c>
      <c r="I148" s="38" t="s">
        <v>530</v>
      </c>
      <c r="J148" s="38">
        <f>IFERROR(VLOOKUP(C:C,'[1]S&amp;S'!$B:$F,5,0),)</f>
        <v>1707</v>
      </c>
      <c r="K148" s="38">
        <f>IFERROR(VLOOKUP(A:A,[1]APO!$A:$F,6,0),)</f>
        <v>0</v>
      </c>
      <c r="L148" s="38">
        <f>IFERROR(VLOOKUP(C:C,'[1]TOTAL APO'!$A:$B,2,0),)</f>
        <v>0</v>
      </c>
      <c r="M148" s="38">
        <f>IFERROR(VLOOKUP(A:A,[1]Short!$A:$Q,17,0),)</f>
        <v>0</v>
      </c>
      <c r="N148" s="38">
        <f>IFERROR(VLOOKUP(C:C,[1]GIT!$B:$D,3,0),)</f>
        <v>1500</v>
      </c>
      <c r="O148" s="38">
        <f>IFERROR(VLOOKUP(A:A,[2]Sheet1!$A:$B,2,0),)</f>
        <v>14</v>
      </c>
      <c r="P148" s="38">
        <f>IFERROR(VLOOKUP(A:A,[2]Sheet1!$A:$B,2,0),)</f>
        <v>14</v>
      </c>
      <c r="Q148" s="38">
        <f t="shared" si="2"/>
        <v>0</v>
      </c>
      <c r="R148" s="38"/>
      <c r="S148" s="38"/>
    </row>
    <row r="149" spans="1:19" x14ac:dyDescent="0.25">
      <c r="A149" s="38" t="str">
        <f>F149&amp;C149</f>
        <v>C04440064427</v>
      </c>
      <c r="B149" s="38" t="str">
        <f>IF(J149&gt;=SUMIFS(E:E,C:C,C149),"Good to go","Short in Qty")</f>
        <v>Good to go</v>
      </c>
      <c r="C149" s="40">
        <v>40064427</v>
      </c>
      <c r="D149" s="40" t="s">
        <v>334</v>
      </c>
      <c r="E149" s="66">
        <v>1</v>
      </c>
      <c r="F149" s="38" t="s">
        <v>191</v>
      </c>
      <c r="G149" s="40"/>
      <c r="H149" s="38" t="s">
        <v>151</v>
      </c>
      <c r="I149" s="38" t="s">
        <v>369</v>
      </c>
      <c r="J149" s="38">
        <f>IFERROR(VLOOKUP(C:C,'[1]S&amp;S'!$B:$F,5,0),)</f>
        <v>52</v>
      </c>
      <c r="K149" s="38">
        <f>IFERROR(VLOOKUP(A:A,[1]APO!$A:$F,6,0),)</f>
        <v>0</v>
      </c>
      <c r="L149" s="38">
        <f>IFERROR(VLOOKUP(C:C,'[1]TOTAL APO'!$A:$B,2,0),)</f>
        <v>0</v>
      </c>
      <c r="M149" s="38">
        <f>IFERROR(VLOOKUP(A:A,[1]Short!$A:$Q,17,0),)</f>
        <v>0</v>
      </c>
      <c r="N149" s="38">
        <f>IFERROR(VLOOKUP(C:C,[1]GIT!$B:$D,3,0),)</f>
        <v>25</v>
      </c>
      <c r="O149" s="38">
        <f>IFERROR(VLOOKUP(A:A,[2]Sheet1!$A:$B,2,0),)</f>
        <v>0</v>
      </c>
      <c r="P149" s="38">
        <f>IFERROR(VLOOKUP(A:A,[2]Sheet1!$A:$B,2,0),)</f>
        <v>0</v>
      </c>
      <c r="Q149" s="38">
        <f t="shared" si="2"/>
        <v>1</v>
      </c>
      <c r="R149" s="38"/>
      <c r="S149" s="38"/>
    </row>
    <row r="150" spans="1:19" x14ac:dyDescent="0.25">
      <c r="A150" s="38" t="str">
        <f>F150&amp;C150</f>
        <v>C13140064427</v>
      </c>
      <c r="B150" s="38" t="str">
        <f>IF(J150&gt;=SUMIFS(E:E,C:C,C150),"Good to go","Short in Qty")</f>
        <v>Good to go</v>
      </c>
      <c r="C150" s="40">
        <v>40064427</v>
      </c>
      <c r="D150" s="40" t="s">
        <v>334</v>
      </c>
      <c r="E150" s="66">
        <v>40</v>
      </c>
      <c r="F150" s="38" t="s">
        <v>17</v>
      </c>
      <c r="G150" s="40" t="s">
        <v>467</v>
      </c>
      <c r="H150" s="38" t="s">
        <v>213</v>
      </c>
      <c r="I150" s="38" t="s">
        <v>426</v>
      </c>
      <c r="J150" s="38">
        <f>IFERROR(VLOOKUP(C:C,'[1]S&amp;S'!$B:$F,5,0),)</f>
        <v>52</v>
      </c>
      <c r="K150" s="38">
        <f>IFERROR(VLOOKUP(A:A,[1]APO!$A:$F,6,0),)</f>
        <v>0</v>
      </c>
      <c r="L150" s="38">
        <f>IFERROR(VLOOKUP(C:C,'[1]TOTAL APO'!$A:$B,2,0),)</f>
        <v>0</v>
      </c>
      <c r="M150" s="38">
        <f>IFERROR(VLOOKUP(A:A,[1]Short!$A:$Q,17,0),)</f>
        <v>0</v>
      </c>
      <c r="N150" s="38">
        <f>IFERROR(VLOOKUP(C:C,[1]GIT!$B:$D,3,0),)</f>
        <v>25</v>
      </c>
      <c r="O150" s="38">
        <f>IFERROR(VLOOKUP(A:A,[2]Sheet1!$A:$B,2,0),)</f>
        <v>27</v>
      </c>
      <c r="P150" s="38">
        <f>IFERROR(VLOOKUP(A:A,[2]Sheet1!$A:$B,2,0),)</f>
        <v>27</v>
      </c>
      <c r="Q150" s="38">
        <f t="shared" si="2"/>
        <v>13</v>
      </c>
      <c r="R150" s="38"/>
      <c r="S150" s="38"/>
    </row>
    <row r="151" spans="1:19" x14ac:dyDescent="0.25">
      <c r="A151" s="38" t="str">
        <f>F151&amp;C151</f>
        <v>C04240063421</v>
      </c>
      <c r="B151" s="38" t="str">
        <f>IF(J151&gt;=SUMIFS(E:E,C:C,C151),"Good to go","Short in Qty")</f>
        <v>Good to go</v>
      </c>
      <c r="C151" s="40">
        <v>40063421</v>
      </c>
      <c r="D151" s="40" t="s">
        <v>351</v>
      </c>
      <c r="E151" s="67">
        <v>100</v>
      </c>
      <c r="F151" s="38" t="s">
        <v>10</v>
      </c>
      <c r="G151" s="40" t="s">
        <v>467</v>
      </c>
      <c r="H151" s="38" t="s">
        <v>9</v>
      </c>
      <c r="I151" s="38" t="s">
        <v>530</v>
      </c>
      <c r="J151" s="38">
        <f>IFERROR(VLOOKUP(C:C,'[1]S&amp;S'!$B:$F,5,0),)</f>
        <v>305</v>
      </c>
      <c r="K151" s="38">
        <f>IFERROR(VLOOKUP(A:A,[1]APO!$A:$F,6,0),)</f>
        <v>0</v>
      </c>
      <c r="L151" s="38">
        <f>IFERROR(VLOOKUP(C:C,'[1]TOTAL APO'!$A:$B,2,0),)</f>
        <v>0</v>
      </c>
      <c r="M151" s="38">
        <f>IFERROR(VLOOKUP(A:A,[1]Short!$A:$Q,17,0),)</f>
        <v>0</v>
      </c>
      <c r="N151" s="38">
        <f>IFERROR(VLOOKUP(C:C,[1]GIT!$B:$D,3,0),)</f>
        <v>300</v>
      </c>
      <c r="O151" s="38">
        <f>IFERROR(VLOOKUP(A:A,[2]Sheet1!$A:$B,2,0),)</f>
        <v>5</v>
      </c>
      <c r="P151" s="38">
        <f>IFERROR(VLOOKUP(A:A,[2]Sheet1!$A:$B,2,0),)</f>
        <v>5</v>
      </c>
      <c r="Q151" s="38">
        <f t="shared" si="2"/>
        <v>95</v>
      </c>
      <c r="R151" s="38"/>
      <c r="S151" s="38"/>
    </row>
    <row r="152" spans="1:19" x14ac:dyDescent="0.25">
      <c r="A152" s="38" t="str">
        <f>F152&amp;C152</f>
        <v>C04440064428</v>
      </c>
      <c r="B152" s="38" t="str">
        <f>IF(J152&gt;=SUMIFS(E:E,C:C,C152),"Good to go","Short in Qty")</f>
        <v>Good to go</v>
      </c>
      <c r="C152" s="40">
        <v>40064428</v>
      </c>
      <c r="D152" s="40" t="s">
        <v>336</v>
      </c>
      <c r="E152" s="66">
        <v>7</v>
      </c>
      <c r="F152" s="38" t="s">
        <v>191</v>
      </c>
      <c r="G152" s="40"/>
      <c r="H152" s="38" t="s">
        <v>151</v>
      </c>
      <c r="I152" s="38" t="s">
        <v>369</v>
      </c>
      <c r="J152" s="38">
        <f>IFERROR(VLOOKUP(C:C,'[1]S&amp;S'!$B:$F,5,0),)</f>
        <v>70</v>
      </c>
      <c r="K152" s="38">
        <f>IFERROR(VLOOKUP(A:A,[1]APO!$A:$F,6,0),)</f>
        <v>0</v>
      </c>
      <c r="L152" s="38">
        <f>IFERROR(VLOOKUP(C:C,'[1]TOTAL APO'!$A:$B,2,0),)</f>
        <v>0</v>
      </c>
      <c r="M152" s="38">
        <f>IFERROR(VLOOKUP(A:A,[1]Short!$A:$Q,17,0),)</f>
        <v>0</v>
      </c>
      <c r="N152" s="38">
        <f>IFERROR(VLOOKUP(C:C,[1]GIT!$B:$D,3,0),)</f>
        <v>70</v>
      </c>
      <c r="O152" s="38">
        <f>IFERROR(VLOOKUP(A:A,[2]Sheet1!$A:$B,2,0),)</f>
        <v>0</v>
      </c>
      <c r="P152" s="38">
        <f>IFERROR(VLOOKUP(A:A,[2]Sheet1!$A:$B,2,0),)</f>
        <v>0</v>
      </c>
      <c r="Q152" s="38">
        <f t="shared" si="2"/>
        <v>7</v>
      </c>
      <c r="R152" s="38"/>
      <c r="S152" s="38"/>
    </row>
    <row r="153" spans="1:19" x14ac:dyDescent="0.25">
      <c r="A153" s="38" t="str">
        <f>F153&amp;C153</f>
        <v>C04640064428</v>
      </c>
      <c r="B153" s="38" t="str">
        <f>IF(J153&gt;=SUMIFS(E:E,C:C,C153),"Good to go","Short in Qty")</f>
        <v>Good to go</v>
      </c>
      <c r="C153" s="40">
        <v>40064428</v>
      </c>
      <c r="D153" s="40" t="s">
        <v>336</v>
      </c>
      <c r="E153" s="66">
        <v>1</v>
      </c>
      <c r="F153" s="38" t="s">
        <v>13</v>
      </c>
      <c r="G153" s="40" t="s">
        <v>467</v>
      </c>
      <c r="H153" s="38" t="s">
        <v>151</v>
      </c>
      <c r="I153" s="38" t="s">
        <v>369</v>
      </c>
      <c r="J153" s="38">
        <f>IFERROR(VLOOKUP(C:C,'[1]S&amp;S'!$B:$F,5,0),)</f>
        <v>70</v>
      </c>
      <c r="K153" s="38">
        <f>IFERROR(VLOOKUP(A:A,[1]APO!$A:$F,6,0),)</f>
        <v>0</v>
      </c>
      <c r="L153" s="38">
        <f>IFERROR(VLOOKUP(C:C,'[1]TOTAL APO'!$A:$B,2,0),)</f>
        <v>0</v>
      </c>
      <c r="M153" s="38">
        <f>IFERROR(VLOOKUP(A:A,[1]Short!$A:$Q,17,0),)</f>
        <v>0</v>
      </c>
      <c r="N153" s="38">
        <f>IFERROR(VLOOKUP(C:C,[1]GIT!$B:$D,3,0),)</f>
        <v>70</v>
      </c>
      <c r="O153" s="38">
        <f>IFERROR(VLOOKUP(A:A,[2]Sheet1!$A:$B,2,0),)</f>
        <v>0</v>
      </c>
      <c r="P153" s="38">
        <f>IFERROR(VLOOKUP(A:A,[2]Sheet1!$A:$B,2,0),)</f>
        <v>0</v>
      </c>
      <c r="Q153" s="38">
        <f t="shared" si="2"/>
        <v>1</v>
      </c>
      <c r="R153" s="38"/>
      <c r="S153" s="38"/>
    </row>
    <row r="154" spans="1:19" x14ac:dyDescent="0.25">
      <c r="A154" s="38" t="str">
        <f>F154&amp;C154</f>
        <v>C04740064428</v>
      </c>
      <c r="B154" s="38" t="str">
        <f>IF(J154&gt;=SUMIFS(E:E,C:C,C154),"Good to go","Short in Qty")</f>
        <v>Good to go</v>
      </c>
      <c r="C154" s="40">
        <v>40064428</v>
      </c>
      <c r="D154" s="40" t="s">
        <v>336</v>
      </c>
      <c r="E154" s="66">
        <v>1</v>
      </c>
      <c r="F154" s="38" t="s">
        <v>192</v>
      </c>
      <c r="G154" s="40"/>
      <c r="H154" s="38" t="s">
        <v>151</v>
      </c>
      <c r="I154" s="38" t="s">
        <v>369</v>
      </c>
      <c r="J154" s="38">
        <f>IFERROR(VLOOKUP(C:C,'[1]S&amp;S'!$B:$F,5,0),)</f>
        <v>70</v>
      </c>
      <c r="K154" s="38">
        <f>IFERROR(VLOOKUP(A:A,[1]APO!$A:$F,6,0),)</f>
        <v>0</v>
      </c>
      <c r="L154" s="38">
        <f>IFERROR(VLOOKUP(C:C,'[1]TOTAL APO'!$A:$B,2,0),)</f>
        <v>0</v>
      </c>
      <c r="M154" s="38">
        <f>IFERROR(VLOOKUP(A:A,[1]Short!$A:$Q,17,0),)</f>
        <v>0</v>
      </c>
      <c r="N154" s="38">
        <f>IFERROR(VLOOKUP(C:C,[1]GIT!$B:$D,3,0),)</f>
        <v>70</v>
      </c>
      <c r="O154" s="38">
        <f>IFERROR(VLOOKUP(A:A,[2]Sheet1!$A:$B,2,0),)</f>
        <v>0</v>
      </c>
      <c r="P154" s="38">
        <f>IFERROR(VLOOKUP(A:A,[2]Sheet1!$A:$B,2,0),)</f>
        <v>0</v>
      </c>
      <c r="Q154" s="38">
        <f t="shared" si="2"/>
        <v>1</v>
      </c>
      <c r="R154" s="38"/>
      <c r="S154" s="38"/>
    </row>
    <row r="155" spans="1:19" hidden="1" x14ac:dyDescent="0.25">
      <c r="A155" s="38" t="str">
        <f>F155&amp;C155</f>
        <v>C04840059774</v>
      </c>
      <c r="B155" s="38" t="str">
        <f>IF(J155&gt;=SUMIFS(E:E,C:C,C155),"Good to go","Short in Qty")</f>
        <v>Good to go</v>
      </c>
      <c r="C155" s="40">
        <v>40059774</v>
      </c>
      <c r="D155" s="40" t="s">
        <v>571</v>
      </c>
      <c r="E155" s="66">
        <v>5</v>
      </c>
      <c r="F155" s="38" t="s">
        <v>8</v>
      </c>
      <c r="G155" s="40" t="s">
        <v>467</v>
      </c>
      <c r="H155" s="38" t="s">
        <v>594</v>
      </c>
      <c r="I155" s="38" t="s">
        <v>595</v>
      </c>
      <c r="J155" s="38">
        <f>IFERROR(VLOOKUP(C:C,'[1]S&amp;S'!$B:$F,5,0),)</f>
        <v>373</v>
      </c>
      <c r="K155" s="38">
        <f>IFERROR(VLOOKUP(A:A,[1]APO!$A:$F,6,0),)</f>
        <v>0</v>
      </c>
      <c r="L155" s="38">
        <f>IFERROR(VLOOKUP(C:C,'[1]TOTAL APO'!$A:$B,2,0),)</f>
        <v>0</v>
      </c>
      <c r="M155" s="38">
        <f>IFERROR(VLOOKUP(A:A,[1]Short!$A:$Q,17,0),)</f>
        <v>0</v>
      </c>
      <c r="N155" s="38">
        <f>IFERROR(VLOOKUP(C:C,[1]GIT!$B:$D,3,0),)</f>
        <v>0</v>
      </c>
      <c r="O155" s="38">
        <f>IFERROR(VLOOKUP(A:A,[2]Sheet1!$A:$B,2,0),)</f>
        <v>5</v>
      </c>
      <c r="P155" s="38">
        <f>IFERROR(VLOOKUP(A:A,[2]Sheet1!$A:$B,2,0),)</f>
        <v>5</v>
      </c>
      <c r="Q155" s="38">
        <f t="shared" si="2"/>
        <v>0</v>
      </c>
      <c r="R155" s="38"/>
      <c r="S155" s="38"/>
    </row>
    <row r="156" spans="1:19" hidden="1" x14ac:dyDescent="0.25">
      <c r="A156" s="38" t="str">
        <f>F156&amp;C156</f>
        <v>C04340064428</v>
      </c>
      <c r="B156" s="38" t="str">
        <f>IF(J156&gt;=SUMIFS(E:E,C:C,C156),"Good to go","Short in Qty")</f>
        <v>Good to go</v>
      </c>
      <c r="C156" s="40">
        <v>40064428</v>
      </c>
      <c r="D156" s="40" t="s">
        <v>336</v>
      </c>
      <c r="E156" s="66">
        <v>13</v>
      </c>
      <c r="F156" s="38" t="s">
        <v>11</v>
      </c>
      <c r="G156" s="40" t="s">
        <v>467</v>
      </c>
      <c r="H156" s="38" t="s">
        <v>151</v>
      </c>
      <c r="I156" s="38" t="s">
        <v>369</v>
      </c>
      <c r="J156" s="38">
        <f>IFERROR(VLOOKUP(C:C,'[1]S&amp;S'!$B:$F,5,0),)</f>
        <v>70</v>
      </c>
      <c r="K156" s="38">
        <f>IFERROR(VLOOKUP(A:A,[1]APO!$A:$F,6,0),)</f>
        <v>0</v>
      </c>
      <c r="L156" s="38">
        <f>IFERROR(VLOOKUP(C:C,'[1]TOTAL APO'!$A:$B,2,0),)</f>
        <v>0</v>
      </c>
      <c r="M156" s="38">
        <f>IFERROR(VLOOKUP(A:A,[1]Short!$A:$Q,17,0),)</f>
        <v>0</v>
      </c>
      <c r="N156" s="38">
        <f>IFERROR(VLOOKUP(C:C,[1]GIT!$B:$D,3,0),)</f>
        <v>70</v>
      </c>
      <c r="O156" s="38">
        <f>IFERROR(VLOOKUP(A:A,[2]Sheet1!$A:$B,2,0),)</f>
        <v>13</v>
      </c>
      <c r="P156" s="38">
        <f>IFERROR(VLOOKUP(A:A,[2]Sheet1!$A:$B,2,0),)</f>
        <v>13</v>
      </c>
      <c r="Q156" s="38">
        <f t="shared" si="2"/>
        <v>0</v>
      </c>
      <c r="R156" s="38"/>
      <c r="S156" s="38"/>
    </row>
    <row r="157" spans="1:19" hidden="1" x14ac:dyDescent="0.25">
      <c r="A157" s="38" t="str">
        <f>F157&amp;C157</f>
        <v>C04240063688</v>
      </c>
      <c r="B157" s="38" t="str">
        <f>IF(J157&gt;=SUMIFS(E:E,C:C,C157),"Good to go","Short in Qty")</f>
        <v>Good to go</v>
      </c>
      <c r="C157" s="40">
        <v>40063688</v>
      </c>
      <c r="D157" s="40" t="s">
        <v>243</v>
      </c>
      <c r="E157" s="66">
        <v>106</v>
      </c>
      <c r="F157" s="38" t="s">
        <v>10</v>
      </c>
      <c r="G157" s="40" t="s">
        <v>467</v>
      </c>
      <c r="H157" s="38" t="s">
        <v>9</v>
      </c>
      <c r="I157" s="38" t="s">
        <v>530</v>
      </c>
      <c r="J157" s="38">
        <f>IFERROR(VLOOKUP(C:C,'[1]S&amp;S'!$B:$F,5,0),)</f>
        <v>8824</v>
      </c>
      <c r="K157" s="38">
        <f>IFERROR(VLOOKUP(A:A,[1]APO!$A:$F,6,0),)</f>
        <v>0</v>
      </c>
      <c r="L157" s="38">
        <f>IFERROR(VLOOKUP(C:C,'[1]TOTAL APO'!$A:$B,2,0),)</f>
        <v>0</v>
      </c>
      <c r="M157" s="38">
        <f>IFERROR(VLOOKUP(A:A,[1]Short!$A:$Q,17,0),)</f>
        <v>0</v>
      </c>
      <c r="N157" s="38">
        <f>IFERROR(VLOOKUP(C:C,[1]GIT!$B:$D,3,0),)</f>
        <v>0</v>
      </c>
      <c r="O157" s="38">
        <f>IFERROR(VLOOKUP(A:A,[2]Sheet1!$A:$B,2,0),)</f>
        <v>106</v>
      </c>
      <c r="P157" s="38">
        <f>IFERROR(VLOOKUP(A:A,[2]Sheet1!$A:$B,2,0),)</f>
        <v>106</v>
      </c>
      <c r="Q157" s="38">
        <f t="shared" si="2"/>
        <v>0</v>
      </c>
      <c r="R157" s="38"/>
      <c r="S157" s="38"/>
    </row>
    <row r="158" spans="1:19" hidden="1" x14ac:dyDescent="0.25">
      <c r="A158" s="38" t="str">
        <f>F158&amp;C158</f>
        <v>C04840064562</v>
      </c>
      <c r="B158" s="38" t="str">
        <f>IF(J158&gt;=SUMIFS(E:E,C:C,C158),"Good to go","Short in Qty")</f>
        <v>Good to go</v>
      </c>
      <c r="C158" s="40">
        <v>40064562</v>
      </c>
      <c r="D158" s="40" t="s">
        <v>274</v>
      </c>
      <c r="E158" s="66">
        <v>200</v>
      </c>
      <c r="F158" s="38" t="s">
        <v>8</v>
      </c>
      <c r="G158" s="40" t="s">
        <v>467</v>
      </c>
      <c r="H158" s="38" t="s">
        <v>9</v>
      </c>
      <c r="I158" s="38" t="s">
        <v>385</v>
      </c>
      <c r="J158" s="38">
        <f>IFERROR(VLOOKUP(C:C,'[1]S&amp;S'!$B:$F,5,0),)</f>
        <v>492</v>
      </c>
      <c r="K158" s="38">
        <f>IFERROR(VLOOKUP(A:A,[1]APO!$A:$F,6,0),)</f>
        <v>0</v>
      </c>
      <c r="L158" s="38">
        <f>IFERROR(VLOOKUP(C:C,'[1]TOTAL APO'!$A:$B,2,0),)</f>
        <v>0</v>
      </c>
      <c r="M158" s="38">
        <f>IFERROR(VLOOKUP(A:A,[1]Short!$A:$Q,17,0),)</f>
        <v>0</v>
      </c>
      <c r="N158" s="38">
        <f>IFERROR(VLOOKUP(C:C,[1]GIT!$B:$D,3,0),)</f>
        <v>0</v>
      </c>
      <c r="O158" s="38">
        <f>IFERROR(VLOOKUP(A:A,[2]Sheet1!$A:$B,2,0),)</f>
        <v>200</v>
      </c>
      <c r="P158" s="38">
        <f>IFERROR(VLOOKUP(A:A,[2]Sheet1!$A:$B,2,0),)</f>
        <v>200</v>
      </c>
      <c r="Q158" s="38">
        <f t="shared" si="2"/>
        <v>0</v>
      </c>
      <c r="R158" s="38"/>
      <c r="S158" s="38"/>
    </row>
    <row r="159" spans="1:19" x14ac:dyDescent="0.25">
      <c r="A159" s="38" t="str">
        <f>F159&amp;C159</f>
        <v>KT0240050107</v>
      </c>
      <c r="B159" s="38" t="str">
        <f>IF(J159&gt;=SUMIFS(E:E,C:C,C159),"Good to go","Short in Qty")</f>
        <v>Short in Qty</v>
      </c>
      <c r="C159" s="40">
        <v>40050107</v>
      </c>
      <c r="D159" s="40" t="s">
        <v>254</v>
      </c>
      <c r="E159" s="66">
        <v>1500</v>
      </c>
      <c r="F159" s="38" t="s">
        <v>202</v>
      </c>
      <c r="G159" s="40" t="s">
        <v>255</v>
      </c>
      <c r="H159" s="38" t="s">
        <v>203</v>
      </c>
      <c r="I159" s="38" t="s">
        <v>368</v>
      </c>
      <c r="J159" s="38">
        <f>IFERROR(VLOOKUP(C:C,'[1]S&amp;S'!$B:$F,5,0),)</f>
        <v>0</v>
      </c>
      <c r="K159" s="38">
        <f>IFERROR(VLOOKUP(A:A,[1]APO!$A:$F,6,0),)</f>
        <v>0</v>
      </c>
      <c r="L159" s="38">
        <f>IFERROR(VLOOKUP(C:C,'[1]TOTAL APO'!$A:$B,2,0),)</f>
        <v>0</v>
      </c>
      <c r="M159" s="38">
        <f>IFERROR(VLOOKUP(A:A,[1]Short!$A:$Q,17,0),)</f>
        <v>0</v>
      </c>
      <c r="N159" s="38">
        <f>IFERROR(VLOOKUP(C:C,[1]GIT!$B:$D,3,0),)</f>
        <v>0</v>
      </c>
      <c r="O159" s="38">
        <f>IFERROR(VLOOKUP(A:A,[2]Sheet1!$A:$B,2,0),)</f>
        <v>0</v>
      </c>
      <c r="P159" s="38">
        <f>IFERROR(VLOOKUP(A:A,[2]Sheet1!$A:$B,2,0),)</f>
        <v>0</v>
      </c>
      <c r="Q159" s="38">
        <f t="shared" si="2"/>
        <v>1500</v>
      </c>
      <c r="R159" s="38"/>
      <c r="S159" s="38"/>
    </row>
    <row r="160" spans="1:19" hidden="1" x14ac:dyDescent="0.25">
      <c r="A160" s="38" t="str">
        <f>F160&amp;C160</f>
        <v>C04840049658</v>
      </c>
      <c r="B160" s="38" t="str">
        <f>IF(J160&gt;=SUMIFS(E:E,C:C,C160),"Good to go","Short in Qty")</f>
        <v>Good to go</v>
      </c>
      <c r="C160" s="40">
        <v>40049658</v>
      </c>
      <c r="D160" s="40" t="s">
        <v>536</v>
      </c>
      <c r="E160" s="66">
        <v>5</v>
      </c>
      <c r="F160" s="38" t="s">
        <v>8</v>
      </c>
      <c r="G160" s="40" t="s">
        <v>467</v>
      </c>
      <c r="H160" s="38" t="s">
        <v>594</v>
      </c>
      <c r="I160" s="38" t="s">
        <v>595</v>
      </c>
      <c r="J160" s="38">
        <f>IFERROR(VLOOKUP(C:C,'[1]S&amp;S'!$B:$F,5,0),)</f>
        <v>1044</v>
      </c>
      <c r="K160" s="38">
        <f>IFERROR(VLOOKUP(A:A,[1]APO!$A:$F,6,0),)</f>
        <v>0</v>
      </c>
      <c r="L160" s="38">
        <f>IFERROR(VLOOKUP(C:C,'[1]TOTAL APO'!$A:$B,2,0),)</f>
        <v>0</v>
      </c>
      <c r="M160" s="38">
        <f>IFERROR(VLOOKUP(A:A,[1]Short!$A:$Q,17,0),)</f>
        <v>0</v>
      </c>
      <c r="N160" s="38">
        <f>IFERROR(VLOOKUP(C:C,[1]GIT!$B:$D,3,0),)</f>
        <v>0</v>
      </c>
      <c r="O160" s="38">
        <f>IFERROR(VLOOKUP(A:A,[2]Sheet1!$A:$B,2,0),)</f>
        <v>5</v>
      </c>
      <c r="P160" s="38">
        <f>IFERROR(VLOOKUP(A:A,[2]Sheet1!$A:$B,2,0),)</f>
        <v>5</v>
      </c>
      <c r="Q160" s="38">
        <f t="shared" si="2"/>
        <v>0</v>
      </c>
      <c r="R160" s="38"/>
      <c r="S160" s="38"/>
    </row>
    <row r="161" spans="1:19" hidden="1" x14ac:dyDescent="0.25">
      <c r="A161" s="38" t="str">
        <f>F161&amp;C161</f>
        <v>C04240050107</v>
      </c>
      <c r="B161" s="38" t="str">
        <f>IF(J161&gt;=SUMIFS(E:E,C:C,C161),"Good to go","Short in Qty")</f>
        <v>Short in Qty</v>
      </c>
      <c r="C161" s="40">
        <v>40050107</v>
      </c>
      <c r="D161" s="40" t="s">
        <v>254</v>
      </c>
      <c r="E161" s="66">
        <v>250</v>
      </c>
      <c r="F161" s="38" t="s">
        <v>10</v>
      </c>
      <c r="G161" s="40" t="s">
        <v>596</v>
      </c>
      <c r="H161" s="38" t="s">
        <v>594</v>
      </c>
      <c r="I161" s="38" t="s">
        <v>595</v>
      </c>
      <c r="J161" s="38">
        <f>IFERROR(VLOOKUP(C:C,'[1]S&amp;S'!$B:$F,5,0),)</f>
        <v>0</v>
      </c>
      <c r="K161" s="38">
        <f>IFERROR(VLOOKUP(A:A,[1]APO!$A:$F,6,0),)</f>
        <v>0</v>
      </c>
      <c r="L161" s="38">
        <f>IFERROR(VLOOKUP(C:C,'[1]TOTAL APO'!$A:$B,2,0),)</f>
        <v>0</v>
      </c>
      <c r="M161" s="38">
        <f>IFERROR(VLOOKUP(A:A,[1]Short!$A:$Q,17,0),)</f>
        <v>0</v>
      </c>
      <c r="N161" s="38">
        <f>IFERROR(VLOOKUP(C:C,[1]GIT!$B:$D,3,0),)</f>
        <v>0</v>
      </c>
      <c r="O161" s="38">
        <f>IFERROR(VLOOKUP(A:A,[2]Sheet1!$A:$B,2,0),)</f>
        <v>0</v>
      </c>
      <c r="P161" s="38">
        <f>IFERROR(VLOOKUP(A:A,[2]Sheet1!$A:$B,2,0),)</f>
        <v>0</v>
      </c>
      <c r="Q161" s="38">
        <f t="shared" si="2"/>
        <v>250</v>
      </c>
      <c r="R161" s="38"/>
      <c r="S161" s="38"/>
    </row>
    <row r="162" spans="1:19" hidden="1" x14ac:dyDescent="0.25">
      <c r="A162" s="38" t="str">
        <f>F162&amp;C162</f>
        <v>C04840065039</v>
      </c>
      <c r="B162" s="38" t="str">
        <f>IF(J162&gt;=SUMIFS(E:E,C:C,C162),"Good to go","Short in Qty")</f>
        <v>Good to go</v>
      </c>
      <c r="C162" s="40">
        <v>40065039</v>
      </c>
      <c r="D162" s="40" t="s">
        <v>478</v>
      </c>
      <c r="E162" s="66">
        <v>4</v>
      </c>
      <c r="F162" s="38" t="s">
        <v>8</v>
      </c>
      <c r="G162" s="40" t="s">
        <v>467</v>
      </c>
      <c r="H162" s="38" t="s">
        <v>9</v>
      </c>
      <c r="I162" s="38" t="s">
        <v>530</v>
      </c>
      <c r="J162" s="38">
        <f>IFERROR(VLOOKUP(C:C,'[1]S&amp;S'!$B:$F,5,0),)</f>
        <v>674</v>
      </c>
      <c r="K162" s="38">
        <f>IFERROR(VLOOKUP(A:A,[1]APO!$A:$F,6,0),)</f>
        <v>0</v>
      </c>
      <c r="L162" s="38">
        <f>IFERROR(VLOOKUP(C:C,'[1]TOTAL APO'!$A:$B,2,0),)</f>
        <v>0</v>
      </c>
      <c r="M162" s="38">
        <f>IFERROR(VLOOKUP(A:A,[1]Short!$A:$Q,17,0),)</f>
        <v>0</v>
      </c>
      <c r="N162" s="38">
        <f>IFERROR(VLOOKUP(C:C,[1]GIT!$B:$D,3,0),)</f>
        <v>674</v>
      </c>
      <c r="O162" s="38">
        <f>IFERROR(VLOOKUP(A:A,[2]Sheet1!$A:$B,2,0),)</f>
        <v>4</v>
      </c>
      <c r="P162" s="38">
        <f>IFERROR(VLOOKUP(A:A,[2]Sheet1!$A:$B,2,0),)</f>
        <v>4</v>
      </c>
      <c r="Q162" s="38">
        <f t="shared" si="2"/>
        <v>0</v>
      </c>
      <c r="R162" s="38"/>
      <c r="S162" s="38"/>
    </row>
    <row r="163" spans="1:19" hidden="1" x14ac:dyDescent="0.25">
      <c r="A163" s="38" t="str">
        <f>F163&amp;C163</f>
        <v>C04840063020</v>
      </c>
      <c r="B163" s="38" t="str">
        <f>IF(J163&gt;=SUMIFS(E:E,C:C,C163),"Good to go","Short in Qty")</f>
        <v>Good to go</v>
      </c>
      <c r="C163" s="40">
        <v>40063020</v>
      </c>
      <c r="D163" s="40" t="s">
        <v>264</v>
      </c>
      <c r="E163" s="67">
        <v>100</v>
      </c>
      <c r="F163" s="38" t="s">
        <v>8</v>
      </c>
      <c r="G163" s="40" t="s">
        <v>467</v>
      </c>
      <c r="H163" s="38" t="s">
        <v>9</v>
      </c>
      <c r="I163" s="38" t="s">
        <v>530</v>
      </c>
      <c r="J163" s="38">
        <f>IFERROR(VLOOKUP(C:C,'[1]S&amp;S'!$B:$F,5,0),)</f>
        <v>1429</v>
      </c>
      <c r="K163" s="38">
        <f>IFERROR(VLOOKUP(A:A,[1]APO!$A:$F,6,0),)</f>
        <v>0</v>
      </c>
      <c r="L163" s="38">
        <f>IFERROR(VLOOKUP(C:C,'[1]TOTAL APO'!$A:$B,2,0),)</f>
        <v>0</v>
      </c>
      <c r="M163" s="38">
        <f>IFERROR(VLOOKUP(A:A,[1]Short!$A:$Q,17,0),)</f>
        <v>0</v>
      </c>
      <c r="N163" s="38">
        <f>IFERROR(VLOOKUP(C:C,[1]GIT!$B:$D,3,0),)</f>
        <v>700</v>
      </c>
      <c r="O163" s="38">
        <f>IFERROR(VLOOKUP(A:A,[2]Sheet1!$A:$B,2,0),)</f>
        <v>100</v>
      </c>
      <c r="P163" s="38">
        <f>IFERROR(VLOOKUP(A:A,[2]Sheet1!$A:$B,2,0),)</f>
        <v>100</v>
      </c>
      <c r="Q163" s="38">
        <f t="shared" si="2"/>
        <v>0</v>
      </c>
      <c r="R163" s="38"/>
      <c r="S163" s="38"/>
    </row>
    <row r="164" spans="1:19" hidden="1" x14ac:dyDescent="0.25">
      <c r="A164" s="38" t="str">
        <f>F164&amp;C164</f>
        <v>C04340063021</v>
      </c>
      <c r="B164" s="38" t="str">
        <f>IF(J164&gt;=SUMIFS(E:E,C:C,C164),"Good to go","Short in Qty")</f>
        <v>Good to go</v>
      </c>
      <c r="C164" s="40">
        <v>40063021</v>
      </c>
      <c r="D164" s="40" t="s">
        <v>266</v>
      </c>
      <c r="E164" s="67">
        <v>150</v>
      </c>
      <c r="F164" s="38" t="s">
        <v>11</v>
      </c>
      <c r="G164" s="40" t="s">
        <v>467</v>
      </c>
      <c r="H164" s="38" t="s">
        <v>9</v>
      </c>
      <c r="I164" s="38" t="s">
        <v>530</v>
      </c>
      <c r="J164" s="38">
        <f>IFERROR(VLOOKUP(C:C,'[1]S&amp;S'!$B:$F,5,0),)</f>
        <v>1707</v>
      </c>
      <c r="K164" s="38">
        <f>IFERROR(VLOOKUP(A:A,[1]APO!$A:$F,6,0),)</f>
        <v>0</v>
      </c>
      <c r="L164" s="38">
        <f>IFERROR(VLOOKUP(C:C,'[1]TOTAL APO'!$A:$B,2,0),)</f>
        <v>0</v>
      </c>
      <c r="M164" s="38">
        <f>IFERROR(VLOOKUP(A:A,[1]Short!$A:$Q,17,0),)</f>
        <v>0</v>
      </c>
      <c r="N164" s="38">
        <f>IFERROR(VLOOKUP(C:C,[1]GIT!$B:$D,3,0),)</f>
        <v>1500</v>
      </c>
      <c r="O164" s="38">
        <f>IFERROR(VLOOKUP(A:A,[2]Sheet1!$A:$B,2,0),)</f>
        <v>150</v>
      </c>
      <c r="P164" s="38">
        <f>IFERROR(VLOOKUP(A:A,[2]Sheet1!$A:$B,2,0),)</f>
        <v>150</v>
      </c>
      <c r="Q164" s="38">
        <f t="shared" si="2"/>
        <v>0</v>
      </c>
      <c r="R164" s="38"/>
      <c r="S164" s="38"/>
    </row>
    <row r="165" spans="1:19" hidden="1" x14ac:dyDescent="0.25">
      <c r="A165" s="38" t="str">
        <f>F165&amp;C165</f>
        <v>C04340063025</v>
      </c>
      <c r="B165" s="38" t="str">
        <f>IF(J165&gt;=SUMIFS(E:E,C:C,C165),"Good to go","Short in Qty")</f>
        <v>Good to go</v>
      </c>
      <c r="C165" s="40">
        <v>40063025</v>
      </c>
      <c r="D165" s="40" t="s">
        <v>263</v>
      </c>
      <c r="E165" s="67">
        <v>200</v>
      </c>
      <c r="F165" s="38" t="s">
        <v>11</v>
      </c>
      <c r="G165" s="40" t="s">
        <v>467</v>
      </c>
      <c r="H165" s="38" t="s">
        <v>9</v>
      </c>
      <c r="I165" s="38" t="s">
        <v>530</v>
      </c>
      <c r="J165" s="38">
        <f>IFERROR(VLOOKUP(C:C,'[1]S&amp;S'!$B:$F,5,0),)</f>
        <v>1656</v>
      </c>
      <c r="K165" s="38">
        <f>IFERROR(VLOOKUP(A:A,[1]APO!$A:$F,6,0),)</f>
        <v>0</v>
      </c>
      <c r="L165" s="38">
        <f>IFERROR(VLOOKUP(C:C,'[1]TOTAL APO'!$A:$B,2,0),)</f>
        <v>0</v>
      </c>
      <c r="M165" s="38">
        <f>IFERROR(VLOOKUP(A:A,[1]Short!$A:$Q,17,0),)</f>
        <v>0</v>
      </c>
      <c r="N165" s="38">
        <f>IFERROR(VLOOKUP(C:C,[1]GIT!$B:$D,3,0),)</f>
        <v>1100</v>
      </c>
      <c r="O165" s="38">
        <f>IFERROR(VLOOKUP(A:A,[2]Sheet1!$A:$B,2,0),)</f>
        <v>200</v>
      </c>
      <c r="P165" s="38">
        <f>IFERROR(VLOOKUP(A:A,[2]Sheet1!$A:$B,2,0),)</f>
        <v>200</v>
      </c>
      <c r="Q165" s="38">
        <f t="shared" si="2"/>
        <v>0</v>
      </c>
      <c r="R165" s="38"/>
      <c r="S165" s="38"/>
    </row>
    <row r="166" spans="1:19" hidden="1" x14ac:dyDescent="0.25">
      <c r="A166" s="38" t="str">
        <f>F166&amp;C166</f>
        <v>C04840060449</v>
      </c>
      <c r="B166" s="38" t="str">
        <f>IF(J166&gt;=SUMIFS(E:E,C:C,C166),"Good to go","Short in Qty")</f>
        <v>Good to go</v>
      </c>
      <c r="C166" s="40">
        <v>40060449</v>
      </c>
      <c r="D166" s="40" t="s">
        <v>537</v>
      </c>
      <c r="E166" s="66">
        <v>5</v>
      </c>
      <c r="F166" s="38" t="s">
        <v>8</v>
      </c>
      <c r="G166" s="40" t="s">
        <v>467</v>
      </c>
      <c r="H166" s="38" t="s">
        <v>594</v>
      </c>
      <c r="I166" s="38" t="s">
        <v>595</v>
      </c>
      <c r="J166" s="38">
        <f>IFERROR(VLOOKUP(C:C,'[1]S&amp;S'!$B:$F,5,0),)</f>
        <v>728</v>
      </c>
      <c r="K166" s="38">
        <f>IFERROR(VLOOKUP(A:A,[1]APO!$A:$F,6,0),)</f>
        <v>0</v>
      </c>
      <c r="L166" s="38">
        <f>IFERROR(VLOOKUP(C:C,'[1]TOTAL APO'!$A:$B,2,0),)</f>
        <v>0</v>
      </c>
      <c r="M166" s="38">
        <f>IFERROR(VLOOKUP(A:A,[1]Short!$A:$Q,17,0),)</f>
        <v>0</v>
      </c>
      <c r="N166" s="38">
        <f>IFERROR(VLOOKUP(C:C,[1]GIT!$B:$D,3,0),)</f>
        <v>0</v>
      </c>
      <c r="O166" s="38">
        <f>IFERROR(VLOOKUP(A:A,[2]Sheet1!$A:$B,2,0),)</f>
        <v>5</v>
      </c>
      <c r="P166" s="38">
        <f>IFERROR(VLOOKUP(A:A,[2]Sheet1!$A:$B,2,0),)</f>
        <v>5</v>
      </c>
      <c r="Q166" s="38">
        <f t="shared" si="2"/>
        <v>0</v>
      </c>
      <c r="R166" s="38"/>
      <c r="S166" s="38"/>
    </row>
    <row r="167" spans="1:19" hidden="1" x14ac:dyDescent="0.25">
      <c r="A167" s="38" t="str">
        <f>F167&amp;C167</f>
        <v>C04340064893</v>
      </c>
      <c r="B167" s="38" t="str">
        <f>IF(J167&gt;=SUMIFS(E:E,C:C,C167),"Good to go","Short in Qty")</f>
        <v>Good to go</v>
      </c>
      <c r="C167" s="40">
        <v>40064893</v>
      </c>
      <c r="D167" s="40" t="s">
        <v>350</v>
      </c>
      <c r="E167" s="66">
        <v>5</v>
      </c>
      <c r="F167" s="38" t="s">
        <v>11</v>
      </c>
      <c r="G167" s="40" t="s">
        <v>467</v>
      </c>
      <c r="H167" s="38" t="s">
        <v>9</v>
      </c>
      <c r="I167" s="38" t="s">
        <v>371</v>
      </c>
      <c r="J167" s="38">
        <f>IFERROR(VLOOKUP(C:C,'[1]S&amp;S'!$B:$F,5,0),)</f>
        <v>5</v>
      </c>
      <c r="K167" s="38">
        <f>IFERROR(VLOOKUP(A:A,[1]APO!$A:$F,6,0),)</f>
        <v>0</v>
      </c>
      <c r="L167" s="38">
        <f>IFERROR(VLOOKUP(C:C,'[1]TOTAL APO'!$A:$B,2,0),)</f>
        <v>0</v>
      </c>
      <c r="M167" s="38">
        <f>IFERROR(VLOOKUP(A:A,[1]Short!$A:$Q,17,0),)</f>
        <v>0</v>
      </c>
      <c r="N167" s="38">
        <f>IFERROR(VLOOKUP(C:C,[1]GIT!$B:$D,3,0),)</f>
        <v>0</v>
      </c>
      <c r="O167" s="38">
        <f>IFERROR(VLOOKUP(A:A,[2]Sheet1!$A:$B,2,0),)</f>
        <v>5</v>
      </c>
      <c r="P167" s="38">
        <f>IFERROR(VLOOKUP(A:A,[2]Sheet1!$A:$B,2,0),)</f>
        <v>5</v>
      </c>
      <c r="Q167" s="38">
        <f t="shared" si="2"/>
        <v>0</v>
      </c>
      <c r="R167" s="38"/>
      <c r="S167" s="38"/>
    </row>
    <row r="168" spans="1:19" x14ac:dyDescent="0.25">
      <c r="A168" s="38" t="str">
        <f>F168&amp;C168</f>
        <v>C04640044138</v>
      </c>
      <c r="B168" s="38" t="str">
        <f>IF(J168&gt;=SUMIFS(E:E,C:C,C168),"Good to go","Short in Qty")</f>
        <v>Good to go</v>
      </c>
      <c r="C168" s="40">
        <v>40044138</v>
      </c>
      <c r="D168" s="40" t="s">
        <v>253</v>
      </c>
      <c r="E168" s="66">
        <v>7</v>
      </c>
      <c r="F168" s="38" t="s">
        <v>13</v>
      </c>
      <c r="G168" s="40">
        <v>3</v>
      </c>
      <c r="H168" s="38" t="s">
        <v>9</v>
      </c>
      <c r="I168" s="38" t="s">
        <v>530</v>
      </c>
      <c r="J168" s="38">
        <f>IFERROR(VLOOKUP(C:C,'[1]S&amp;S'!$B:$F,5,0),)</f>
        <v>65</v>
      </c>
      <c r="K168" s="38">
        <f>IFERROR(VLOOKUP(A:A,[1]APO!$A:$F,6,0),)</f>
        <v>0</v>
      </c>
      <c r="L168" s="38">
        <f>IFERROR(VLOOKUP(C:C,'[1]TOTAL APO'!$A:$B,2,0),)</f>
        <v>0</v>
      </c>
      <c r="M168" s="38">
        <f>IFERROR(VLOOKUP(A:A,[1]Short!$A:$Q,17,0),)</f>
        <v>0</v>
      </c>
      <c r="N168" s="38">
        <f>IFERROR(VLOOKUP(C:C,[1]GIT!$B:$D,3,0),)</f>
        <v>0</v>
      </c>
      <c r="O168" s="38">
        <f>IFERROR(VLOOKUP(A:A,[2]Sheet1!$A:$B,2,0),)</f>
        <v>0</v>
      </c>
      <c r="P168" s="38">
        <f>IFERROR(VLOOKUP(A:A,[2]Sheet1!$A:$B,2,0),)</f>
        <v>0</v>
      </c>
      <c r="Q168" s="38">
        <f t="shared" si="2"/>
        <v>7</v>
      </c>
      <c r="R168" s="38"/>
      <c r="S168" s="38"/>
    </row>
    <row r="169" spans="1:19" hidden="1" x14ac:dyDescent="0.25">
      <c r="A169" s="38" t="str">
        <f>F169&amp;C169</f>
        <v>C04840060450</v>
      </c>
      <c r="B169" s="38" t="str">
        <f>IF(J169&gt;=SUMIFS(E:E,C:C,C169),"Good to go","Short in Qty")</f>
        <v>Good to go</v>
      </c>
      <c r="C169" s="40">
        <v>40060450</v>
      </c>
      <c r="D169" s="40" t="s">
        <v>572</v>
      </c>
      <c r="E169" s="66">
        <v>5</v>
      </c>
      <c r="F169" s="38" t="s">
        <v>8</v>
      </c>
      <c r="G169" s="40" t="s">
        <v>467</v>
      </c>
      <c r="H169" s="38" t="s">
        <v>594</v>
      </c>
      <c r="I169" s="38" t="s">
        <v>595</v>
      </c>
      <c r="J169" s="38">
        <f>IFERROR(VLOOKUP(C:C,'[1]S&amp;S'!$B:$F,5,0),)</f>
        <v>555</v>
      </c>
      <c r="K169" s="38">
        <f>IFERROR(VLOOKUP(A:A,[1]APO!$A:$F,6,0),)</f>
        <v>0</v>
      </c>
      <c r="L169" s="38">
        <f>IFERROR(VLOOKUP(C:C,'[1]TOTAL APO'!$A:$B,2,0),)</f>
        <v>0</v>
      </c>
      <c r="M169" s="38">
        <f>IFERROR(VLOOKUP(A:A,[1]Short!$A:$Q,17,0),)</f>
        <v>0</v>
      </c>
      <c r="N169" s="38">
        <f>IFERROR(VLOOKUP(C:C,[1]GIT!$B:$D,3,0),)</f>
        <v>0</v>
      </c>
      <c r="O169" s="38">
        <f>IFERROR(VLOOKUP(A:A,[2]Sheet1!$A:$B,2,0),)</f>
        <v>5</v>
      </c>
      <c r="P169" s="38">
        <f>IFERROR(VLOOKUP(A:A,[2]Sheet1!$A:$B,2,0),)</f>
        <v>5</v>
      </c>
      <c r="Q169" s="38">
        <f t="shared" si="2"/>
        <v>0</v>
      </c>
      <c r="R169" s="38"/>
      <c r="S169" s="38"/>
    </row>
    <row r="170" spans="1:19" hidden="1" x14ac:dyDescent="0.25">
      <c r="A170" s="38" t="str">
        <f>F170&amp;C170</f>
        <v>C13140064990</v>
      </c>
      <c r="B170" s="38" t="str">
        <f>IF(J170&gt;=SUMIFS(E:E,C:C,C170),"Good to go","Short in Qty")</f>
        <v>Good to go</v>
      </c>
      <c r="C170" s="40">
        <v>40064990</v>
      </c>
      <c r="D170" s="40" t="s">
        <v>256</v>
      </c>
      <c r="E170" s="69">
        <v>100</v>
      </c>
      <c r="F170" s="38" t="s">
        <v>17</v>
      </c>
      <c r="G170" s="40" t="s">
        <v>467</v>
      </c>
      <c r="H170" s="38" t="s">
        <v>248</v>
      </c>
      <c r="I170" s="38" t="s">
        <v>457</v>
      </c>
      <c r="J170" s="38">
        <f>IFERROR(VLOOKUP(C:C,'[1]S&amp;S'!$B:$F,5,0),)</f>
        <v>201</v>
      </c>
      <c r="K170" s="38">
        <f>IFERROR(VLOOKUP(A:A,[1]APO!$A:$F,6,0),)</f>
        <v>0</v>
      </c>
      <c r="L170" s="38">
        <f>IFERROR(VLOOKUP(C:C,'[1]TOTAL APO'!$A:$B,2,0),)</f>
        <v>0</v>
      </c>
      <c r="M170" s="38">
        <f>IFERROR(VLOOKUP(A:A,[1]Short!$A:$Q,17,0),)</f>
        <v>0</v>
      </c>
      <c r="N170" s="38">
        <f>IFERROR(VLOOKUP(C:C,[1]GIT!$B:$D,3,0),)</f>
        <v>0</v>
      </c>
      <c r="O170" s="38">
        <f>IFERROR(VLOOKUP(A:A,[2]Sheet1!$A:$B,2,0),)</f>
        <v>100</v>
      </c>
      <c r="P170" s="38">
        <f>IFERROR(VLOOKUP(A:A,[2]Sheet1!$A:$B,2,0),)</f>
        <v>100</v>
      </c>
      <c r="Q170" s="38">
        <f t="shared" si="2"/>
        <v>0</v>
      </c>
      <c r="R170" s="38"/>
      <c r="S170" s="38"/>
    </row>
    <row r="171" spans="1:19" hidden="1" x14ac:dyDescent="0.25">
      <c r="A171" s="38" t="str">
        <f>F171&amp;C171</f>
        <v>C04440064999</v>
      </c>
      <c r="B171" s="38" t="str">
        <f>IF(J171&gt;=SUMIFS(E:E,C:C,C171),"Good to go","Short in Qty")</f>
        <v>Good to go</v>
      </c>
      <c r="C171" s="40">
        <v>40064999</v>
      </c>
      <c r="D171" s="40" t="s">
        <v>436</v>
      </c>
      <c r="E171" s="69">
        <v>5</v>
      </c>
      <c r="F171" s="38" t="s">
        <v>191</v>
      </c>
      <c r="G171" s="40" t="s">
        <v>467</v>
      </c>
      <c r="H171" s="38" t="s">
        <v>248</v>
      </c>
      <c r="I171" s="38" t="s">
        <v>457</v>
      </c>
      <c r="J171" s="38">
        <f>IFERROR(VLOOKUP(C:C,'[1]S&amp;S'!$B:$F,5,0),)</f>
        <v>144</v>
      </c>
      <c r="K171" s="38">
        <f>IFERROR(VLOOKUP(A:A,[1]APO!$A:$F,6,0),)</f>
        <v>0</v>
      </c>
      <c r="L171" s="38">
        <f>IFERROR(VLOOKUP(C:C,'[1]TOTAL APO'!$A:$B,2,0),)</f>
        <v>0</v>
      </c>
      <c r="M171" s="38">
        <f>IFERROR(VLOOKUP(A:A,[1]Short!$A:$Q,17,0),)</f>
        <v>0</v>
      </c>
      <c r="N171" s="38">
        <f>IFERROR(VLOOKUP(C:C,[1]GIT!$B:$D,3,0),)</f>
        <v>144</v>
      </c>
      <c r="O171" s="38">
        <f>IFERROR(VLOOKUP(A:A,[2]Sheet1!$A:$B,2,0),)</f>
        <v>5</v>
      </c>
      <c r="P171" s="38">
        <f>IFERROR(VLOOKUP(A:A,[2]Sheet1!$A:$B,2,0),)</f>
        <v>5</v>
      </c>
      <c r="Q171" s="38">
        <f t="shared" si="2"/>
        <v>0</v>
      </c>
      <c r="R171" s="38"/>
      <c r="S171" s="38"/>
    </row>
    <row r="172" spans="1:19" hidden="1" x14ac:dyDescent="0.25">
      <c r="A172" s="38" t="str">
        <f>F172&amp;C172</f>
        <v>C04340063198</v>
      </c>
      <c r="B172" s="38" t="str">
        <f>IF(J172&gt;=SUMIFS(E:E,C:C,C172),"Good to go","Short in Qty")</f>
        <v>Good to go</v>
      </c>
      <c r="C172" s="40">
        <v>40063198</v>
      </c>
      <c r="D172" s="40" t="s">
        <v>338</v>
      </c>
      <c r="E172" s="66">
        <v>28</v>
      </c>
      <c r="F172" s="38" t="s">
        <v>11</v>
      </c>
      <c r="G172" s="40" t="s">
        <v>467</v>
      </c>
      <c r="H172" s="38" t="s">
        <v>9</v>
      </c>
      <c r="I172" s="38" t="s">
        <v>530</v>
      </c>
      <c r="J172" s="38">
        <f>IFERROR(VLOOKUP(C:C,'[1]S&amp;S'!$B:$F,5,0),)</f>
        <v>162</v>
      </c>
      <c r="K172" s="38">
        <f>IFERROR(VLOOKUP(A:A,[1]APO!$A:$F,6,0),)</f>
        <v>0</v>
      </c>
      <c r="L172" s="38">
        <f>IFERROR(VLOOKUP(C:C,'[1]TOTAL APO'!$A:$B,2,0),)</f>
        <v>0</v>
      </c>
      <c r="M172" s="38">
        <f>IFERROR(VLOOKUP(A:A,[1]Short!$A:$Q,17,0),)</f>
        <v>0</v>
      </c>
      <c r="N172" s="38">
        <f>IFERROR(VLOOKUP(C:C,[1]GIT!$B:$D,3,0),)</f>
        <v>162</v>
      </c>
      <c r="O172" s="38">
        <f>IFERROR(VLOOKUP(A:A,[2]Sheet1!$A:$B,2,0),)</f>
        <v>28</v>
      </c>
      <c r="P172" s="38">
        <f>IFERROR(VLOOKUP(A:A,[2]Sheet1!$A:$B,2,0),)</f>
        <v>28</v>
      </c>
      <c r="Q172" s="38">
        <f t="shared" si="2"/>
        <v>0</v>
      </c>
      <c r="R172" s="38"/>
      <c r="S172" s="38"/>
    </row>
    <row r="173" spans="1:19" hidden="1" x14ac:dyDescent="0.25">
      <c r="A173" s="38" t="str">
        <f>F173&amp;C173</f>
        <v>C04840049729</v>
      </c>
      <c r="B173" s="38" t="str">
        <f>IF(J173&gt;=SUMIFS(E:E,C:C,C173),"Good to go","Short in Qty")</f>
        <v>Good to go</v>
      </c>
      <c r="C173" s="40">
        <v>40049729</v>
      </c>
      <c r="D173" s="40" t="s">
        <v>606</v>
      </c>
      <c r="E173" s="66">
        <v>17</v>
      </c>
      <c r="F173" s="38" t="s">
        <v>8</v>
      </c>
      <c r="G173" s="73" t="s">
        <v>467</v>
      </c>
      <c r="H173" s="38" t="s">
        <v>84</v>
      </c>
      <c r="I173" s="38" t="s">
        <v>620</v>
      </c>
      <c r="J173" s="38">
        <f>IFERROR(VLOOKUP(C:C,'[1]S&amp;S'!$B:$F,5,0),)</f>
        <v>1831</v>
      </c>
      <c r="K173" s="38">
        <f>IFERROR(VLOOKUP(A:A,[1]APO!$A:$F,6,0),)</f>
        <v>0</v>
      </c>
      <c r="L173" s="38">
        <f>IFERROR(VLOOKUP(C:C,'[1]TOTAL APO'!$A:$B,2,0),)</f>
        <v>0</v>
      </c>
      <c r="M173" s="38">
        <f>IFERROR(VLOOKUP(A:A,[1]Short!$A:$Q,17,0),)</f>
        <v>0</v>
      </c>
      <c r="N173" s="38">
        <f>IFERROR(VLOOKUP(C:C,[1]GIT!$B:$D,3,0),)</f>
        <v>0</v>
      </c>
      <c r="O173" s="38">
        <f>IFERROR(VLOOKUP(A:A,[2]Sheet1!$A:$B,2,0),)</f>
        <v>17</v>
      </c>
      <c r="P173" s="38">
        <f>IFERROR(VLOOKUP(A:A,[2]Sheet1!$A:$B,2,0),)</f>
        <v>17</v>
      </c>
      <c r="Q173" s="38">
        <f t="shared" si="2"/>
        <v>0</v>
      </c>
      <c r="R173" s="38"/>
      <c r="S173" s="38"/>
    </row>
    <row r="174" spans="1:19" hidden="1" x14ac:dyDescent="0.25">
      <c r="A174" s="38" t="str">
        <f>F174&amp;C174</f>
        <v>C04240063020</v>
      </c>
      <c r="B174" s="38" t="str">
        <f>IF(J174&gt;=SUMIFS(E:E,C:C,C174),"Good to go","Short in Qty")</f>
        <v>Good to go</v>
      </c>
      <c r="C174" s="40">
        <v>40063020</v>
      </c>
      <c r="D174" s="40" t="s">
        <v>264</v>
      </c>
      <c r="E174" s="67">
        <v>44</v>
      </c>
      <c r="F174" s="38" t="s">
        <v>10</v>
      </c>
      <c r="G174" s="40" t="s">
        <v>467</v>
      </c>
      <c r="H174" s="38" t="s">
        <v>9</v>
      </c>
      <c r="I174" s="38" t="s">
        <v>530</v>
      </c>
      <c r="J174" s="38">
        <f>IFERROR(VLOOKUP(C:C,'[1]S&amp;S'!$B:$F,5,0),)</f>
        <v>1429</v>
      </c>
      <c r="K174" s="38">
        <f>IFERROR(VLOOKUP(A:A,[1]APO!$A:$F,6,0),)</f>
        <v>0</v>
      </c>
      <c r="L174" s="38">
        <f>IFERROR(VLOOKUP(C:C,'[1]TOTAL APO'!$A:$B,2,0),)</f>
        <v>0</v>
      </c>
      <c r="M174" s="38">
        <f>IFERROR(VLOOKUP(A:A,[1]Short!$A:$Q,17,0),)</f>
        <v>0</v>
      </c>
      <c r="N174" s="38">
        <f>IFERROR(VLOOKUP(C:C,[1]GIT!$B:$D,3,0),)</f>
        <v>700</v>
      </c>
      <c r="O174" s="38">
        <f>IFERROR(VLOOKUP(A:A,[2]Sheet1!$A:$B,2,0),)</f>
        <v>44</v>
      </c>
      <c r="P174" s="38">
        <f>IFERROR(VLOOKUP(A:A,[2]Sheet1!$A:$B,2,0),)</f>
        <v>44</v>
      </c>
      <c r="Q174" s="38">
        <f t="shared" si="2"/>
        <v>0</v>
      </c>
      <c r="R174" s="38"/>
      <c r="S174" s="38"/>
    </row>
    <row r="175" spans="1:19" hidden="1" x14ac:dyDescent="0.25">
      <c r="A175" s="38" t="str">
        <f>F175&amp;C175</f>
        <v>C04640050107</v>
      </c>
      <c r="B175" s="38" t="str">
        <f>IF(J175&gt;=SUMIFS(E:E,C:C,C175),"Good to go","Short in Qty")</f>
        <v>Short in Qty</v>
      </c>
      <c r="C175" s="40">
        <v>40050107</v>
      </c>
      <c r="D175" s="40" t="s">
        <v>254</v>
      </c>
      <c r="E175" s="66">
        <v>10</v>
      </c>
      <c r="F175" s="38" t="s">
        <v>13</v>
      </c>
      <c r="G175" s="40" t="s">
        <v>596</v>
      </c>
      <c r="H175" s="38" t="s">
        <v>594</v>
      </c>
      <c r="I175" s="38" t="s">
        <v>595</v>
      </c>
      <c r="J175" s="38">
        <f>IFERROR(VLOOKUP(C:C,'[1]S&amp;S'!$B:$F,5,0),)</f>
        <v>0</v>
      </c>
      <c r="K175" s="38">
        <f>IFERROR(VLOOKUP(A:A,[1]APO!$A:$F,6,0),)</f>
        <v>0</v>
      </c>
      <c r="L175" s="38">
        <f>IFERROR(VLOOKUP(C:C,'[1]TOTAL APO'!$A:$B,2,0),)</f>
        <v>0</v>
      </c>
      <c r="M175" s="38">
        <f>IFERROR(VLOOKUP(A:A,[1]Short!$A:$Q,17,0),)</f>
        <v>0</v>
      </c>
      <c r="N175" s="38">
        <f>IFERROR(VLOOKUP(C:C,[1]GIT!$B:$D,3,0),)</f>
        <v>0</v>
      </c>
      <c r="O175" s="38">
        <f>IFERROR(VLOOKUP(A:A,[2]Sheet1!$A:$B,2,0),)</f>
        <v>0</v>
      </c>
      <c r="P175" s="38">
        <f>IFERROR(VLOOKUP(A:A,[2]Sheet1!$A:$B,2,0),)</f>
        <v>0</v>
      </c>
      <c r="Q175" s="38">
        <f t="shared" si="2"/>
        <v>10</v>
      </c>
      <c r="R175" s="38"/>
      <c r="S175" s="38"/>
    </row>
    <row r="176" spans="1:19" hidden="1" x14ac:dyDescent="0.25">
      <c r="A176" s="38" t="str">
        <f>F176&amp;C176</f>
        <v>C04340050107</v>
      </c>
      <c r="B176" s="38" t="str">
        <f>IF(J176&gt;=SUMIFS(E:E,C:C,C176),"Good to go","Short in Qty")</f>
        <v>Short in Qty</v>
      </c>
      <c r="C176" s="40">
        <v>40050107</v>
      </c>
      <c r="D176" s="40" t="s">
        <v>254</v>
      </c>
      <c r="E176" s="66">
        <v>170</v>
      </c>
      <c r="F176" s="38" t="s">
        <v>11</v>
      </c>
      <c r="G176" s="40" t="s">
        <v>596</v>
      </c>
      <c r="H176" s="38" t="s">
        <v>594</v>
      </c>
      <c r="I176" s="38" t="s">
        <v>595</v>
      </c>
      <c r="J176" s="38">
        <f>IFERROR(VLOOKUP(C:C,'[1]S&amp;S'!$B:$F,5,0),)</f>
        <v>0</v>
      </c>
      <c r="K176" s="38">
        <f>IFERROR(VLOOKUP(A:A,[1]APO!$A:$F,6,0),)</f>
        <v>0</v>
      </c>
      <c r="L176" s="38">
        <f>IFERROR(VLOOKUP(C:C,'[1]TOTAL APO'!$A:$B,2,0),)</f>
        <v>0</v>
      </c>
      <c r="M176" s="38">
        <f>IFERROR(VLOOKUP(A:A,[1]Short!$A:$Q,17,0),)</f>
        <v>0</v>
      </c>
      <c r="N176" s="38">
        <f>IFERROR(VLOOKUP(C:C,[1]GIT!$B:$D,3,0),)</f>
        <v>0</v>
      </c>
      <c r="O176" s="38">
        <f>IFERROR(VLOOKUP(A:A,[2]Sheet1!$A:$B,2,0),)</f>
        <v>0</v>
      </c>
      <c r="P176" s="38">
        <f>IFERROR(VLOOKUP(A:A,[2]Sheet1!$A:$B,2,0),)</f>
        <v>0</v>
      </c>
      <c r="Q176" s="38">
        <f t="shared" si="2"/>
        <v>170</v>
      </c>
      <c r="R176" s="38"/>
      <c r="S176" s="38"/>
    </row>
    <row r="177" spans="1:19" hidden="1" x14ac:dyDescent="0.25">
      <c r="A177" s="38" t="str">
        <f>F177&amp;C177</f>
        <v>C04340041820</v>
      </c>
      <c r="B177" s="38" t="str">
        <f>IF(J177&gt;=SUMIFS(E:E,C:C,C177),"Good to go","Short in Qty")</f>
        <v>Good to go</v>
      </c>
      <c r="C177" s="40">
        <v>40041820</v>
      </c>
      <c r="D177" s="40" t="s">
        <v>525</v>
      </c>
      <c r="E177" s="66">
        <v>3</v>
      </c>
      <c r="F177" s="38" t="s">
        <v>11</v>
      </c>
      <c r="G177" s="40" t="s">
        <v>467</v>
      </c>
      <c r="H177" s="38" t="s">
        <v>84</v>
      </c>
      <c r="I177" s="38" t="s">
        <v>620</v>
      </c>
      <c r="J177" s="38">
        <f>IFERROR(VLOOKUP(C:C,'[1]S&amp;S'!$B:$F,5,0),)</f>
        <v>245</v>
      </c>
      <c r="K177" s="38">
        <f>IFERROR(VLOOKUP(A:A,[1]APO!$A:$F,6,0),)</f>
        <v>0</v>
      </c>
      <c r="L177" s="38">
        <f>IFERROR(VLOOKUP(C:C,'[1]TOTAL APO'!$A:$B,2,0),)</f>
        <v>0</v>
      </c>
      <c r="M177" s="38">
        <f>IFERROR(VLOOKUP(A:A,[1]Short!$A:$Q,17,0),)</f>
        <v>0</v>
      </c>
      <c r="N177" s="38">
        <f>IFERROR(VLOOKUP(C:C,[1]GIT!$B:$D,3,0),)</f>
        <v>0</v>
      </c>
      <c r="O177" s="38">
        <f>IFERROR(VLOOKUP(A:A,[2]Sheet1!$A:$B,2,0),)</f>
        <v>3</v>
      </c>
      <c r="P177" s="38">
        <f>IFERROR(VLOOKUP(A:A,[2]Sheet1!$A:$B,2,0),)</f>
        <v>3</v>
      </c>
      <c r="Q177" s="38">
        <f t="shared" si="2"/>
        <v>0</v>
      </c>
      <c r="R177" s="38"/>
      <c r="S177" s="38"/>
    </row>
    <row r="178" spans="1:19" hidden="1" x14ac:dyDescent="0.25">
      <c r="A178" s="38" t="str">
        <f>F178&amp;C178</f>
        <v>C04840063483</v>
      </c>
      <c r="B178" s="38" t="str">
        <f>IF(J178&gt;=SUMIFS(E:E,C:C,C178),"Good to go","Short in Qty")</f>
        <v>Good to go</v>
      </c>
      <c r="C178" s="40">
        <v>40063483</v>
      </c>
      <c r="D178" s="40" t="s">
        <v>300</v>
      </c>
      <c r="E178" s="66">
        <v>220</v>
      </c>
      <c r="F178" s="38" t="s">
        <v>8</v>
      </c>
      <c r="G178" s="40" t="s">
        <v>467</v>
      </c>
      <c r="H178" s="38" t="s">
        <v>9</v>
      </c>
      <c r="I178" s="38" t="s">
        <v>530</v>
      </c>
      <c r="J178" s="38">
        <f>IFERROR(VLOOKUP(C:C,'[1]S&amp;S'!$B:$F,5,0),)</f>
        <v>7084.38288333333</v>
      </c>
      <c r="K178" s="38">
        <f>IFERROR(VLOOKUP(A:A,[1]APO!$A:$F,6,0),)</f>
        <v>0</v>
      </c>
      <c r="L178" s="38">
        <f>IFERROR(VLOOKUP(C:C,'[1]TOTAL APO'!$A:$B,2,0),)</f>
        <v>0</v>
      </c>
      <c r="M178" s="38">
        <f>IFERROR(VLOOKUP(A:A,[1]Short!$A:$Q,17,0),)</f>
        <v>0</v>
      </c>
      <c r="N178" s="38">
        <f>IFERROR(VLOOKUP(C:C,[1]GIT!$B:$D,3,0),)</f>
        <v>0</v>
      </c>
      <c r="O178" s="38">
        <f>IFERROR(VLOOKUP(A:A,[2]Sheet1!$A:$B,2,0),)</f>
        <v>220</v>
      </c>
      <c r="P178" s="38">
        <f>IFERROR(VLOOKUP(A:A,[2]Sheet1!$A:$B,2,0),)</f>
        <v>220</v>
      </c>
      <c r="Q178" s="38">
        <f t="shared" si="2"/>
        <v>0</v>
      </c>
      <c r="R178" s="38"/>
      <c r="S178" s="38"/>
    </row>
    <row r="179" spans="1:19" hidden="1" x14ac:dyDescent="0.25">
      <c r="A179" s="38" t="str">
        <f>F179&amp;C179</f>
        <v>C10240060030</v>
      </c>
      <c r="B179" s="38" t="str">
        <f>IF(J179&gt;=SUMIFS(E:E,C:C,C179),"Good to go","Short in Qty")</f>
        <v>Good to go</v>
      </c>
      <c r="C179" s="40">
        <v>40060030</v>
      </c>
      <c r="D179" s="40" t="s">
        <v>462</v>
      </c>
      <c r="E179" s="66">
        <v>1000</v>
      </c>
      <c r="F179" s="38" t="s">
        <v>226</v>
      </c>
      <c r="G179" s="40" t="s">
        <v>467</v>
      </c>
      <c r="H179" s="38" t="s">
        <v>84</v>
      </c>
      <c r="I179" s="38" t="s">
        <v>620</v>
      </c>
      <c r="J179" s="38">
        <f>IFERROR(VLOOKUP(C:C,'[1]S&amp;S'!$B:$F,5,0),)</f>
        <v>2065</v>
      </c>
      <c r="K179" s="38">
        <f>IFERROR(VLOOKUP(A:A,[1]APO!$A:$F,6,0),)</f>
        <v>0</v>
      </c>
      <c r="L179" s="38">
        <f>IFERROR(VLOOKUP(C:C,'[1]TOTAL APO'!$A:$B,2,0),)</f>
        <v>0</v>
      </c>
      <c r="M179" s="38">
        <f>IFERROR(VLOOKUP(A:A,[1]Short!$A:$Q,17,0),)</f>
        <v>0</v>
      </c>
      <c r="N179" s="38">
        <f>IFERROR(VLOOKUP(C:C,[1]GIT!$B:$D,3,0),)</f>
        <v>0</v>
      </c>
      <c r="O179" s="38">
        <f>IFERROR(VLOOKUP(A:A,[2]Sheet1!$A:$B,2,0),)</f>
        <v>1000</v>
      </c>
      <c r="P179" s="38">
        <f>IFERROR(VLOOKUP(A:A,[2]Sheet1!$A:$B,2,0),)</f>
        <v>1000</v>
      </c>
      <c r="Q179" s="38">
        <f t="shared" si="2"/>
        <v>0</v>
      </c>
      <c r="R179" s="38"/>
      <c r="S179" s="38"/>
    </row>
    <row r="180" spans="1:19" hidden="1" x14ac:dyDescent="0.25">
      <c r="A180" s="38" t="str">
        <f>F180&amp;C180</f>
        <v>C11140063483</v>
      </c>
      <c r="B180" s="38" t="str">
        <f>IF(J180&gt;=SUMIFS(E:E,C:C,C180),"Good to go","Short in Qty")</f>
        <v>Good to go</v>
      </c>
      <c r="C180" s="40">
        <v>40063483</v>
      </c>
      <c r="D180" s="40" t="s">
        <v>300</v>
      </c>
      <c r="E180" s="66">
        <v>100</v>
      </c>
      <c r="F180" s="38" t="s">
        <v>16</v>
      </c>
      <c r="G180" s="40" t="s">
        <v>467</v>
      </c>
      <c r="H180" s="38" t="s">
        <v>9</v>
      </c>
      <c r="I180" s="38" t="s">
        <v>530</v>
      </c>
      <c r="J180" s="38">
        <f>IFERROR(VLOOKUP(C:C,'[1]S&amp;S'!$B:$F,5,0),)</f>
        <v>7084.38288333333</v>
      </c>
      <c r="K180" s="38">
        <f>IFERROR(VLOOKUP(A:A,[1]APO!$A:$F,6,0),)</f>
        <v>0</v>
      </c>
      <c r="L180" s="38">
        <f>IFERROR(VLOOKUP(C:C,'[1]TOTAL APO'!$A:$B,2,0),)</f>
        <v>0</v>
      </c>
      <c r="M180" s="38">
        <f>IFERROR(VLOOKUP(A:A,[1]Short!$A:$Q,17,0),)</f>
        <v>0</v>
      </c>
      <c r="N180" s="38">
        <f>IFERROR(VLOOKUP(C:C,[1]GIT!$B:$D,3,0),)</f>
        <v>0</v>
      </c>
      <c r="O180" s="38">
        <f>IFERROR(VLOOKUP(A:A,[2]Sheet1!$A:$B,2,0),)</f>
        <v>100</v>
      </c>
      <c r="P180" s="38">
        <f>IFERROR(VLOOKUP(A:A,[2]Sheet1!$A:$B,2,0),)</f>
        <v>100</v>
      </c>
      <c r="Q180" s="38">
        <f t="shared" si="2"/>
        <v>0</v>
      </c>
      <c r="R180" s="38"/>
      <c r="S180" s="38"/>
    </row>
    <row r="181" spans="1:19" hidden="1" x14ac:dyDescent="0.25">
      <c r="A181" s="38" t="str">
        <f>F181&amp;C181</f>
        <v>C04840050107</v>
      </c>
      <c r="B181" s="38" t="str">
        <f>IF(J181&gt;=SUMIFS(E:E,C:C,C181),"Good to go","Short in Qty")</f>
        <v>Short in Qty</v>
      </c>
      <c r="C181" s="40">
        <v>40050107</v>
      </c>
      <c r="D181" s="40" t="s">
        <v>254</v>
      </c>
      <c r="E181" s="66">
        <v>30</v>
      </c>
      <c r="F181" s="38" t="s">
        <v>8</v>
      </c>
      <c r="G181" s="40" t="s">
        <v>596</v>
      </c>
      <c r="H181" s="38" t="s">
        <v>594</v>
      </c>
      <c r="I181" s="38" t="s">
        <v>595</v>
      </c>
      <c r="J181" s="38">
        <f>IFERROR(VLOOKUP(C:C,'[1]S&amp;S'!$B:$F,5,0),)</f>
        <v>0</v>
      </c>
      <c r="K181" s="38">
        <f>IFERROR(VLOOKUP(A:A,[1]APO!$A:$F,6,0),)</f>
        <v>0</v>
      </c>
      <c r="L181" s="38">
        <f>IFERROR(VLOOKUP(C:C,'[1]TOTAL APO'!$A:$B,2,0),)</f>
        <v>0</v>
      </c>
      <c r="M181" s="38">
        <f>IFERROR(VLOOKUP(A:A,[1]Short!$A:$Q,17,0),)</f>
        <v>0</v>
      </c>
      <c r="N181" s="38">
        <f>IFERROR(VLOOKUP(C:C,[1]GIT!$B:$D,3,0),)</f>
        <v>0</v>
      </c>
      <c r="O181" s="38">
        <f>IFERROR(VLOOKUP(A:A,[2]Sheet1!$A:$B,2,0),)</f>
        <v>0</v>
      </c>
      <c r="P181" s="38">
        <f>IFERROR(VLOOKUP(A:A,[2]Sheet1!$A:$B,2,0),)</f>
        <v>0</v>
      </c>
      <c r="Q181" s="38">
        <f t="shared" si="2"/>
        <v>30</v>
      </c>
      <c r="R181" s="38"/>
      <c r="S181" s="38"/>
    </row>
    <row r="182" spans="1:19" x14ac:dyDescent="0.25">
      <c r="A182" s="38" t="str">
        <f>F182&amp;C182</f>
        <v>C12140065411</v>
      </c>
      <c r="B182" s="38" t="str">
        <f>IF(J182&gt;=SUMIFS(E:E,C:C,C182),"Good to go","Short in Qty")</f>
        <v>Good to go</v>
      </c>
      <c r="C182" s="40">
        <v>40065411</v>
      </c>
      <c r="D182" s="40" t="s">
        <v>244</v>
      </c>
      <c r="E182" s="66">
        <v>7</v>
      </c>
      <c r="F182" s="38" t="s">
        <v>194</v>
      </c>
      <c r="G182" s="40" t="s">
        <v>185</v>
      </c>
      <c r="H182" s="38" t="s">
        <v>9</v>
      </c>
      <c r="I182" s="38" t="s">
        <v>382</v>
      </c>
      <c r="J182" s="38">
        <f>IFERROR(VLOOKUP(C:C,'[1]S&amp;S'!$B:$F,5,0),)</f>
        <v>9</v>
      </c>
      <c r="K182" s="38">
        <f>IFERROR(VLOOKUP(A:A,[1]APO!$A:$F,6,0),)</f>
        <v>0</v>
      </c>
      <c r="L182" s="38">
        <f>IFERROR(VLOOKUP(C:C,'[1]TOTAL APO'!$A:$B,2,0),)</f>
        <v>0</v>
      </c>
      <c r="M182" s="38">
        <f>IFERROR(VLOOKUP(A:A,[1]Short!$A:$Q,17,0),)</f>
        <v>0</v>
      </c>
      <c r="N182" s="38">
        <f>IFERROR(VLOOKUP(C:C,[1]GIT!$B:$D,3,0),)</f>
        <v>0</v>
      </c>
      <c r="O182" s="38">
        <f>IFERROR(VLOOKUP(A:A,[2]Sheet1!$A:$B,2,0),)</f>
        <v>0</v>
      </c>
      <c r="P182" s="38">
        <f>IFERROR(VLOOKUP(A:A,[2]Sheet1!$A:$B,2,0),)</f>
        <v>0</v>
      </c>
      <c r="Q182" s="38">
        <f t="shared" si="2"/>
        <v>7</v>
      </c>
      <c r="R182" s="38"/>
      <c r="S182" s="38"/>
    </row>
    <row r="183" spans="1:19" x14ac:dyDescent="0.25">
      <c r="A183" s="38" t="str">
        <f>F183&amp;C183</f>
        <v>C04340065411</v>
      </c>
      <c r="B183" s="38" t="str">
        <f>IF(J183&gt;=SUMIFS(E:E,C:C,C183),"Good to go","Short in Qty")</f>
        <v>Good to go</v>
      </c>
      <c r="C183" s="40">
        <v>40065411</v>
      </c>
      <c r="D183" s="40" t="s">
        <v>244</v>
      </c>
      <c r="E183" s="66">
        <v>1</v>
      </c>
      <c r="F183" s="38" t="s">
        <v>11</v>
      </c>
      <c r="G183" s="40" t="s">
        <v>245</v>
      </c>
      <c r="H183" s="38" t="s">
        <v>9</v>
      </c>
      <c r="I183" s="38" t="s">
        <v>383</v>
      </c>
      <c r="J183" s="38">
        <f>IFERROR(VLOOKUP(C:C,'[1]S&amp;S'!$B:$F,5,0),)</f>
        <v>9</v>
      </c>
      <c r="K183" s="38">
        <f>IFERROR(VLOOKUP(A:A,[1]APO!$A:$F,6,0),)</f>
        <v>0</v>
      </c>
      <c r="L183" s="38">
        <f>IFERROR(VLOOKUP(C:C,'[1]TOTAL APO'!$A:$B,2,0),)</f>
        <v>0</v>
      </c>
      <c r="M183" s="38">
        <f>IFERROR(VLOOKUP(A:A,[1]Short!$A:$Q,17,0),)</f>
        <v>0</v>
      </c>
      <c r="N183" s="38">
        <f>IFERROR(VLOOKUP(C:C,[1]GIT!$B:$D,3,0),)</f>
        <v>0</v>
      </c>
      <c r="O183" s="38">
        <f>IFERROR(VLOOKUP(A:A,[2]Sheet1!$A:$B,2,0),)</f>
        <v>0</v>
      </c>
      <c r="P183" s="38">
        <f>IFERROR(VLOOKUP(A:A,[2]Sheet1!$A:$B,2,0),)</f>
        <v>0</v>
      </c>
      <c r="Q183" s="38">
        <f t="shared" si="2"/>
        <v>1</v>
      </c>
      <c r="R183" s="38"/>
      <c r="S183" s="38"/>
    </row>
    <row r="184" spans="1:19" x14ac:dyDescent="0.25">
      <c r="A184" s="38" t="str">
        <f>F184&amp;C184</f>
        <v>C04840065411</v>
      </c>
      <c r="B184" s="38" t="str">
        <f>IF(J184&gt;=SUMIFS(E:E,C:C,C184),"Good to go","Short in Qty")</f>
        <v>Good to go</v>
      </c>
      <c r="C184" s="40">
        <v>40065411</v>
      </c>
      <c r="D184" s="40" t="s">
        <v>244</v>
      </c>
      <c r="E184" s="66">
        <v>1</v>
      </c>
      <c r="F184" s="38" t="s">
        <v>8</v>
      </c>
      <c r="G184" s="8" t="s">
        <v>245</v>
      </c>
      <c r="H184" s="38" t="s">
        <v>9</v>
      </c>
      <c r="I184" s="38" t="s">
        <v>382</v>
      </c>
      <c r="J184" s="38">
        <f>IFERROR(VLOOKUP(C:C,'[1]S&amp;S'!$B:$F,5,0),)</f>
        <v>9</v>
      </c>
      <c r="K184" s="38">
        <f>IFERROR(VLOOKUP(A:A,[1]APO!$A:$F,6,0),)</f>
        <v>0</v>
      </c>
      <c r="L184" s="38">
        <f>IFERROR(VLOOKUP(C:C,'[1]TOTAL APO'!$A:$B,2,0),)</f>
        <v>0</v>
      </c>
      <c r="M184" s="38">
        <f>IFERROR(VLOOKUP(A:A,[1]Short!$A:$Q,17,0),)</f>
        <v>0</v>
      </c>
      <c r="N184" s="38">
        <f>IFERROR(VLOOKUP(C:C,[1]GIT!$B:$D,3,0),)</f>
        <v>0</v>
      </c>
      <c r="O184" s="38">
        <f>IFERROR(VLOOKUP(A:A,[2]Sheet1!$A:$B,2,0),)</f>
        <v>0</v>
      </c>
      <c r="P184" s="38">
        <f>IFERROR(VLOOKUP(A:A,[2]Sheet1!$A:$B,2,0),)</f>
        <v>0</v>
      </c>
      <c r="Q184" s="38">
        <f t="shared" si="2"/>
        <v>1</v>
      </c>
      <c r="R184" s="38"/>
      <c r="S184" s="38"/>
    </row>
    <row r="185" spans="1:19" x14ac:dyDescent="0.25">
      <c r="A185" s="38" t="str">
        <f>F185&amp;C185</f>
        <v>C12140065477</v>
      </c>
      <c r="B185" s="38" t="str">
        <f>IF(J185&gt;=SUMIFS(E:E,C:C,C185),"Good to go","Short in Qty")</f>
        <v>Good to go</v>
      </c>
      <c r="C185" s="40">
        <v>40065477</v>
      </c>
      <c r="D185" s="40" t="s">
        <v>357</v>
      </c>
      <c r="E185" s="66">
        <v>191</v>
      </c>
      <c r="F185" s="38" t="s">
        <v>194</v>
      </c>
      <c r="G185" s="40" t="s">
        <v>195</v>
      </c>
      <c r="H185" s="38" t="s">
        <v>151</v>
      </c>
      <c r="I185" s="38" t="s">
        <v>363</v>
      </c>
      <c r="J185" s="38">
        <f>IFERROR(VLOOKUP(C:C,'[1]S&amp;S'!$B:$F,5,0),)</f>
        <v>191.8</v>
      </c>
      <c r="K185" s="38">
        <f>IFERROR(VLOOKUP(A:A,[1]APO!$A:$F,6,0),)</f>
        <v>0</v>
      </c>
      <c r="L185" s="38">
        <f>IFERROR(VLOOKUP(C:C,'[1]TOTAL APO'!$A:$B,2,0),)</f>
        <v>0</v>
      </c>
      <c r="M185" s="38">
        <f>IFERROR(VLOOKUP(A:A,[1]Short!$A:$Q,17,0),)</f>
        <v>0</v>
      </c>
      <c r="N185" s="38">
        <f>IFERROR(VLOOKUP(C:C,[1]GIT!$B:$D,3,0),)</f>
        <v>0</v>
      </c>
      <c r="O185" s="38">
        <f>IFERROR(VLOOKUP(A:A,[2]Sheet1!$A:$B,2,0),)</f>
        <v>0</v>
      </c>
      <c r="P185" s="38">
        <f>IFERROR(VLOOKUP(A:A,[2]Sheet1!$A:$B,2,0),)</f>
        <v>0</v>
      </c>
      <c r="Q185" s="38">
        <f t="shared" si="2"/>
        <v>191</v>
      </c>
      <c r="R185" s="38"/>
      <c r="S185" s="38"/>
    </row>
    <row r="186" spans="1:19" x14ac:dyDescent="0.25">
      <c r="A186" s="38" t="str">
        <f>F186&amp;C186</f>
        <v>C12140065478</v>
      </c>
      <c r="B186" s="38" t="str">
        <f>IF(J186&gt;=SUMIFS(E:E,C:C,C186),"Good to go","Short in Qty")</f>
        <v>Good to go</v>
      </c>
      <c r="C186" s="40">
        <v>40065478</v>
      </c>
      <c r="D186" s="40" t="s">
        <v>358</v>
      </c>
      <c r="E186" s="66">
        <v>187</v>
      </c>
      <c r="F186" s="38" t="s">
        <v>194</v>
      </c>
      <c r="G186" s="40" t="s">
        <v>195</v>
      </c>
      <c r="H186" s="38" t="s">
        <v>213</v>
      </c>
      <c r="I186" s="38" t="s">
        <v>392</v>
      </c>
      <c r="J186" s="38">
        <f>IFERROR(VLOOKUP(C:C,'[1]S&amp;S'!$B:$F,5,0),)</f>
        <v>187.8</v>
      </c>
      <c r="K186" s="38">
        <f>IFERROR(VLOOKUP(A:A,[1]APO!$A:$F,6,0),)</f>
        <v>0</v>
      </c>
      <c r="L186" s="38">
        <f>IFERROR(VLOOKUP(C:C,'[1]TOTAL APO'!$A:$B,2,0),)</f>
        <v>0</v>
      </c>
      <c r="M186" s="38">
        <f>IFERROR(VLOOKUP(A:A,[1]Short!$A:$Q,17,0),)</f>
        <v>0</v>
      </c>
      <c r="N186" s="38">
        <f>IFERROR(VLOOKUP(C:C,[1]GIT!$B:$D,3,0),)</f>
        <v>0</v>
      </c>
      <c r="O186" s="38">
        <f>IFERROR(VLOOKUP(A:A,[2]Sheet1!$A:$B,2,0),)</f>
        <v>0</v>
      </c>
      <c r="P186" s="38">
        <f>IFERROR(VLOOKUP(A:A,[2]Sheet1!$A:$B,2,0),)</f>
        <v>0</v>
      </c>
      <c r="Q186" s="38">
        <f t="shared" si="2"/>
        <v>187</v>
      </c>
      <c r="R186" s="38"/>
      <c r="S186" s="38"/>
    </row>
    <row r="187" spans="1:19" hidden="1" x14ac:dyDescent="0.25">
      <c r="A187" s="38" t="str">
        <f>F187&amp;C187</f>
        <v>C04840063637</v>
      </c>
      <c r="B187" s="38" t="str">
        <f>IF(J187&gt;=SUMIFS(E:E,C:C,C187),"Good to go","Short in Qty")</f>
        <v>Good to go</v>
      </c>
      <c r="C187" s="40">
        <v>40063637</v>
      </c>
      <c r="D187" s="40" t="s">
        <v>275</v>
      </c>
      <c r="E187" s="66">
        <v>29</v>
      </c>
      <c r="F187" s="38" t="s">
        <v>8</v>
      </c>
      <c r="G187" s="40" t="s">
        <v>467</v>
      </c>
      <c r="H187" s="38" t="s">
        <v>9</v>
      </c>
      <c r="I187" s="38" t="s">
        <v>530</v>
      </c>
      <c r="J187" s="38">
        <f>IFERROR(VLOOKUP(C:C,'[1]S&amp;S'!$B:$F,5,0),)</f>
        <v>774</v>
      </c>
      <c r="K187" s="38">
        <f>IFERROR(VLOOKUP(A:A,[1]APO!$A:$F,6,0),)</f>
        <v>0</v>
      </c>
      <c r="L187" s="38">
        <f>IFERROR(VLOOKUP(C:C,'[1]TOTAL APO'!$A:$B,2,0),)</f>
        <v>0</v>
      </c>
      <c r="M187" s="38">
        <f>IFERROR(VLOOKUP(A:A,[1]Short!$A:$Q,17,0),)</f>
        <v>0</v>
      </c>
      <c r="N187" s="38">
        <f>IFERROR(VLOOKUP(C:C,[1]GIT!$B:$D,3,0),)</f>
        <v>0</v>
      </c>
      <c r="O187" s="38">
        <f>IFERROR(VLOOKUP(A:A,[2]Sheet1!$A:$B,2,0),)</f>
        <v>29</v>
      </c>
      <c r="P187" s="38">
        <f>IFERROR(VLOOKUP(A:A,[2]Sheet1!$A:$B,2,0),)</f>
        <v>29</v>
      </c>
      <c r="Q187" s="38">
        <f t="shared" si="2"/>
        <v>0</v>
      </c>
      <c r="R187" s="38"/>
      <c r="S187" s="38"/>
    </row>
    <row r="188" spans="1:19" hidden="1" x14ac:dyDescent="0.25">
      <c r="A188" s="38" t="str">
        <f>F188&amp;C188</f>
        <v>C11140050107</v>
      </c>
      <c r="B188" s="38" t="str">
        <f>IF(J188&gt;=SUMIFS(E:E,C:C,C188),"Good to go","Short in Qty")</f>
        <v>Short in Qty</v>
      </c>
      <c r="C188" s="40">
        <v>40050107</v>
      </c>
      <c r="D188" s="40" t="s">
        <v>254</v>
      </c>
      <c r="E188" s="66">
        <v>100</v>
      </c>
      <c r="F188" s="38" t="s">
        <v>16</v>
      </c>
      <c r="G188" s="40" t="s">
        <v>596</v>
      </c>
      <c r="H188" s="38" t="s">
        <v>594</v>
      </c>
      <c r="I188" s="38" t="s">
        <v>595</v>
      </c>
      <c r="J188" s="38">
        <f>IFERROR(VLOOKUP(C:C,'[1]S&amp;S'!$B:$F,5,0),)</f>
        <v>0</v>
      </c>
      <c r="K188" s="38">
        <f>IFERROR(VLOOKUP(A:A,[1]APO!$A:$F,6,0),)</f>
        <v>0</v>
      </c>
      <c r="L188" s="38">
        <f>IFERROR(VLOOKUP(C:C,'[1]TOTAL APO'!$A:$B,2,0),)</f>
        <v>0</v>
      </c>
      <c r="M188" s="38">
        <f>IFERROR(VLOOKUP(A:A,[1]Short!$A:$Q,17,0),)</f>
        <v>0</v>
      </c>
      <c r="N188" s="38">
        <f>IFERROR(VLOOKUP(C:C,[1]GIT!$B:$D,3,0),)</f>
        <v>0</v>
      </c>
      <c r="O188" s="38">
        <f>IFERROR(VLOOKUP(A:A,[2]Sheet1!$A:$B,2,0),)</f>
        <v>0</v>
      </c>
      <c r="P188" s="38">
        <f>IFERROR(VLOOKUP(A:A,[2]Sheet1!$A:$B,2,0),)</f>
        <v>0</v>
      </c>
      <c r="Q188" s="38">
        <f t="shared" si="2"/>
        <v>100</v>
      </c>
      <c r="R188" s="38"/>
      <c r="S188" s="38"/>
    </row>
    <row r="189" spans="1:19" x14ac:dyDescent="0.25">
      <c r="A189" s="38" t="str">
        <f>F189&amp;C189</f>
        <v>C04240064998</v>
      </c>
      <c r="B189" s="38" t="str">
        <f>IF(J189&gt;=SUMIFS(E:E,C:C,C189),"Good to go","Short in Qty")</f>
        <v>Good to go</v>
      </c>
      <c r="C189" s="40">
        <v>40064998</v>
      </c>
      <c r="D189" s="40" t="s">
        <v>493</v>
      </c>
      <c r="E189" s="66">
        <v>6</v>
      </c>
      <c r="F189" s="38" t="s">
        <v>10</v>
      </c>
      <c r="G189" s="40" t="s">
        <v>467</v>
      </c>
      <c r="H189" s="38" t="s">
        <v>9</v>
      </c>
      <c r="I189" s="38" t="s">
        <v>530</v>
      </c>
      <c r="J189" s="38">
        <f>IFERROR(VLOOKUP(C:C,'[1]S&amp;S'!$B:$F,5,0),)</f>
        <v>38</v>
      </c>
      <c r="K189" s="38">
        <f>IFERROR(VLOOKUP(A:A,[1]APO!$A:$F,6,0),)</f>
        <v>0</v>
      </c>
      <c r="L189" s="38">
        <f>IFERROR(VLOOKUP(C:C,'[1]TOTAL APO'!$A:$B,2,0),)</f>
        <v>0</v>
      </c>
      <c r="M189" s="38">
        <f>IFERROR(VLOOKUP(A:A,[1]Short!$A:$Q,17,0),)</f>
        <v>0</v>
      </c>
      <c r="N189" s="38">
        <f>IFERROR(VLOOKUP(C:C,[1]GIT!$B:$D,3,0),)</f>
        <v>38</v>
      </c>
      <c r="O189" s="38">
        <f>IFERROR(VLOOKUP(A:A,[2]Sheet1!$A:$B,2,0),)</f>
        <v>2</v>
      </c>
      <c r="P189" s="38">
        <f>IFERROR(VLOOKUP(A:A,[2]Sheet1!$A:$B,2,0),)</f>
        <v>2</v>
      </c>
      <c r="Q189" s="38">
        <f t="shared" si="2"/>
        <v>4</v>
      </c>
      <c r="R189" s="38"/>
      <c r="S189" s="38"/>
    </row>
    <row r="190" spans="1:19" x14ac:dyDescent="0.25">
      <c r="A190" s="38" t="str">
        <f>F190&amp;C190</f>
        <v>C04340064998</v>
      </c>
      <c r="B190" s="38" t="str">
        <f>IF(J190&gt;=SUMIFS(E:E,C:C,C190),"Good to go","Short in Qty")</f>
        <v>Good to go</v>
      </c>
      <c r="C190" s="40">
        <v>40064998</v>
      </c>
      <c r="D190" s="40" t="s">
        <v>493</v>
      </c>
      <c r="E190" s="66">
        <v>11</v>
      </c>
      <c r="F190" s="38" t="s">
        <v>11</v>
      </c>
      <c r="G190" s="40" t="s">
        <v>467</v>
      </c>
      <c r="H190" s="38" t="s">
        <v>9</v>
      </c>
      <c r="I190" s="38" t="s">
        <v>530</v>
      </c>
      <c r="J190" s="38">
        <f>IFERROR(VLOOKUP(C:C,'[1]S&amp;S'!$B:$F,5,0),)</f>
        <v>38</v>
      </c>
      <c r="K190" s="38">
        <f>IFERROR(VLOOKUP(A:A,[1]APO!$A:$F,6,0),)</f>
        <v>0</v>
      </c>
      <c r="L190" s="38">
        <f>IFERROR(VLOOKUP(C:C,'[1]TOTAL APO'!$A:$B,2,0),)</f>
        <v>0</v>
      </c>
      <c r="M190" s="38">
        <f>IFERROR(VLOOKUP(A:A,[1]Short!$A:$Q,17,0),)</f>
        <v>0</v>
      </c>
      <c r="N190" s="38">
        <f>IFERROR(VLOOKUP(C:C,[1]GIT!$B:$D,3,0),)</f>
        <v>38</v>
      </c>
      <c r="O190" s="38">
        <f>IFERROR(VLOOKUP(A:A,[2]Sheet1!$A:$B,2,0),)</f>
        <v>0</v>
      </c>
      <c r="P190" s="38">
        <f>IFERROR(VLOOKUP(A:A,[2]Sheet1!$A:$B,2,0),)</f>
        <v>0</v>
      </c>
      <c r="Q190" s="38">
        <f t="shared" si="2"/>
        <v>11</v>
      </c>
      <c r="R190" s="38"/>
      <c r="S190" s="38"/>
    </row>
    <row r="191" spans="1:19" hidden="1" x14ac:dyDescent="0.25">
      <c r="A191" s="38" t="str">
        <f>F191&amp;C191</f>
        <v>C04340063581</v>
      </c>
      <c r="B191" s="38" t="str">
        <f>IF(J191&gt;=SUMIFS(E:E,C:C,C191),"Good to go","Short in Qty")</f>
        <v>Good to go</v>
      </c>
      <c r="C191" s="40">
        <v>40063581</v>
      </c>
      <c r="D191" s="40" t="s">
        <v>494</v>
      </c>
      <c r="E191" s="66">
        <v>140</v>
      </c>
      <c r="F191" s="38" t="s">
        <v>11</v>
      </c>
      <c r="G191" s="40" t="s">
        <v>467</v>
      </c>
      <c r="H191" s="38" t="s">
        <v>9</v>
      </c>
      <c r="I191" s="38" t="s">
        <v>530</v>
      </c>
      <c r="J191" s="38">
        <f>IFERROR(VLOOKUP(C:C,'[1]S&amp;S'!$B:$F,5,0),)</f>
        <v>337</v>
      </c>
      <c r="K191" s="38">
        <f>IFERROR(VLOOKUP(A:A,[1]APO!$A:$F,6,0),)</f>
        <v>0</v>
      </c>
      <c r="L191" s="38">
        <f>IFERROR(VLOOKUP(C:C,'[1]TOTAL APO'!$A:$B,2,0),)</f>
        <v>0</v>
      </c>
      <c r="M191" s="38">
        <f>IFERROR(VLOOKUP(A:A,[1]Short!$A:$Q,17,0),)</f>
        <v>0</v>
      </c>
      <c r="N191" s="38">
        <f>IFERROR(VLOOKUP(C:C,[1]GIT!$B:$D,3,0),)</f>
        <v>337</v>
      </c>
      <c r="O191" s="38">
        <f>IFERROR(VLOOKUP(A:A,[2]Sheet1!$A:$B,2,0),)</f>
        <v>140</v>
      </c>
      <c r="P191" s="38">
        <f>IFERROR(VLOOKUP(A:A,[2]Sheet1!$A:$B,2,0),)</f>
        <v>140</v>
      </c>
      <c r="Q191" s="38">
        <f t="shared" si="2"/>
        <v>0</v>
      </c>
      <c r="R191" s="38"/>
      <c r="S191" s="38"/>
    </row>
    <row r="192" spans="1:19" x14ac:dyDescent="0.25">
      <c r="A192" s="38" t="str">
        <f>F192&amp;C192</f>
        <v>C04440063581</v>
      </c>
      <c r="B192" s="38" t="str">
        <f>IF(J192&gt;=SUMIFS(E:E,C:C,C192),"Good to go","Short in Qty")</f>
        <v>Good to go</v>
      </c>
      <c r="C192" s="40">
        <v>40063581</v>
      </c>
      <c r="D192" s="40" t="s">
        <v>494</v>
      </c>
      <c r="E192" s="66">
        <v>47</v>
      </c>
      <c r="F192" s="38" t="s">
        <v>191</v>
      </c>
      <c r="G192" s="40"/>
      <c r="H192" s="38" t="s">
        <v>9</v>
      </c>
      <c r="I192" s="38" t="s">
        <v>530</v>
      </c>
      <c r="J192" s="38">
        <f>IFERROR(VLOOKUP(C:C,'[1]S&amp;S'!$B:$F,5,0),)</f>
        <v>337</v>
      </c>
      <c r="K192" s="38">
        <f>IFERROR(VLOOKUP(A:A,[1]APO!$A:$F,6,0),)</f>
        <v>0</v>
      </c>
      <c r="L192" s="38">
        <f>IFERROR(VLOOKUP(C:C,'[1]TOTAL APO'!$A:$B,2,0),)</f>
        <v>0</v>
      </c>
      <c r="M192" s="38">
        <f>IFERROR(VLOOKUP(A:A,[1]Short!$A:$Q,17,0),)</f>
        <v>0</v>
      </c>
      <c r="N192" s="38">
        <f>IFERROR(VLOOKUP(C:C,[1]GIT!$B:$D,3,0),)</f>
        <v>337</v>
      </c>
      <c r="O192" s="38">
        <f>IFERROR(VLOOKUP(A:A,[2]Sheet1!$A:$B,2,0),)</f>
        <v>0</v>
      </c>
      <c r="P192" s="38">
        <f>IFERROR(VLOOKUP(A:A,[2]Sheet1!$A:$B,2,0),)</f>
        <v>0</v>
      </c>
      <c r="Q192" s="38">
        <f t="shared" si="2"/>
        <v>47</v>
      </c>
      <c r="R192" s="38"/>
      <c r="S192" s="38"/>
    </row>
    <row r="193" spans="1:19" x14ac:dyDescent="0.25">
      <c r="A193" s="38" t="str">
        <f>F193&amp;C193</f>
        <v>C04640063581</v>
      </c>
      <c r="B193" s="38" t="str">
        <f>IF(J193&gt;=SUMIFS(E:E,C:C,C193),"Good to go","Short in Qty")</f>
        <v>Good to go</v>
      </c>
      <c r="C193" s="40">
        <v>40063581</v>
      </c>
      <c r="D193" s="40" t="s">
        <v>494</v>
      </c>
      <c r="E193" s="66">
        <v>20</v>
      </c>
      <c r="F193" s="38" t="s">
        <v>13</v>
      </c>
      <c r="G193" s="40"/>
      <c r="H193" s="38" t="s">
        <v>9</v>
      </c>
      <c r="I193" s="38" t="s">
        <v>530</v>
      </c>
      <c r="J193" s="38">
        <f>IFERROR(VLOOKUP(C:C,'[1]S&amp;S'!$B:$F,5,0),)</f>
        <v>337</v>
      </c>
      <c r="K193" s="38">
        <f>IFERROR(VLOOKUP(A:A,[1]APO!$A:$F,6,0),)</f>
        <v>0</v>
      </c>
      <c r="L193" s="38">
        <f>IFERROR(VLOOKUP(C:C,'[1]TOTAL APO'!$A:$B,2,0),)</f>
        <v>0</v>
      </c>
      <c r="M193" s="38">
        <f>IFERROR(VLOOKUP(A:A,[1]Short!$A:$Q,17,0),)</f>
        <v>0</v>
      </c>
      <c r="N193" s="38">
        <f>IFERROR(VLOOKUP(C:C,[1]GIT!$B:$D,3,0),)</f>
        <v>337</v>
      </c>
      <c r="O193" s="38">
        <f>IFERROR(VLOOKUP(A:A,[2]Sheet1!$A:$B,2,0),)</f>
        <v>0</v>
      </c>
      <c r="P193" s="38">
        <f>IFERROR(VLOOKUP(A:A,[2]Sheet1!$A:$B,2,0),)</f>
        <v>0</v>
      </c>
      <c r="Q193" s="38">
        <f t="shared" si="2"/>
        <v>20</v>
      </c>
      <c r="R193" s="38"/>
      <c r="S193" s="38"/>
    </row>
    <row r="194" spans="1:19" x14ac:dyDescent="0.25">
      <c r="A194" s="38" t="str">
        <f>F194&amp;C194</f>
        <v>C04740063581</v>
      </c>
      <c r="B194" s="38" t="str">
        <f>IF(J194&gt;=SUMIFS(E:E,C:C,C194),"Good to go","Short in Qty")</f>
        <v>Good to go</v>
      </c>
      <c r="C194" s="40">
        <v>40063581</v>
      </c>
      <c r="D194" s="40" t="s">
        <v>494</v>
      </c>
      <c r="E194" s="66">
        <v>10</v>
      </c>
      <c r="F194" s="38" t="s">
        <v>192</v>
      </c>
      <c r="G194" s="40"/>
      <c r="H194" s="38" t="s">
        <v>9</v>
      </c>
      <c r="I194" s="38" t="s">
        <v>530</v>
      </c>
      <c r="J194" s="38">
        <f>IFERROR(VLOOKUP(C:C,'[1]S&amp;S'!$B:$F,5,0),)</f>
        <v>337</v>
      </c>
      <c r="K194" s="38">
        <f>IFERROR(VLOOKUP(A:A,[1]APO!$A:$F,6,0),)</f>
        <v>0</v>
      </c>
      <c r="L194" s="38">
        <f>IFERROR(VLOOKUP(C:C,'[1]TOTAL APO'!$A:$B,2,0),)</f>
        <v>0</v>
      </c>
      <c r="M194" s="38">
        <f>IFERROR(VLOOKUP(A:A,[1]Short!$A:$Q,17,0),)</f>
        <v>0</v>
      </c>
      <c r="N194" s="38">
        <f>IFERROR(VLOOKUP(C:C,[1]GIT!$B:$D,3,0),)</f>
        <v>337</v>
      </c>
      <c r="O194" s="38">
        <f>IFERROR(VLOOKUP(A:A,[2]Sheet1!$A:$B,2,0),)</f>
        <v>0</v>
      </c>
      <c r="P194" s="38">
        <f>IFERROR(VLOOKUP(A:A,[2]Sheet1!$A:$B,2,0),)</f>
        <v>0</v>
      </c>
      <c r="Q194" s="38">
        <f t="shared" si="2"/>
        <v>10</v>
      </c>
      <c r="R194" s="38"/>
      <c r="S194" s="38"/>
    </row>
    <row r="195" spans="1:19" x14ac:dyDescent="0.25">
      <c r="A195" s="38" t="str">
        <f>F195&amp;C195</f>
        <v>C04840063179</v>
      </c>
      <c r="B195" s="38" t="str">
        <f>IF(J195&gt;=SUMIFS(E:E,C:C,C195),"Good to go","Short in Qty")</f>
        <v>Good to go</v>
      </c>
      <c r="C195" s="40">
        <v>40063179</v>
      </c>
      <c r="D195" s="40" t="s">
        <v>280</v>
      </c>
      <c r="E195" s="67">
        <v>400</v>
      </c>
      <c r="F195" s="38" t="s">
        <v>8</v>
      </c>
      <c r="G195" s="40"/>
      <c r="H195" s="38" t="s">
        <v>9</v>
      </c>
      <c r="I195" s="38" t="s">
        <v>530</v>
      </c>
      <c r="J195" s="38">
        <f>IFERROR(VLOOKUP(C:C,'[1]S&amp;S'!$B:$F,5,0),)</f>
        <v>856</v>
      </c>
      <c r="K195" s="38">
        <f>IFERROR(VLOOKUP(A:A,[1]APO!$A:$F,6,0),)</f>
        <v>0</v>
      </c>
      <c r="L195" s="38">
        <f>IFERROR(VLOOKUP(C:C,'[1]TOTAL APO'!$A:$B,2,0),)</f>
        <v>0</v>
      </c>
      <c r="M195" s="38">
        <f>IFERROR(VLOOKUP(A:A,[1]Short!$A:$Q,17,0),)</f>
        <v>0</v>
      </c>
      <c r="N195" s="38">
        <f>IFERROR(VLOOKUP(C:C,[1]GIT!$B:$D,3,0),)</f>
        <v>800</v>
      </c>
      <c r="O195" s="38">
        <f>IFERROR(VLOOKUP(A:A,[2]Sheet1!$A:$B,2,0),)</f>
        <v>0</v>
      </c>
      <c r="P195" s="38">
        <f>IFERROR(VLOOKUP(A:A,[2]Sheet1!$A:$B,2,0),)</f>
        <v>0</v>
      </c>
      <c r="Q195" s="38">
        <f t="shared" ref="Q195:Q258" si="3">+E195-P195</f>
        <v>400</v>
      </c>
      <c r="R195" s="38"/>
      <c r="S195" s="38"/>
    </row>
    <row r="196" spans="1:19" hidden="1" x14ac:dyDescent="0.25">
      <c r="A196" s="38" t="str">
        <f>F196&amp;C196</f>
        <v>C04240063757</v>
      </c>
      <c r="B196" s="38" t="str">
        <f>IF(J196&gt;=SUMIFS(E:E,C:C,C196),"Good to go","Short in Qty")</f>
        <v>Good to go</v>
      </c>
      <c r="C196" s="40">
        <v>40063757</v>
      </c>
      <c r="D196" s="40" t="s">
        <v>261</v>
      </c>
      <c r="E196" s="66">
        <v>99</v>
      </c>
      <c r="F196" s="38" t="s">
        <v>10</v>
      </c>
      <c r="G196" s="40" t="s">
        <v>467</v>
      </c>
      <c r="H196" s="38" t="s">
        <v>9</v>
      </c>
      <c r="I196" s="38" t="s">
        <v>530</v>
      </c>
      <c r="J196" s="38">
        <f>IFERROR(VLOOKUP(C:C,'[1]S&amp;S'!$B:$F,5,0),)</f>
        <v>500</v>
      </c>
      <c r="K196" s="38">
        <f>IFERROR(VLOOKUP(A:A,[1]APO!$A:$F,6,0),)</f>
        <v>0</v>
      </c>
      <c r="L196" s="38">
        <f>IFERROR(VLOOKUP(C:C,'[1]TOTAL APO'!$A:$B,2,0),)</f>
        <v>0</v>
      </c>
      <c r="M196" s="38">
        <f>IFERROR(VLOOKUP(A:A,[1]Short!$A:$Q,17,0),)</f>
        <v>0</v>
      </c>
      <c r="N196" s="38">
        <f>IFERROR(VLOOKUP(C:C,[1]GIT!$B:$D,3,0),)</f>
        <v>500</v>
      </c>
      <c r="O196" s="38">
        <f>IFERROR(VLOOKUP(A:A,[2]Sheet1!$A:$B,2,0),)</f>
        <v>99</v>
      </c>
      <c r="P196" s="38">
        <f>IFERROR(VLOOKUP(A:A,[2]Sheet1!$A:$B,2,0),)</f>
        <v>99</v>
      </c>
      <c r="Q196" s="38">
        <f t="shared" si="3"/>
        <v>0</v>
      </c>
      <c r="R196" s="38"/>
      <c r="S196" s="38"/>
    </row>
    <row r="197" spans="1:19" x14ac:dyDescent="0.25">
      <c r="A197" s="38" t="str">
        <f>F197&amp;C197</f>
        <v>C04340064157</v>
      </c>
      <c r="B197" s="38" t="str">
        <f>IF(J197&gt;=SUMIFS(E:E,C:C,C197),"Good to go","Short in Qty")</f>
        <v>Good to go</v>
      </c>
      <c r="C197" s="40">
        <v>40064157</v>
      </c>
      <c r="D197" s="40" t="s">
        <v>495</v>
      </c>
      <c r="E197" s="67">
        <v>242</v>
      </c>
      <c r="F197" s="38" t="s">
        <v>11</v>
      </c>
      <c r="G197" s="40" t="s">
        <v>467</v>
      </c>
      <c r="H197" s="38" t="s">
        <v>9</v>
      </c>
      <c r="I197" s="38" t="s">
        <v>530</v>
      </c>
      <c r="J197" s="38">
        <f>IFERROR(VLOOKUP(C:C,'[1]S&amp;S'!$B:$F,5,0),)</f>
        <v>416</v>
      </c>
      <c r="K197" s="38">
        <f>IFERROR(VLOOKUP(A:A,[1]APO!$A:$F,6,0),)</f>
        <v>0</v>
      </c>
      <c r="L197" s="38">
        <f>IFERROR(VLOOKUP(C:C,'[1]TOTAL APO'!$A:$B,2,0),)</f>
        <v>0</v>
      </c>
      <c r="M197" s="38">
        <f>IFERROR(VLOOKUP(A:A,[1]Short!$A:$Q,17,0),)</f>
        <v>0</v>
      </c>
      <c r="N197" s="38">
        <f>IFERROR(VLOOKUP(C:C,[1]GIT!$B:$D,3,0),)</f>
        <v>416</v>
      </c>
      <c r="O197" s="38">
        <f>IFERROR(VLOOKUP(A:A,[2]Sheet1!$A:$B,2,0),)</f>
        <v>0</v>
      </c>
      <c r="P197" s="38">
        <f>IFERROR(VLOOKUP(A:A,[2]Sheet1!$A:$B,2,0),)</f>
        <v>0</v>
      </c>
      <c r="Q197" s="38">
        <f t="shared" si="3"/>
        <v>242</v>
      </c>
      <c r="R197" s="38"/>
      <c r="S197" s="38"/>
    </row>
    <row r="198" spans="1:19" x14ac:dyDescent="0.25">
      <c r="A198" s="38" t="str">
        <f>F198&amp;C198</f>
        <v>C04640063810</v>
      </c>
      <c r="B198" s="38" t="str">
        <f>IF(J198&gt;=SUMIFS(E:E,C:C,C198),"Good to go","Short in Qty")</f>
        <v>Good to go</v>
      </c>
      <c r="C198" s="40">
        <v>40063810</v>
      </c>
      <c r="D198" s="40" t="s">
        <v>496</v>
      </c>
      <c r="E198" s="66">
        <v>6</v>
      </c>
      <c r="F198" s="38" t="s">
        <v>13</v>
      </c>
      <c r="G198" s="40"/>
      <c r="H198" s="38" t="s">
        <v>9</v>
      </c>
      <c r="I198" s="38" t="s">
        <v>530</v>
      </c>
      <c r="J198" s="38">
        <f>IFERROR(VLOOKUP(C:C,'[1]S&amp;S'!$B:$F,5,0),)</f>
        <v>187</v>
      </c>
      <c r="K198" s="38">
        <f>IFERROR(VLOOKUP(A:A,[1]APO!$A:$F,6,0),)</f>
        <v>0</v>
      </c>
      <c r="L198" s="38">
        <f>IFERROR(VLOOKUP(C:C,'[1]TOTAL APO'!$A:$B,2,0),)</f>
        <v>0</v>
      </c>
      <c r="M198" s="38">
        <f>IFERROR(VLOOKUP(A:A,[1]Short!$A:$Q,17,0),)</f>
        <v>0</v>
      </c>
      <c r="N198" s="38">
        <f>IFERROR(VLOOKUP(C:C,[1]GIT!$B:$D,3,0),)</f>
        <v>150</v>
      </c>
      <c r="O198" s="38">
        <f>IFERROR(VLOOKUP(A:A,[2]Sheet1!$A:$B,2,0),)</f>
        <v>0</v>
      </c>
      <c r="P198" s="38">
        <f>IFERROR(VLOOKUP(A:A,[2]Sheet1!$A:$B,2,0),)</f>
        <v>0</v>
      </c>
      <c r="Q198" s="38">
        <f t="shared" si="3"/>
        <v>6</v>
      </c>
      <c r="R198" s="38"/>
      <c r="S198" s="38"/>
    </row>
    <row r="199" spans="1:19" hidden="1" x14ac:dyDescent="0.25">
      <c r="A199" s="38" t="str">
        <f>F199&amp;C199</f>
        <v>C04840063016</v>
      </c>
      <c r="B199" s="38" t="str">
        <f>IF(J199&gt;=SUMIFS(E:E,C:C,C199),"Good to go","Short in Qty")</f>
        <v>Good to go</v>
      </c>
      <c r="C199" s="40">
        <v>40063016</v>
      </c>
      <c r="D199" s="40" t="s">
        <v>230</v>
      </c>
      <c r="E199" s="66">
        <v>32</v>
      </c>
      <c r="F199" s="38" t="s">
        <v>8</v>
      </c>
      <c r="G199" s="40" t="s">
        <v>467</v>
      </c>
      <c r="H199" s="38" t="s">
        <v>9</v>
      </c>
      <c r="I199" s="38" t="s">
        <v>530</v>
      </c>
      <c r="J199" s="38">
        <f>IFERROR(VLOOKUP(C:C,'[1]S&amp;S'!$B:$F,5,0),)</f>
        <v>401</v>
      </c>
      <c r="K199" s="38">
        <f>IFERROR(VLOOKUP(A:A,[1]APO!$A:$F,6,0),)</f>
        <v>0</v>
      </c>
      <c r="L199" s="38">
        <f>IFERROR(VLOOKUP(C:C,'[1]TOTAL APO'!$A:$B,2,0),)</f>
        <v>0</v>
      </c>
      <c r="M199" s="38">
        <f>IFERROR(VLOOKUP(A:A,[1]Short!$A:$Q,17,0),)</f>
        <v>0</v>
      </c>
      <c r="N199" s="38">
        <f>IFERROR(VLOOKUP(C:C,[1]GIT!$B:$D,3,0),)</f>
        <v>0</v>
      </c>
      <c r="O199" s="38">
        <f>IFERROR(VLOOKUP(A:A,[2]Sheet1!$A:$B,2,0),)</f>
        <v>32</v>
      </c>
      <c r="P199" s="38">
        <f>IFERROR(VLOOKUP(A:A,[2]Sheet1!$A:$B,2,0),)</f>
        <v>32</v>
      </c>
      <c r="Q199" s="38">
        <f t="shared" si="3"/>
        <v>0</v>
      </c>
      <c r="R199" s="38"/>
      <c r="S199" s="38"/>
    </row>
    <row r="200" spans="1:19" hidden="1" x14ac:dyDescent="0.25">
      <c r="A200" s="38" t="str">
        <f>F200&amp;C200</f>
        <v>C04340063637</v>
      </c>
      <c r="B200" s="38" t="str">
        <f>IF(J200&gt;=SUMIFS(E:E,C:C,C200),"Good to go","Short in Qty")</f>
        <v>Good to go</v>
      </c>
      <c r="C200" s="40">
        <v>40063637</v>
      </c>
      <c r="D200" s="40" t="s">
        <v>275</v>
      </c>
      <c r="E200" s="66">
        <v>5</v>
      </c>
      <c r="F200" s="38" t="s">
        <v>11</v>
      </c>
      <c r="G200" s="40" t="s">
        <v>467</v>
      </c>
      <c r="H200" s="38" t="s">
        <v>9</v>
      </c>
      <c r="I200" s="38" t="s">
        <v>530</v>
      </c>
      <c r="J200" s="38">
        <f>IFERROR(VLOOKUP(C:C,'[1]S&amp;S'!$B:$F,5,0),)</f>
        <v>774</v>
      </c>
      <c r="K200" s="38">
        <f>IFERROR(VLOOKUP(A:A,[1]APO!$A:$F,6,0),)</f>
        <v>0</v>
      </c>
      <c r="L200" s="38">
        <f>IFERROR(VLOOKUP(C:C,'[1]TOTAL APO'!$A:$B,2,0),)</f>
        <v>0</v>
      </c>
      <c r="M200" s="38">
        <f>IFERROR(VLOOKUP(A:A,[1]Short!$A:$Q,17,0),)</f>
        <v>0</v>
      </c>
      <c r="N200" s="38">
        <f>IFERROR(VLOOKUP(C:C,[1]GIT!$B:$D,3,0),)</f>
        <v>0</v>
      </c>
      <c r="O200" s="38">
        <f>IFERROR(VLOOKUP(A:A,[2]Sheet1!$A:$B,2,0),)</f>
        <v>5</v>
      </c>
      <c r="P200" s="38">
        <f>IFERROR(VLOOKUP(A:A,[2]Sheet1!$A:$B,2,0),)</f>
        <v>5</v>
      </c>
      <c r="Q200" s="38">
        <f t="shared" si="3"/>
        <v>0</v>
      </c>
      <c r="R200" s="38"/>
      <c r="S200" s="38"/>
    </row>
    <row r="201" spans="1:19" hidden="1" x14ac:dyDescent="0.25">
      <c r="A201" s="38" t="str">
        <f>F201&amp;C201</f>
        <v>C04840064885</v>
      </c>
      <c r="B201" s="38" t="str">
        <f>IF(J201&gt;=SUMIFS(E:E,C:C,C201),"Good to go","Short in Qty")</f>
        <v>Good to go</v>
      </c>
      <c r="C201" s="40">
        <v>40064885</v>
      </c>
      <c r="D201" s="40" t="s">
        <v>279</v>
      </c>
      <c r="E201" s="66">
        <v>19</v>
      </c>
      <c r="F201" s="38" t="s">
        <v>8</v>
      </c>
      <c r="G201" s="40" t="s">
        <v>467</v>
      </c>
      <c r="H201" s="38" t="s">
        <v>9</v>
      </c>
      <c r="I201" s="38" t="s">
        <v>530</v>
      </c>
      <c r="J201" s="38">
        <f>IFERROR(VLOOKUP(C:C,'[1]S&amp;S'!$B:$F,5,0),)</f>
        <v>489</v>
      </c>
      <c r="K201" s="38">
        <f>IFERROR(VLOOKUP(A:A,[1]APO!$A:$F,6,0),)</f>
        <v>0</v>
      </c>
      <c r="L201" s="38">
        <f>IFERROR(VLOOKUP(C:C,'[1]TOTAL APO'!$A:$B,2,0),)</f>
        <v>0</v>
      </c>
      <c r="M201" s="38">
        <f>IFERROR(VLOOKUP(A:A,[1]Short!$A:$Q,17,0),)</f>
        <v>0</v>
      </c>
      <c r="N201" s="38">
        <f>IFERROR(VLOOKUP(C:C,[1]GIT!$B:$D,3,0),)</f>
        <v>0</v>
      </c>
      <c r="O201" s="38">
        <f>IFERROR(VLOOKUP(A:A,[2]Sheet1!$A:$B,2,0),)</f>
        <v>19</v>
      </c>
      <c r="P201" s="38">
        <f>IFERROR(VLOOKUP(A:A,[2]Sheet1!$A:$B,2,0),)</f>
        <v>19</v>
      </c>
      <c r="Q201" s="38">
        <f t="shared" si="3"/>
        <v>0</v>
      </c>
      <c r="R201" s="38"/>
      <c r="S201" s="38"/>
    </row>
    <row r="202" spans="1:19" hidden="1" x14ac:dyDescent="0.25">
      <c r="A202" s="38" t="str">
        <f>F202&amp;C202</f>
        <v>C04840064881</v>
      </c>
      <c r="B202" s="38" t="str">
        <f>IF(J202&gt;=SUMIFS(E:E,C:C,C202),"Good to go","Short in Qty")</f>
        <v>Good to go</v>
      </c>
      <c r="C202" s="40">
        <v>40064881</v>
      </c>
      <c r="D202" s="40" t="s">
        <v>281</v>
      </c>
      <c r="E202" s="66">
        <v>24</v>
      </c>
      <c r="F202" s="38" t="s">
        <v>8</v>
      </c>
      <c r="G202" s="40" t="s">
        <v>467</v>
      </c>
      <c r="H202" s="38" t="s">
        <v>9</v>
      </c>
      <c r="I202" s="38" t="s">
        <v>530</v>
      </c>
      <c r="J202" s="38">
        <f>IFERROR(VLOOKUP(C:C,'[1]S&amp;S'!$B:$F,5,0),)</f>
        <v>95</v>
      </c>
      <c r="K202" s="38">
        <f>IFERROR(VLOOKUP(A:A,[1]APO!$A:$F,6,0),)</f>
        <v>0</v>
      </c>
      <c r="L202" s="38">
        <f>IFERROR(VLOOKUP(C:C,'[1]TOTAL APO'!$A:$B,2,0),)</f>
        <v>0</v>
      </c>
      <c r="M202" s="38">
        <f>IFERROR(VLOOKUP(A:A,[1]Short!$A:$Q,17,0),)</f>
        <v>0</v>
      </c>
      <c r="N202" s="38">
        <f>IFERROR(VLOOKUP(C:C,[1]GIT!$B:$D,3,0),)</f>
        <v>0</v>
      </c>
      <c r="O202" s="38">
        <f>IFERROR(VLOOKUP(A:A,[2]Sheet1!$A:$B,2,0),)</f>
        <v>24</v>
      </c>
      <c r="P202" s="38">
        <f>IFERROR(VLOOKUP(A:A,[2]Sheet1!$A:$B,2,0),)</f>
        <v>24</v>
      </c>
      <c r="Q202" s="38">
        <f t="shared" si="3"/>
        <v>0</v>
      </c>
      <c r="R202" s="38"/>
      <c r="S202" s="38"/>
    </row>
    <row r="203" spans="1:19" x14ac:dyDescent="0.25">
      <c r="A203" s="38" t="str">
        <f>F203&amp;C203</f>
        <v>C04440063587</v>
      </c>
      <c r="B203" s="38" t="str">
        <f>IF(J203&gt;=SUMIFS(E:E,C:C,C203),"Good to go","Short in Qty")</f>
        <v>Good to go</v>
      </c>
      <c r="C203" s="40">
        <v>40063587</v>
      </c>
      <c r="D203" s="40" t="s">
        <v>497</v>
      </c>
      <c r="E203" s="66">
        <v>1</v>
      </c>
      <c r="F203" s="38" t="s">
        <v>191</v>
      </c>
      <c r="G203" s="40"/>
      <c r="H203" s="38" t="s">
        <v>9</v>
      </c>
      <c r="I203" s="38" t="s">
        <v>530</v>
      </c>
      <c r="J203" s="38">
        <f>IFERROR(VLOOKUP(C:C,'[1]S&amp;S'!$B:$F,5,0),)</f>
        <v>153</v>
      </c>
      <c r="K203" s="38">
        <f>IFERROR(VLOOKUP(A:A,[1]APO!$A:$F,6,0),)</f>
        <v>0</v>
      </c>
      <c r="L203" s="38">
        <f>IFERROR(VLOOKUP(C:C,'[1]TOTAL APO'!$A:$B,2,0),)</f>
        <v>0</v>
      </c>
      <c r="M203" s="38">
        <f>IFERROR(VLOOKUP(A:A,[1]Short!$A:$Q,17,0),)</f>
        <v>0</v>
      </c>
      <c r="N203" s="38">
        <f>IFERROR(VLOOKUP(C:C,[1]GIT!$B:$D,3,0),)</f>
        <v>0</v>
      </c>
      <c r="O203" s="38">
        <f>IFERROR(VLOOKUP(A:A,[2]Sheet1!$A:$B,2,0),)</f>
        <v>0</v>
      </c>
      <c r="P203" s="38">
        <f>IFERROR(VLOOKUP(A:A,[2]Sheet1!$A:$B,2,0),)</f>
        <v>0</v>
      </c>
      <c r="Q203" s="38">
        <f t="shared" si="3"/>
        <v>1</v>
      </c>
      <c r="R203" s="38"/>
      <c r="S203" s="38"/>
    </row>
    <row r="204" spans="1:19" x14ac:dyDescent="0.25">
      <c r="A204" s="38" t="str">
        <f>F204&amp;C204</f>
        <v>C04740063587</v>
      </c>
      <c r="B204" s="38" t="str">
        <f>IF(J204&gt;=SUMIFS(E:E,C:C,C204),"Good to go","Short in Qty")</f>
        <v>Good to go</v>
      </c>
      <c r="C204" s="40">
        <v>40063587</v>
      </c>
      <c r="D204" s="40" t="s">
        <v>497</v>
      </c>
      <c r="E204" s="66">
        <v>1</v>
      </c>
      <c r="F204" s="38" t="s">
        <v>192</v>
      </c>
      <c r="G204" s="40"/>
      <c r="H204" s="38" t="s">
        <v>9</v>
      </c>
      <c r="I204" s="38" t="s">
        <v>530</v>
      </c>
      <c r="J204" s="38">
        <f>IFERROR(VLOOKUP(C:C,'[1]S&amp;S'!$B:$F,5,0),)</f>
        <v>153</v>
      </c>
      <c r="K204" s="38">
        <f>IFERROR(VLOOKUP(A:A,[1]APO!$A:$F,6,0),)</f>
        <v>0</v>
      </c>
      <c r="L204" s="38">
        <f>IFERROR(VLOOKUP(C:C,'[1]TOTAL APO'!$A:$B,2,0),)</f>
        <v>0</v>
      </c>
      <c r="M204" s="38">
        <f>IFERROR(VLOOKUP(A:A,[1]Short!$A:$Q,17,0),)</f>
        <v>0</v>
      </c>
      <c r="N204" s="38">
        <f>IFERROR(VLOOKUP(C:C,[1]GIT!$B:$D,3,0),)</f>
        <v>0</v>
      </c>
      <c r="O204" s="38">
        <f>IFERROR(VLOOKUP(A:A,[2]Sheet1!$A:$B,2,0),)</f>
        <v>0</v>
      </c>
      <c r="P204" s="38">
        <f>IFERROR(VLOOKUP(A:A,[2]Sheet1!$A:$B,2,0),)</f>
        <v>0</v>
      </c>
      <c r="Q204" s="38">
        <f t="shared" si="3"/>
        <v>1</v>
      </c>
      <c r="R204" s="38"/>
      <c r="S204" s="38"/>
    </row>
    <row r="205" spans="1:19" hidden="1" x14ac:dyDescent="0.25">
      <c r="A205" s="38" t="str">
        <f>F205&amp;C205</f>
        <v>C13140050107</v>
      </c>
      <c r="B205" s="38" t="str">
        <f>IF(J205&gt;=SUMIFS(E:E,C:C,C205),"Good to go","Short in Qty")</f>
        <v>Short in Qty</v>
      </c>
      <c r="C205" s="40">
        <v>40050107</v>
      </c>
      <c r="D205" s="40" t="s">
        <v>254</v>
      </c>
      <c r="E205" s="66">
        <v>100</v>
      </c>
      <c r="F205" s="38" t="s">
        <v>17</v>
      </c>
      <c r="G205" s="40" t="s">
        <v>596</v>
      </c>
      <c r="H205" s="38" t="s">
        <v>594</v>
      </c>
      <c r="I205" s="38" t="s">
        <v>595</v>
      </c>
      <c r="J205" s="38">
        <f>IFERROR(VLOOKUP(C:C,'[1]S&amp;S'!$B:$F,5,0),)</f>
        <v>0</v>
      </c>
      <c r="K205" s="38">
        <f>IFERROR(VLOOKUP(A:A,[1]APO!$A:$F,6,0),)</f>
        <v>0</v>
      </c>
      <c r="L205" s="38">
        <f>IFERROR(VLOOKUP(C:C,'[1]TOTAL APO'!$A:$B,2,0),)</f>
        <v>0</v>
      </c>
      <c r="M205" s="38">
        <f>IFERROR(VLOOKUP(A:A,[1]Short!$A:$Q,17,0),)</f>
        <v>0</v>
      </c>
      <c r="N205" s="38">
        <f>IFERROR(VLOOKUP(C:C,[1]GIT!$B:$D,3,0),)</f>
        <v>0</v>
      </c>
      <c r="O205" s="38">
        <f>IFERROR(VLOOKUP(A:A,[2]Sheet1!$A:$B,2,0),)</f>
        <v>0</v>
      </c>
      <c r="P205" s="38">
        <f>IFERROR(VLOOKUP(A:A,[2]Sheet1!$A:$B,2,0),)</f>
        <v>0</v>
      </c>
      <c r="Q205" s="38">
        <f t="shared" si="3"/>
        <v>100</v>
      </c>
      <c r="R205" s="38"/>
      <c r="S205" s="38"/>
    </row>
    <row r="206" spans="1:19" x14ac:dyDescent="0.25">
      <c r="A206" s="38" t="str">
        <f>F206&amp;C206</f>
        <v>C04240064999</v>
      </c>
      <c r="B206" s="38" t="str">
        <f>IF(J206&gt;=SUMIFS(E:E,C:C,C206),"Good to go","Short in Qty")</f>
        <v>Good to go</v>
      </c>
      <c r="C206" s="40">
        <v>40064999</v>
      </c>
      <c r="D206" s="40" t="s">
        <v>436</v>
      </c>
      <c r="E206" s="66">
        <v>55</v>
      </c>
      <c r="F206" s="38" t="s">
        <v>10</v>
      </c>
      <c r="G206" s="40" t="s">
        <v>467</v>
      </c>
      <c r="H206" s="38" t="s">
        <v>9</v>
      </c>
      <c r="I206" s="38" t="s">
        <v>530</v>
      </c>
      <c r="J206" s="38">
        <f>IFERROR(VLOOKUP(C:C,'[1]S&amp;S'!$B:$F,5,0),)</f>
        <v>144</v>
      </c>
      <c r="K206" s="38">
        <f>IFERROR(VLOOKUP(A:A,[1]APO!$A:$F,6,0),)</f>
        <v>0</v>
      </c>
      <c r="L206" s="38">
        <f>IFERROR(VLOOKUP(C:C,'[1]TOTAL APO'!$A:$B,2,0),)</f>
        <v>0</v>
      </c>
      <c r="M206" s="38">
        <f>IFERROR(VLOOKUP(A:A,[1]Short!$A:$Q,17,0),)</f>
        <v>0</v>
      </c>
      <c r="N206" s="38">
        <f>IFERROR(VLOOKUP(C:C,[1]GIT!$B:$D,3,0),)</f>
        <v>144</v>
      </c>
      <c r="O206" s="38">
        <f>IFERROR(VLOOKUP(A:A,[2]Sheet1!$A:$B,2,0),)</f>
        <v>0</v>
      </c>
      <c r="P206" s="38">
        <f>IFERROR(VLOOKUP(A:A,[2]Sheet1!$A:$B,2,0),)</f>
        <v>0</v>
      </c>
      <c r="Q206" s="38">
        <f t="shared" si="3"/>
        <v>55</v>
      </c>
      <c r="R206" s="38"/>
      <c r="S206" s="38"/>
    </row>
    <row r="207" spans="1:19" x14ac:dyDescent="0.25">
      <c r="A207" s="38" t="str">
        <f>F207&amp;C207</f>
        <v>C04340064999</v>
      </c>
      <c r="B207" s="38" t="str">
        <f>IF(J207&gt;=SUMIFS(E:E,C:C,C207),"Good to go","Short in Qty")</f>
        <v>Good to go</v>
      </c>
      <c r="C207" s="40">
        <v>40064999</v>
      </c>
      <c r="D207" s="40" t="s">
        <v>436</v>
      </c>
      <c r="E207" s="66">
        <v>55</v>
      </c>
      <c r="F207" s="38" t="s">
        <v>11</v>
      </c>
      <c r="G207" s="40" t="s">
        <v>467</v>
      </c>
      <c r="H207" s="38" t="s">
        <v>9</v>
      </c>
      <c r="I207" s="38" t="s">
        <v>530</v>
      </c>
      <c r="J207" s="38">
        <f>IFERROR(VLOOKUP(C:C,'[1]S&amp;S'!$B:$F,5,0),)</f>
        <v>144</v>
      </c>
      <c r="K207" s="38">
        <f>IFERROR(VLOOKUP(A:A,[1]APO!$A:$F,6,0),)</f>
        <v>0</v>
      </c>
      <c r="L207" s="38">
        <f>IFERROR(VLOOKUP(C:C,'[1]TOTAL APO'!$A:$B,2,0),)</f>
        <v>0</v>
      </c>
      <c r="M207" s="38">
        <f>IFERROR(VLOOKUP(A:A,[1]Short!$A:$Q,17,0),)</f>
        <v>0</v>
      </c>
      <c r="N207" s="38">
        <f>IFERROR(VLOOKUP(C:C,[1]GIT!$B:$D,3,0),)</f>
        <v>144</v>
      </c>
      <c r="O207" s="38">
        <f>IFERROR(VLOOKUP(A:A,[2]Sheet1!$A:$B,2,0),)</f>
        <v>0</v>
      </c>
      <c r="P207" s="38">
        <f>IFERROR(VLOOKUP(A:A,[2]Sheet1!$A:$B,2,0),)</f>
        <v>0</v>
      </c>
      <c r="Q207" s="38">
        <f t="shared" si="3"/>
        <v>55</v>
      </c>
      <c r="R207" s="38"/>
      <c r="S207" s="38"/>
    </row>
    <row r="208" spans="1:19" x14ac:dyDescent="0.25">
      <c r="A208" s="38" t="str">
        <f>F208&amp;C208</f>
        <v>C04640065040</v>
      </c>
      <c r="B208" s="38" t="str">
        <f>IF(J208&gt;=SUMIFS(E:E,C:C,C208),"Good to go","Short in Qty")</f>
        <v>Good to go</v>
      </c>
      <c r="C208" s="40">
        <v>40065040</v>
      </c>
      <c r="D208" s="40" t="s">
        <v>498</v>
      </c>
      <c r="E208" s="66">
        <v>2</v>
      </c>
      <c r="F208" s="38" t="s">
        <v>13</v>
      </c>
      <c r="G208" s="40"/>
      <c r="H208" s="38" t="s">
        <v>9</v>
      </c>
      <c r="I208" s="38" t="s">
        <v>530</v>
      </c>
      <c r="J208" s="38">
        <f>IFERROR(VLOOKUP(C:C,'[1]S&amp;S'!$B:$F,5,0),)</f>
        <v>164</v>
      </c>
      <c r="K208" s="38">
        <f>IFERROR(VLOOKUP(A:A,[1]APO!$A:$F,6,0),)</f>
        <v>0</v>
      </c>
      <c r="L208" s="38">
        <f>IFERROR(VLOOKUP(C:C,'[1]TOTAL APO'!$A:$B,2,0),)</f>
        <v>0</v>
      </c>
      <c r="M208" s="38">
        <f>IFERROR(VLOOKUP(A:A,[1]Short!$A:$Q,17,0),)</f>
        <v>0</v>
      </c>
      <c r="N208" s="38">
        <f>IFERROR(VLOOKUP(C:C,[1]GIT!$B:$D,3,0),)</f>
        <v>160</v>
      </c>
      <c r="O208" s="38">
        <f>IFERROR(VLOOKUP(A:A,[2]Sheet1!$A:$B,2,0),)</f>
        <v>0</v>
      </c>
      <c r="P208" s="38">
        <f>IFERROR(VLOOKUP(A:A,[2]Sheet1!$A:$B,2,0),)</f>
        <v>0</v>
      </c>
      <c r="Q208" s="38">
        <f t="shared" si="3"/>
        <v>2</v>
      </c>
      <c r="R208" s="38"/>
      <c r="S208" s="38"/>
    </row>
    <row r="209" spans="1:19" hidden="1" x14ac:dyDescent="0.25">
      <c r="A209" s="38" t="str">
        <f>F209&amp;C209</f>
        <v>C04240050411</v>
      </c>
      <c r="B209" s="38" t="str">
        <f>IF(J209&gt;=SUMIFS(E:E,C:C,C209),"Good to go","Short in Qty")</f>
        <v>Good to go</v>
      </c>
      <c r="C209" s="40">
        <v>40050411</v>
      </c>
      <c r="D209" s="40" t="s">
        <v>296</v>
      </c>
      <c r="E209" s="66">
        <v>101</v>
      </c>
      <c r="F209" s="38" t="s">
        <v>10</v>
      </c>
      <c r="G209" s="40" t="s">
        <v>467</v>
      </c>
      <c r="H209" s="38" t="s">
        <v>9</v>
      </c>
      <c r="I209" s="38" t="s">
        <v>530</v>
      </c>
      <c r="J209" s="38">
        <f>IFERROR(VLOOKUP(C:C,'[1]S&amp;S'!$B:$F,5,0),)</f>
        <v>994.00633333333303</v>
      </c>
      <c r="K209" s="38">
        <f>IFERROR(VLOOKUP(A:A,[1]APO!$A:$F,6,0),)</f>
        <v>0</v>
      </c>
      <c r="L209" s="38">
        <f>IFERROR(VLOOKUP(C:C,'[1]TOTAL APO'!$A:$B,2,0),)</f>
        <v>0</v>
      </c>
      <c r="M209" s="38">
        <f>IFERROR(VLOOKUP(A:A,[1]Short!$A:$Q,17,0),)</f>
        <v>0</v>
      </c>
      <c r="N209" s="38">
        <f>IFERROR(VLOOKUP(C:C,[1]GIT!$B:$D,3,0),)</f>
        <v>0</v>
      </c>
      <c r="O209" s="38">
        <f>IFERROR(VLOOKUP(A:A,[2]Sheet1!$A:$B,2,0),)</f>
        <v>101</v>
      </c>
      <c r="P209" s="38">
        <f>IFERROR(VLOOKUP(A:A,[2]Sheet1!$A:$B,2,0),)</f>
        <v>101</v>
      </c>
      <c r="Q209" s="38">
        <f t="shared" si="3"/>
        <v>0</v>
      </c>
      <c r="R209" s="38"/>
      <c r="S209" s="38"/>
    </row>
    <row r="210" spans="1:19" hidden="1" x14ac:dyDescent="0.25">
      <c r="A210" s="38" t="str">
        <f>F210&amp;C210</f>
        <v>C04340065039</v>
      </c>
      <c r="B210" s="38" t="str">
        <f>IF(J210&gt;=SUMIFS(E:E,C:C,C210),"Good to go","Short in Qty")</f>
        <v>Good to go</v>
      </c>
      <c r="C210" s="40">
        <v>40065039</v>
      </c>
      <c r="D210" s="40" t="s">
        <v>478</v>
      </c>
      <c r="E210" s="66">
        <v>10</v>
      </c>
      <c r="F210" s="38" t="s">
        <v>11</v>
      </c>
      <c r="G210" s="40" t="s">
        <v>467</v>
      </c>
      <c r="H210" s="38" t="s">
        <v>9</v>
      </c>
      <c r="I210" s="38" t="s">
        <v>530</v>
      </c>
      <c r="J210" s="38">
        <f>IFERROR(VLOOKUP(C:C,'[1]S&amp;S'!$B:$F,5,0),)</f>
        <v>674</v>
      </c>
      <c r="K210" s="38">
        <f>IFERROR(VLOOKUP(A:A,[1]APO!$A:$F,6,0),)</f>
        <v>0</v>
      </c>
      <c r="L210" s="38">
        <f>IFERROR(VLOOKUP(C:C,'[1]TOTAL APO'!$A:$B,2,0),)</f>
        <v>0</v>
      </c>
      <c r="M210" s="38">
        <f>IFERROR(VLOOKUP(A:A,[1]Short!$A:$Q,17,0),)</f>
        <v>0</v>
      </c>
      <c r="N210" s="38">
        <f>IFERROR(VLOOKUP(C:C,[1]GIT!$B:$D,3,0),)</f>
        <v>674</v>
      </c>
      <c r="O210" s="38">
        <f>IFERROR(VLOOKUP(A:A,[2]Sheet1!$A:$B,2,0),)</f>
        <v>10</v>
      </c>
      <c r="P210" s="38">
        <f>IFERROR(VLOOKUP(A:A,[2]Sheet1!$A:$B,2,0),)</f>
        <v>10</v>
      </c>
      <c r="Q210" s="38">
        <f t="shared" si="3"/>
        <v>0</v>
      </c>
      <c r="R210" s="38"/>
      <c r="S210" s="38"/>
    </row>
    <row r="211" spans="1:19" x14ac:dyDescent="0.25">
      <c r="A211" s="38" t="str">
        <f>F211&amp;C211</f>
        <v>C04740065039</v>
      </c>
      <c r="B211" s="38" t="str">
        <f>IF(J211&gt;=SUMIFS(E:E,C:C,C211),"Good to go","Short in Qty")</f>
        <v>Good to go</v>
      </c>
      <c r="C211" s="40">
        <v>40065039</v>
      </c>
      <c r="D211" s="40" t="s">
        <v>478</v>
      </c>
      <c r="E211" s="66">
        <v>1</v>
      </c>
      <c r="F211" s="38" t="s">
        <v>192</v>
      </c>
      <c r="G211" s="40"/>
      <c r="H211" s="38" t="s">
        <v>9</v>
      </c>
      <c r="I211" s="38" t="s">
        <v>530</v>
      </c>
      <c r="J211" s="38">
        <f>IFERROR(VLOOKUP(C:C,'[1]S&amp;S'!$B:$F,5,0),)</f>
        <v>674</v>
      </c>
      <c r="K211" s="38">
        <f>IFERROR(VLOOKUP(A:A,[1]APO!$A:$F,6,0),)</f>
        <v>0</v>
      </c>
      <c r="L211" s="38">
        <f>IFERROR(VLOOKUP(C:C,'[1]TOTAL APO'!$A:$B,2,0),)</f>
        <v>0</v>
      </c>
      <c r="M211" s="38">
        <f>IFERROR(VLOOKUP(A:A,[1]Short!$A:$Q,17,0),)</f>
        <v>0</v>
      </c>
      <c r="N211" s="38">
        <f>IFERROR(VLOOKUP(C:C,[1]GIT!$B:$D,3,0),)</f>
        <v>674</v>
      </c>
      <c r="O211" s="38">
        <f>IFERROR(VLOOKUP(A:A,[2]Sheet1!$A:$B,2,0),)</f>
        <v>0</v>
      </c>
      <c r="P211" s="38">
        <f>IFERROR(VLOOKUP(A:A,[2]Sheet1!$A:$B,2,0),)</f>
        <v>0</v>
      </c>
      <c r="Q211" s="38">
        <f t="shared" si="3"/>
        <v>1</v>
      </c>
      <c r="R211" s="38"/>
      <c r="S211" s="38"/>
    </row>
    <row r="212" spans="1:19" hidden="1" x14ac:dyDescent="0.25">
      <c r="A212" s="38" t="str">
        <f>F212&amp;C212</f>
        <v>C04840065346</v>
      </c>
      <c r="B212" s="38" t="str">
        <f>IF(J212&gt;=SUMIFS(E:E,C:C,C212),"Good to go","Short in Qty")</f>
        <v>Good to go</v>
      </c>
      <c r="C212" s="40">
        <v>40065346</v>
      </c>
      <c r="D212" s="40" t="s">
        <v>569</v>
      </c>
      <c r="E212" s="66">
        <v>5</v>
      </c>
      <c r="F212" s="38" t="s">
        <v>8</v>
      </c>
      <c r="G212" s="40" t="s">
        <v>467</v>
      </c>
      <c r="H212" s="38" t="s">
        <v>594</v>
      </c>
      <c r="I212" s="38" t="s">
        <v>595</v>
      </c>
      <c r="J212" s="38">
        <f>IFERROR(VLOOKUP(C:C,'[1]S&amp;S'!$B:$F,5,0),)</f>
        <v>61</v>
      </c>
      <c r="K212" s="38">
        <f>IFERROR(VLOOKUP(A:A,[1]APO!$A:$F,6,0),)</f>
        <v>0</v>
      </c>
      <c r="L212" s="38">
        <f>IFERROR(VLOOKUP(C:C,'[1]TOTAL APO'!$A:$B,2,0),)</f>
        <v>0</v>
      </c>
      <c r="M212" s="38">
        <f>IFERROR(VLOOKUP(A:A,[1]Short!$A:$Q,17,0),)</f>
        <v>0</v>
      </c>
      <c r="N212" s="38">
        <f>IFERROR(VLOOKUP(C:C,[1]GIT!$B:$D,3,0),)</f>
        <v>0</v>
      </c>
      <c r="O212" s="38">
        <f>IFERROR(VLOOKUP(A:A,[2]Sheet1!$A:$B,2,0),)</f>
        <v>5</v>
      </c>
      <c r="P212" s="38">
        <f>IFERROR(VLOOKUP(A:A,[2]Sheet1!$A:$B,2,0),)</f>
        <v>5</v>
      </c>
      <c r="Q212" s="38">
        <f t="shared" si="3"/>
        <v>0</v>
      </c>
      <c r="R212" s="38"/>
      <c r="S212" s="38"/>
    </row>
    <row r="213" spans="1:19" x14ac:dyDescent="0.25">
      <c r="A213" s="38" t="str">
        <f>F213&amp;C213</f>
        <v>C04440050204</v>
      </c>
      <c r="B213" s="38" t="str">
        <f>IF(J213&gt;=SUMIFS(E:E,C:C,C213),"Good to go","Short in Qty")</f>
        <v>Good to go</v>
      </c>
      <c r="C213" s="40">
        <v>40050204</v>
      </c>
      <c r="D213" s="40" t="s">
        <v>218</v>
      </c>
      <c r="E213" s="66">
        <v>2</v>
      </c>
      <c r="F213" s="38" t="s">
        <v>191</v>
      </c>
      <c r="G213" s="40"/>
      <c r="H213" s="38" t="s">
        <v>9</v>
      </c>
      <c r="I213" s="38" t="s">
        <v>530</v>
      </c>
      <c r="J213" s="38">
        <f>IFERROR(VLOOKUP(C:C,'[1]S&amp;S'!$B:$F,5,0),)</f>
        <v>24</v>
      </c>
      <c r="K213" s="38">
        <f>IFERROR(VLOOKUP(A:A,[1]APO!$A:$F,6,0),)</f>
        <v>0</v>
      </c>
      <c r="L213" s="38">
        <f>IFERROR(VLOOKUP(C:C,'[1]TOTAL APO'!$A:$B,2,0),)</f>
        <v>0</v>
      </c>
      <c r="M213" s="38">
        <f>IFERROR(VLOOKUP(A:A,[1]Short!$A:$Q,17,0),)</f>
        <v>0</v>
      </c>
      <c r="N213" s="38">
        <f>IFERROR(VLOOKUP(C:C,[1]GIT!$B:$D,3,0),)</f>
        <v>18</v>
      </c>
      <c r="O213" s="38">
        <f>IFERROR(VLOOKUP(A:A,[2]Sheet1!$A:$B,2,0),)</f>
        <v>0</v>
      </c>
      <c r="P213" s="38">
        <f>IFERROR(VLOOKUP(A:A,[2]Sheet1!$A:$B,2,0),)</f>
        <v>0</v>
      </c>
      <c r="Q213" s="38">
        <f t="shared" si="3"/>
        <v>2</v>
      </c>
      <c r="R213" s="38"/>
      <c r="S213" s="38"/>
    </row>
    <row r="214" spans="1:19" x14ac:dyDescent="0.25">
      <c r="A214" s="38" t="str">
        <f>F214&amp;C214</f>
        <v>C04740050204</v>
      </c>
      <c r="B214" s="38" t="str">
        <f>IF(J214&gt;=SUMIFS(E:E,C:C,C214),"Good to go","Short in Qty")</f>
        <v>Good to go</v>
      </c>
      <c r="C214" s="40">
        <v>40050204</v>
      </c>
      <c r="D214" s="40" t="s">
        <v>218</v>
      </c>
      <c r="E214" s="66">
        <v>1</v>
      </c>
      <c r="F214" s="38" t="s">
        <v>192</v>
      </c>
      <c r="G214" s="40"/>
      <c r="H214" s="38" t="s">
        <v>9</v>
      </c>
      <c r="I214" s="38" t="s">
        <v>530</v>
      </c>
      <c r="J214" s="38">
        <f>IFERROR(VLOOKUP(C:C,'[1]S&amp;S'!$B:$F,5,0),)</f>
        <v>24</v>
      </c>
      <c r="K214" s="38">
        <f>IFERROR(VLOOKUP(A:A,[1]APO!$A:$F,6,0),)</f>
        <v>0</v>
      </c>
      <c r="L214" s="38">
        <f>IFERROR(VLOOKUP(C:C,'[1]TOTAL APO'!$A:$B,2,0),)</f>
        <v>0</v>
      </c>
      <c r="M214" s="38">
        <f>IFERROR(VLOOKUP(A:A,[1]Short!$A:$Q,17,0),)</f>
        <v>0</v>
      </c>
      <c r="N214" s="38">
        <f>IFERROR(VLOOKUP(C:C,[1]GIT!$B:$D,3,0),)</f>
        <v>18</v>
      </c>
      <c r="O214" s="38">
        <f>IFERROR(VLOOKUP(A:A,[2]Sheet1!$A:$B,2,0),)</f>
        <v>0</v>
      </c>
      <c r="P214" s="38">
        <f>IFERROR(VLOOKUP(A:A,[2]Sheet1!$A:$B,2,0),)</f>
        <v>0</v>
      </c>
      <c r="Q214" s="38">
        <f t="shared" si="3"/>
        <v>1</v>
      </c>
      <c r="R214" s="38"/>
      <c r="S214" s="38"/>
    </row>
    <row r="215" spans="1:19" hidden="1" x14ac:dyDescent="0.25">
      <c r="A215" s="38" t="str">
        <f>F215&amp;C215</f>
        <v>C04340050301</v>
      </c>
      <c r="B215" s="38" t="str">
        <f>IF(J215&gt;=SUMIFS(E:E,C:C,C215),"Good to go","Short in Qty")</f>
        <v>Short in Qty</v>
      </c>
      <c r="C215" s="40">
        <v>40050301</v>
      </c>
      <c r="D215" s="40" t="s">
        <v>558</v>
      </c>
      <c r="E215" s="66">
        <v>10</v>
      </c>
      <c r="F215" s="38" t="s">
        <v>11</v>
      </c>
      <c r="G215" s="40" t="s">
        <v>596</v>
      </c>
      <c r="H215" s="38" t="s">
        <v>594</v>
      </c>
      <c r="I215" s="38" t="s">
        <v>595</v>
      </c>
      <c r="J215" s="38">
        <f>IFERROR(VLOOKUP(C:C,'[1]S&amp;S'!$B:$F,5,0),)</f>
        <v>3.3333333333E-4</v>
      </c>
      <c r="K215" s="38">
        <f>IFERROR(VLOOKUP(A:A,[1]APO!$A:$F,6,0),)</f>
        <v>0</v>
      </c>
      <c r="L215" s="38">
        <f>IFERROR(VLOOKUP(C:C,'[1]TOTAL APO'!$A:$B,2,0),)</f>
        <v>0</v>
      </c>
      <c r="M215" s="38">
        <f>IFERROR(VLOOKUP(A:A,[1]Short!$A:$Q,17,0),)</f>
        <v>0</v>
      </c>
      <c r="N215" s="38">
        <f>IFERROR(VLOOKUP(C:C,[1]GIT!$B:$D,3,0),)</f>
        <v>0</v>
      </c>
      <c r="O215" s="38">
        <f>IFERROR(VLOOKUP(A:A,[2]Sheet1!$A:$B,2,0),)</f>
        <v>0</v>
      </c>
      <c r="P215" s="38">
        <f>IFERROR(VLOOKUP(A:A,[2]Sheet1!$A:$B,2,0),)</f>
        <v>0</v>
      </c>
      <c r="Q215" s="38">
        <f t="shared" si="3"/>
        <v>10</v>
      </c>
      <c r="R215" s="38"/>
      <c r="S215" s="38"/>
    </row>
    <row r="216" spans="1:19" hidden="1" x14ac:dyDescent="0.25">
      <c r="A216" s="38" t="str">
        <f>F216&amp;C216</f>
        <v>C04240063747</v>
      </c>
      <c r="B216" s="38" t="str">
        <f>IF(J216&gt;=SUMIFS(E:E,C:C,C216),"Good to go","Short in Qty")</f>
        <v>Good to go</v>
      </c>
      <c r="C216" s="40">
        <v>40063747</v>
      </c>
      <c r="D216" s="40" t="s">
        <v>246</v>
      </c>
      <c r="E216" s="66">
        <v>62</v>
      </c>
      <c r="F216" s="38" t="s">
        <v>10</v>
      </c>
      <c r="G216" s="40" t="s">
        <v>467</v>
      </c>
      <c r="H216" s="38" t="s">
        <v>9</v>
      </c>
      <c r="I216" s="38" t="s">
        <v>530</v>
      </c>
      <c r="J216" s="38">
        <f>IFERROR(VLOOKUP(C:C,'[1]S&amp;S'!$B:$F,5,0),)</f>
        <v>4797</v>
      </c>
      <c r="K216" s="38">
        <f>IFERROR(VLOOKUP(A:A,[1]APO!$A:$F,6,0),)</f>
        <v>0</v>
      </c>
      <c r="L216" s="38">
        <f>IFERROR(VLOOKUP(C:C,'[1]TOTAL APO'!$A:$B,2,0),)</f>
        <v>0</v>
      </c>
      <c r="M216" s="38">
        <f>IFERROR(VLOOKUP(A:A,[1]Short!$A:$Q,17,0),)</f>
        <v>0</v>
      </c>
      <c r="N216" s="38">
        <f>IFERROR(VLOOKUP(C:C,[1]GIT!$B:$D,3,0),)</f>
        <v>0</v>
      </c>
      <c r="O216" s="38">
        <f>IFERROR(VLOOKUP(A:A,[2]Sheet1!$A:$B,2,0),)</f>
        <v>62</v>
      </c>
      <c r="P216" s="38">
        <f>IFERROR(VLOOKUP(A:A,[2]Sheet1!$A:$B,2,0),)</f>
        <v>62</v>
      </c>
      <c r="Q216" s="38">
        <f t="shared" si="3"/>
        <v>0</v>
      </c>
      <c r="R216" s="38"/>
      <c r="S216" s="38"/>
    </row>
    <row r="217" spans="1:19" x14ac:dyDescent="0.25">
      <c r="A217" s="38" t="str">
        <f>F217&amp;C217</f>
        <v>KT0240050696</v>
      </c>
      <c r="B217" s="38" t="str">
        <f>IF(J217&gt;=SUMIFS(E:E,C:C,C217),"Good to go","Short in Qty")</f>
        <v>Short in Qty</v>
      </c>
      <c r="C217" s="40">
        <v>40050696</v>
      </c>
      <c r="D217" s="40" t="s">
        <v>259</v>
      </c>
      <c r="E217" s="66">
        <v>55</v>
      </c>
      <c r="F217" s="38" t="s">
        <v>202</v>
      </c>
      <c r="G217" s="40" t="s">
        <v>255</v>
      </c>
      <c r="H217" s="38" t="s">
        <v>203</v>
      </c>
      <c r="I217" s="38" t="s">
        <v>368</v>
      </c>
      <c r="J217" s="38">
        <f>IFERROR(VLOOKUP(C:C,'[1]S&amp;S'!$B:$F,5,0),)</f>
        <v>1.0086666666666699</v>
      </c>
      <c r="K217" s="38">
        <f>IFERROR(VLOOKUP(A:A,[1]APO!$A:$F,6,0),)</f>
        <v>0</v>
      </c>
      <c r="L217" s="38">
        <f>IFERROR(VLOOKUP(C:C,'[1]TOTAL APO'!$A:$B,2,0),)</f>
        <v>0</v>
      </c>
      <c r="M217" s="38">
        <f>IFERROR(VLOOKUP(A:A,[1]Short!$A:$Q,17,0),)</f>
        <v>0</v>
      </c>
      <c r="N217" s="38">
        <f>IFERROR(VLOOKUP(C:C,[1]GIT!$B:$D,3,0),)</f>
        <v>0</v>
      </c>
      <c r="O217" s="38">
        <f>IFERROR(VLOOKUP(A:A,[2]Sheet1!$A:$B,2,0),)</f>
        <v>0</v>
      </c>
      <c r="P217" s="38">
        <f>IFERROR(VLOOKUP(A:A,[2]Sheet1!$A:$B,2,0),)</f>
        <v>0</v>
      </c>
      <c r="Q217" s="38">
        <f t="shared" si="3"/>
        <v>55</v>
      </c>
      <c r="R217" s="38"/>
      <c r="S217" s="38"/>
    </row>
    <row r="218" spans="1:19" x14ac:dyDescent="0.25">
      <c r="A218" s="38" t="str">
        <f>F218&amp;C218</f>
        <v>C04440064503</v>
      </c>
      <c r="B218" s="38" t="str">
        <f>IF(J218&gt;=SUMIFS(E:E,C:C,C218),"Good to go","Short in Qty")</f>
        <v>Good to go</v>
      </c>
      <c r="C218" s="40">
        <v>40064503</v>
      </c>
      <c r="D218" s="40" t="s">
        <v>352</v>
      </c>
      <c r="E218" s="66">
        <v>1</v>
      </c>
      <c r="F218" s="38" t="s">
        <v>191</v>
      </c>
      <c r="G218" s="40"/>
      <c r="H218" s="38" t="s">
        <v>9</v>
      </c>
      <c r="I218" s="38" t="s">
        <v>530</v>
      </c>
      <c r="J218" s="38">
        <f>IFERROR(VLOOKUP(C:C,'[1]S&amp;S'!$B:$F,5,0),)</f>
        <v>346</v>
      </c>
      <c r="K218" s="38">
        <f>IFERROR(VLOOKUP(A:A,[1]APO!$A:$F,6,0),)</f>
        <v>0</v>
      </c>
      <c r="L218" s="38">
        <f>IFERROR(VLOOKUP(C:C,'[1]TOTAL APO'!$A:$B,2,0),)</f>
        <v>0</v>
      </c>
      <c r="M218" s="38">
        <f>IFERROR(VLOOKUP(A:A,[1]Short!$A:$Q,17,0),)</f>
        <v>0</v>
      </c>
      <c r="N218" s="38">
        <f>IFERROR(VLOOKUP(C:C,[1]GIT!$B:$D,3,0),)</f>
        <v>0</v>
      </c>
      <c r="O218" s="38">
        <f>IFERROR(VLOOKUP(A:A,[2]Sheet1!$A:$B,2,0),)</f>
        <v>0</v>
      </c>
      <c r="P218" s="38">
        <f>IFERROR(VLOOKUP(A:A,[2]Sheet1!$A:$B,2,0),)</f>
        <v>0</v>
      </c>
      <c r="Q218" s="38">
        <f t="shared" si="3"/>
        <v>1</v>
      </c>
      <c r="R218" s="38"/>
      <c r="S218" s="38"/>
    </row>
    <row r="219" spans="1:19" x14ac:dyDescent="0.25">
      <c r="A219" s="38" t="str">
        <f>F219&amp;C219</f>
        <v>C04640064503</v>
      </c>
      <c r="B219" s="38" t="str">
        <f>IF(J219&gt;=SUMIFS(E:E,C:C,C219),"Good to go","Short in Qty")</f>
        <v>Good to go</v>
      </c>
      <c r="C219" s="40">
        <v>40064503</v>
      </c>
      <c r="D219" s="40" t="s">
        <v>352</v>
      </c>
      <c r="E219" s="66">
        <v>1</v>
      </c>
      <c r="F219" s="38" t="s">
        <v>13</v>
      </c>
      <c r="G219" s="40"/>
      <c r="H219" s="38" t="s">
        <v>9</v>
      </c>
      <c r="I219" s="38" t="s">
        <v>530</v>
      </c>
      <c r="J219" s="38">
        <f>IFERROR(VLOOKUP(C:C,'[1]S&amp;S'!$B:$F,5,0),)</f>
        <v>346</v>
      </c>
      <c r="K219" s="38">
        <f>IFERROR(VLOOKUP(A:A,[1]APO!$A:$F,6,0),)</f>
        <v>0</v>
      </c>
      <c r="L219" s="38">
        <f>IFERROR(VLOOKUP(C:C,'[1]TOTAL APO'!$A:$B,2,0),)</f>
        <v>0</v>
      </c>
      <c r="M219" s="38">
        <f>IFERROR(VLOOKUP(A:A,[1]Short!$A:$Q,17,0),)</f>
        <v>0</v>
      </c>
      <c r="N219" s="38">
        <f>IFERROR(VLOOKUP(C:C,[1]GIT!$B:$D,3,0),)</f>
        <v>0</v>
      </c>
      <c r="O219" s="38">
        <f>IFERROR(VLOOKUP(A:A,[2]Sheet1!$A:$B,2,0),)</f>
        <v>0</v>
      </c>
      <c r="P219" s="38">
        <f>IFERROR(VLOOKUP(A:A,[2]Sheet1!$A:$B,2,0),)</f>
        <v>0</v>
      </c>
      <c r="Q219" s="38">
        <f t="shared" si="3"/>
        <v>1</v>
      </c>
      <c r="R219" s="38"/>
      <c r="S219" s="38"/>
    </row>
    <row r="220" spans="1:19" hidden="1" x14ac:dyDescent="0.25">
      <c r="A220" s="38" t="str">
        <f>F220&amp;C220</f>
        <v>C13140050696</v>
      </c>
      <c r="B220" s="38" t="str">
        <f>IF(J220&gt;=SUMIFS(E:E,C:C,C220),"Good to go","Short in Qty")</f>
        <v>Short in Qty</v>
      </c>
      <c r="C220" s="40">
        <v>40050696</v>
      </c>
      <c r="D220" s="40" t="s">
        <v>590</v>
      </c>
      <c r="E220" s="66">
        <v>60</v>
      </c>
      <c r="F220" s="38" t="s">
        <v>17</v>
      </c>
      <c r="G220" s="40" t="s">
        <v>596</v>
      </c>
      <c r="H220" s="38" t="s">
        <v>594</v>
      </c>
      <c r="I220" s="38" t="s">
        <v>595</v>
      </c>
      <c r="J220" s="38">
        <f>IFERROR(VLOOKUP(C:C,'[1]S&amp;S'!$B:$F,5,0),)</f>
        <v>1.0086666666666699</v>
      </c>
      <c r="K220" s="38">
        <f>IFERROR(VLOOKUP(A:A,[1]APO!$A:$F,6,0),)</f>
        <v>0</v>
      </c>
      <c r="L220" s="38">
        <f>IFERROR(VLOOKUP(C:C,'[1]TOTAL APO'!$A:$B,2,0),)</f>
        <v>0</v>
      </c>
      <c r="M220" s="38">
        <f>IFERROR(VLOOKUP(A:A,[1]Short!$A:$Q,17,0),)</f>
        <v>0</v>
      </c>
      <c r="N220" s="38">
        <f>IFERROR(VLOOKUP(C:C,[1]GIT!$B:$D,3,0),)</f>
        <v>0</v>
      </c>
      <c r="O220" s="38">
        <f>IFERROR(VLOOKUP(A:A,[2]Sheet1!$A:$B,2,0),)</f>
        <v>0</v>
      </c>
      <c r="P220" s="38">
        <f>IFERROR(VLOOKUP(A:A,[2]Sheet1!$A:$B,2,0),)</f>
        <v>0</v>
      </c>
      <c r="Q220" s="38">
        <f t="shared" si="3"/>
        <v>60</v>
      </c>
      <c r="R220" s="38"/>
      <c r="S220" s="38"/>
    </row>
    <row r="221" spans="1:19" x14ac:dyDescent="0.25">
      <c r="A221" s="38" t="str">
        <f>F221&amp;C221</f>
        <v>C04440063254</v>
      </c>
      <c r="B221" s="38" t="str">
        <f>IF(J221&gt;=SUMIFS(E:E,C:C,C221),"Good to go","Short in Qty")</f>
        <v>Good to go</v>
      </c>
      <c r="C221" s="40">
        <v>40063254</v>
      </c>
      <c r="D221" s="40" t="s">
        <v>265</v>
      </c>
      <c r="E221" s="66">
        <v>22</v>
      </c>
      <c r="F221" s="38" t="s">
        <v>191</v>
      </c>
      <c r="G221" s="40"/>
      <c r="H221" s="38" t="s">
        <v>9</v>
      </c>
      <c r="I221" s="38" t="s">
        <v>530</v>
      </c>
      <c r="J221" s="38">
        <f>IFERROR(VLOOKUP(C:C,'[1]S&amp;S'!$B:$F,5,0),)</f>
        <v>112</v>
      </c>
      <c r="K221" s="38">
        <f>IFERROR(VLOOKUP(A:A,[1]APO!$A:$F,6,0),)</f>
        <v>0</v>
      </c>
      <c r="L221" s="38">
        <f>IFERROR(VLOOKUP(C:C,'[1]TOTAL APO'!$A:$B,2,0),)</f>
        <v>0</v>
      </c>
      <c r="M221" s="38">
        <f>IFERROR(VLOOKUP(A:A,[1]Short!$A:$Q,17,0),)</f>
        <v>0</v>
      </c>
      <c r="N221" s="38">
        <f>IFERROR(VLOOKUP(C:C,[1]GIT!$B:$D,3,0),)</f>
        <v>112</v>
      </c>
      <c r="O221" s="38">
        <f>IFERROR(VLOOKUP(A:A,[2]Sheet1!$A:$B,2,0),)</f>
        <v>0</v>
      </c>
      <c r="P221" s="38">
        <f>IFERROR(VLOOKUP(A:A,[2]Sheet1!$A:$B,2,0),)</f>
        <v>0</v>
      </c>
      <c r="Q221" s="38">
        <f t="shared" si="3"/>
        <v>22</v>
      </c>
      <c r="R221" s="38"/>
      <c r="S221" s="38"/>
    </row>
    <row r="222" spans="1:19" x14ac:dyDescent="0.25">
      <c r="A222" s="38" t="str">
        <f>F222&amp;C222</f>
        <v>C04340063964</v>
      </c>
      <c r="B222" s="38" t="str">
        <f>IF(J222&gt;=SUMIFS(E:E,C:C,C222),"Good to go","Short in Qty")</f>
        <v>Good to go</v>
      </c>
      <c r="C222" s="40">
        <v>40063964</v>
      </c>
      <c r="D222" s="40" t="s">
        <v>499</v>
      </c>
      <c r="E222" s="66">
        <v>5</v>
      </c>
      <c r="F222" s="38" t="s">
        <v>11</v>
      </c>
      <c r="G222" s="40" t="s">
        <v>467</v>
      </c>
      <c r="H222" s="38" t="s">
        <v>9</v>
      </c>
      <c r="I222" s="38" t="s">
        <v>530</v>
      </c>
      <c r="J222" s="38">
        <f>IFERROR(VLOOKUP(C:C,'[1]S&amp;S'!$B:$F,5,0),)</f>
        <v>5</v>
      </c>
      <c r="K222" s="38">
        <f>IFERROR(VLOOKUP(A:A,[1]APO!$A:$F,6,0),)</f>
        <v>0</v>
      </c>
      <c r="L222" s="38">
        <f>IFERROR(VLOOKUP(C:C,'[1]TOTAL APO'!$A:$B,2,0),)</f>
        <v>0</v>
      </c>
      <c r="M222" s="38">
        <f>IFERROR(VLOOKUP(A:A,[1]Short!$A:$Q,17,0),)</f>
        <v>0</v>
      </c>
      <c r="N222" s="38">
        <f>IFERROR(VLOOKUP(C:C,[1]GIT!$B:$D,3,0),)</f>
        <v>5</v>
      </c>
      <c r="O222" s="38">
        <f>IFERROR(VLOOKUP(A:A,[2]Sheet1!$A:$B,2,0),)</f>
        <v>0</v>
      </c>
      <c r="P222" s="38">
        <f>IFERROR(VLOOKUP(A:A,[2]Sheet1!$A:$B,2,0),)</f>
        <v>0</v>
      </c>
      <c r="Q222" s="38">
        <f t="shared" si="3"/>
        <v>5</v>
      </c>
      <c r="R222" s="38"/>
      <c r="S222" s="38"/>
    </row>
    <row r="223" spans="1:19" hidden="1" x14ac:dyDescent="0.25">
      <c r="A223" s="38" t="str">
        <f>F223&amp;C223</f>
        <v>C04840063659</v>
      </c>
      <c r="B223" s="38" t="str">
        <f>IF(J223&gt;=SUMIFS(E:E,C:C,C223),"Good to go","Short in Qty")</f>
        <v>Good to go</v>
      </c>
      <c r="C223" s="40">
        <v>40063659</v>
      </c>
      <c r="D223" s="40" t="s">
        <v>289</v>
      </c>
      <c r="E223" s="66">
        <v>50</v>
      </c>
      <c r="F223" s="38" t="s">
        <v>8</v>
      </c>
      <c r="G223" s="40" t="s">
        <v>467</v>
      </c>
      <c r="H223" s="38" t="s">
        <v>9</v>
      </c>
      <c r="I223" s="38" t="s">
        <v>530</v>
      </c>
      <c r="J223" s="38">
        <f>IFERROR(VLOOKUP(C:C,'[1]S&amp;S'!$B:$F,5,0),)</f>
        <v>235</v>
      </c>
      <c r="K223" s="38">
        <f>IFERROR(VLOOKUP(A:A,[1]APO!$A:$F,6,0),)</f>
        <v>0</v>
      </c>
      <c r="L223" s="38">
        <f>IFERROR(VLOOKUP(C:C,'[1]TOTAL APO'!$A:$B,2,0),)</f>
        <v>0</v>
      </c>
      <c r="M223" s="38">
        <f>IFERROR(VLOOKUP(A:A,[1]Short!$A:$Q,17,0),)</f>
        <v>0</v>
      </c>
      <c r="N223" s="38">
        <f>IFERROR(VLOOKUP(C:C,[1]GIT!$B:$D,3,0),)</f>
        <v>0</v>
      </c>
      <c r="O223" s="38">
        <f>IFERROR(VLOOKUP(A:A,[2]Sheet1!$A:$B,2,0),)</f>
        <v>50</v>
      </c>
      <c r="P223" s="38">
        <f>IFERROR(VLOOKUP(A:A,[2]Sheet1!$A:$B,2,0),)</f>
        <v>50</v>
      </c>
      <c r="Q223" s="38">
        <f t="shared" si="3"/>
        <v>0</v>
      </c>
      <c r="R223" s="38"/>
      <c r="S223" s="38"/>
    </row>
    <row r="224" spans="1:19" hidden="1" x14ac:dyDescent="0.25">
      <c r="A224" s="38" t="str">
        <f>F224&amp;C224</f>
        <v>C04840063747</v>
      </c>
      <c r="B224" s="38" t="str">
        <f>IF(J224&gt;=SUMIFS(E:E,C:C,C224),"Good to go","Short in Qty")</f>
        <v>Good to go</v>
      </c>
      <c r="C224" s="40">
        <v>40063747</v>
      </c>
      <c r="D224" s="40" t="s">
        <v>246</v>
      </c>
      <c r="E224" s="66">
        <v>105</v>
      </c>
      <c r="F224" s="38" t="s">
        <v>8</v>
      </c>
      <c r="G224" s="40" t="s">
        <v>467</v>
      </c>
      <c r="H224" s="38" t="s">
        <v>9</v>
      </c>
      <c r="I224" s="38" t="s">
        <v>530</v>
      </c>
      <c r="J224" s="38">
        <f>IFERROR(VLOOKUP(C:C,'[1]S&amp;S'!$B:$F,5,0),)</f>
        <v>4797</v>
      </c>
      <c r="K224" s="38">
        <f>IFERROR(VLOOKUP(A:A,[1]APO!$A:$F,6,0),)</f>
        <v>0</v>
      </c>
      <c r="L224" s="38">
        <f>IFERROR(VLOOKUP(C:C,'[1]TOTAL APO'!$A:$B,2,0),)</f>
        <v>0</v>
      </c>
      <c r="M224" s="38">
        <f>IFERROR(VLOOKUP(A:A,[1]Short!$A:$Q,17,0),)</f>
        <v>0</v>
      </c>
      <c r="N224" s="38">
        <f>IFERROR(VLOOKUP(C:C,[1]GIT!$B:$D,3,0),)</f>
        <v>0</v>
      </c>
      <c r="O224" s="38">
        <f>IFERROR(VLOOKUP(A:A,[2]Sheet1!$A:$B,2,0),)</f>
        <v>105</v>
      </c>
      <c r="P224" s="38">
        <f>IFERROR(VLOOKUP(A:A,[2]Sheet1!$A:$B,2,0),)</f>
        <v>105</v>
      </c>
      <c r="Q224" s="38">
        <f t="shared" si="3"/>
        <v>0</v>
      </c>
      <c r="R224" s="38"/>
      <c r="S224" s="38"/>
    </row>
    <row r="225" spans="1:19" x14ac:dyDescent="0.25">
      <c r="A225" s="38" t="str">
        <f>F225&amp;C225</f>
        <v>C04340063193</v>
      </c>
      <c r="B225" s="38" t="str">
        <f>IF(J225&gt;=SUMIFS(E:E,C:C,C225),"Good to go","Short in Qty")</f>
        <v>Good to go</v>
      </c>
      <c r="C225" s="40">
        <v>40063193</v>
      </c>
      <c r="D225" s="40" t="s">
        <v>500</v>
      </c>
      <c r="E225" s="66">
        <v>32</v>
      </c>
      <c r="F225" s="38" t="s">
        <v>11</v>
      </c>
      <c r="G225" s="40" t="s">
        <v>467</v>
      </c>
      <c r="H225" s="38" t="s">
        <v>9</v>
      </c>
      <c r="I225" s="38" t="s">
        <v>530</v>
      </c>
      <c r="J225" s="38">
        <f>IFERROR(VLOOKUP(C:C,'[1]S&amp;S'!$B:$F,5,0),)</f>
        <v>32</v>
      </c>
      <c r="K225" s="38">
        <f>IFERROR(VLOOKUP(A:A,[1]APO!$A:$F,6,0),)</f>
        <v>0</v>
      </c>
      <c r="L225" s="38">
        <f>IFERROR(VLOOKUP(C:C,'[1]TOTAL APO'!$A:$B,2,0),)</f>
        <v>0</v>
      </c>
      <c r="M225" s="38">
        <f>IFERROR(VLOOKUP(A:A,[1]Short!$A:$Q,17,0),)</f>
        <v>0</v>
      </c>
      <c r="N225" s="38">
        <f>IFERROR(VLOOKUP(C:C,[1]GIT!$B:$D,3,0),)</f>
        <v>32</v>
      </c>
      <c r="O225" s="38">
        <f>IFERROR(VLOOKUP(A:A,[2]Sheet1!$A:$B,2,0),)</f>
        <v>0</v>
      </c>
      <c r="P225" s="38">
        <f>IFERROR(VLOOKUP(A:A,[2]Sheet1!$A:$B,2,0),)</f>
        <v>0</v>
      </c>
      <c r="Q225" s="38">
        <f t="shared" si="3"/>
        <v>32</v>
      </c>
      <c r="R225" s="38"/>
      <c r="S225" s="38"/>
    </row>
    <row r="226" spans="1:19" x14ac:dyDescent="0.25">
      <c r="A226" s="38" t="str">
        <f>F226&amp;C226</f>
        <v>C04240064157</v>
      </c>
      <c r="B226" s="38" t="str">
        <f>IF(J226&gt;=SUMIFS(E:E,C:C,C226),"Good to go","Short in Qty")</f>
        <v>Good to go</v>
      </c>
      <c r="C226" s="40">
        <v>40064157</v>
      </c>
      <c r="D226" s="40" t="s">
        <v>495</v>
      </c>
      <c r="E226" s="66">
        <v>174</v>
      </c>
      <c r="F226" s="38" t="s">
        <v>10</v>
      </c>
      <c r="G226" s="40" t="s">
        <v>467</v>
      </c>
      <c r="H226" s="38" t="s">
        <v>9</v>
      </c>
      <c r="I226" s="38" t="s">
        <v>530</v>
      </c>
      <c r="J226" s="38">
        <f>IFERROR(VLOOKUP(C:C,'[1]S&amp;S'!$B:$F,5,0),)</f>
        <v>416</v>
      </c>
      <c r="K226" s="38">
        <f>IFERROR(VLOOKUP(A:A,[1]APO!$A:$F,6,0),)</f>
        <v>0</v>
      </c>
      <c r="L226" s="38">
        <f>IFERROR(VLOOKUP(C:C,'[1]TOTAL APO'!$A:$B,2,0),)</f>
        <v>0</v>
      </c>
      <c r="M226" s="38">
        <f>IFERROR(VLOOKUP(A:A,[1]Short!$A:$Q,17,0),)</f>
        <v>0</v>
      </c>
      <c r="N226" s="38">
        <f>IFERROR(VLOOKUP(C:C,[1]GIT!$B:$D,3,0),)</f>
        <v>416</v>
      </c>
      <c r="O226" s="38">
        <f>IFERROR(VLOOKUP(A:A,[2]Sheet1!$A:$B,2,0),)</f>
        <v>0</v>
      </c>
      <c r="P226" s="38">
        <f>IFERROR(VLOOKUP(A:A,[2]Sheet1!$A:$B,2,0),)</f>
        <v>0</v>
      </c>
      <c r="Q226" s="38">
        <f t="shared" si="3"/>
        <v>174</v>
      </c>
      <c r="R226" s="38"/>
      <c r="S226" s="38"/>
    </row>
    <row r="227" spans="1:19" hidden="1" x14ac:dyDescent="0.25">
      <c r="A227" s="38" t="str">
        <f>F227&amp;C227</f>
        <v>C04740050411</v>
      </c>
      <c r="B227" s="38" t="str">
        <f>IF(J227&gt;=SUMIFS(E:E,C:C,C227),"Good to go","Short in Qty")</f>
        <v>Good to go</v>
      </c>
      <c r="C227" s="40">
        <v>40050411</v>
      </c>
      <c r="D227" s="40" t="s">
        <v>296</v>
      </c>
      <c r="E227" s="66">
        <v>2</v>
      </c>
      <c r="F227" s="38" t="s">
        <v>192</v>
      </c>
      <c r="G227" s="40"/>
      <c r="H227" s="38" t="s">
        <v>84</v>
      </c>
      <c r="I227" s="38" t="s">
        <v>620</v>
      </c>
      <c r="J227" s="38">
        <f>IFERROR(VLOOKUP(C:C,'[1]S&amp;S'!$B:$F,5,0),)</f>
        <v>994.00633333333303</v>
      </c>
      <c r="K227" s="38">
        <f>IFERROR(VLOOKUP(A:A,[1]APO!$A:$F,6,0),)</f>
        <v>0</v>
      </c>
      <c r="L227" s="38">
        <f>IFERROR(VLOOKUP(C:C,'[1]TOTAL APO'!$A:$B,2,0),)</f>
        <v>0</v>
      </c>
      <c r="M227" s="38">
        <f>IFERROR(VLOOKUP(A:A,[1]Short!$A:$Q,17,0),)</f>
        <v>0</v>
      </c>
      <c r="N227" s="38">
        <f>IFERROR(VLOOKUP(C:C,[1]GIT!$B:$D,3,0),)</f>
        <v>0</v>
      </c>
      <c r="O227" s="38">
        <f>IFERROR(VLOOKUP(A:A,[2]Sheet1!$A:$B,2,0),)</f>
        <v>0</v>
      </c>
      <c r="P227" s="38">
        <f>IFERROR(VLOOKUP(A:A,[2]Sheet1!$A:$B,2,0),)</f>
        <v>0</v>
      </c>
      <c r="Q227" s="38">
        <f t="shared" si="3"/>
        <v>2</v>
      </c>
      <c r="R227" s="38"/>
      <c r="S227" s="38"/>
    </row>
    <row r="228" spans="1:19" hidden="1" x14ac:dyDescent="0.25">
      <c r="A228" s="38" t="str">
        <f>F228&amp;C228</f>
        <v>C04240063794</v>
      </c>
      <c r="B228" s="38" t="str">
        <f>IF(J228&gt;=SUMIFS(E:E,C:C,C228),"Good to go","Short in Qty")</f>
        <v>Good to go</v>
      </c>
      <c r="C228" s="40">
        <v>40063794</v>
      </c>
      <c r="D228" s="40" t="s">
        <v>249</v>
      </c>
      <c r="E228" s="66">
        <v>4</v>
      </c>
      <c r="F228" s="38" t="s">
        <v>10</v>
      </c>
      <c r="G228" s="40" t="s">
        <v>467</v>
      </c>
      <c r="H228" s="38" t="s">
        <v>9</v>
      </c>
      <c r="I228" s="38" t="s">
        <v>530</v>
      </c>
      <c r="J228" s="38">
        <f>IFERROR(VLOOKUP(C:C,'[1]S&amp;S'!$B:$F,5,0),)</f>
        <v>12.0416666666667</v>
      </c>
      <c r="K228" s="38">
        <f>IFERROR(VLOOKUP(A:A,[1]APO!$A:$F,6,0),)</f>
        <v>0</v>
      </c>
      <c r="L228" s="38">
        <f>IFERROR(VLOOKUP(C:C,'[1]TOTAL APO'!$A:$B,2,0),)</f>
        <v>0</v>
      </c>
      <c r="M228" s="38">
        <f>IFERROR(VLOOKUP(A:A,[1]Short!$A:$Q,17,0),)</f>
        <v>0</v>
      </c>
      <c r="N228" s="38">
        <f>IFERROR(VLOOKUP(C:C,[1]GIT!$B:$D,3,0),)</f>
        <v>0</v>
      </c>
      <c r="O228" s="38">
        <f>IFERROR(VLOOKUP(A:A,[2]Sheet1!$A:$B,2,0),)</f>
        <v>4</v>
      </c>
      <c r="P228" s="38">
        <f>IFERROR(VLOOKUP(A:A,[2]Sheet1!$A:$B,2,0),)</f>
        <v>4</v>
      </c>
      <c r="Q228" s="38">
        <f t="shared" si="3"/>
        <v>0</v>
      </c>
      <c r="R228" s="38"/>
      <c r="S228" s="38"/>
    </row>
    <row r="229" spans="1:19" hidden="1" x14ac:dyDescent="0.25">
      <c r="A229" s="38" t="str">
        <f>F229&amp;C229</f>
        <v>C04840065256</v>
      </c>
      <c r="B229" s="38" t="str">
        <f>IF(J229&gt;=SUMIFS(E:E,C:C,C229),"Good to go","Short in Qty")</f>
        <v>Good to go</v>
      </c>
      <c r="C229" s="40">
        <v>40065256</v>
      </c>
      <c r="D229" s="40" t="s">
        <v>285</v>
      </c>
      <c r="E229" s="66">
        <v>1</v>
      </c>
      <c r="F229" s="38" t="s">
        <v>8</v>
      </c>
      <c r="G229" s="40" t="s">
        <v>467</v>
      </c>
      <c r="H229" s="38" t="s">
        <v>9</v>
      </c>
      <c r="I229" s="38" t="s">
        <v>530</v>
      </c>
      <c r="J229" s="38">
        <f>IFERROR(VLOOKUP(C:C,'[1]S&amp;S'!$B:$F,5,0),)</f>
        <v>49</v>
      </c>
      <c r="K229" s="38">
        <f>IFERROR(VLOOKUP(A:A,[1]APO!$A:$F,6,0),)</f>
        <v>0</v>
      </c>
      <c r="L229" s="38">
        <f>IFERROR(VLOOKUP(C:C,'[1]TOTAL APO'!$A:$B,2,0),)</f>
        <v>0</v>
      </c>
      <c r="M229" s="38">
        <f>IFERROR(VLOOKUP(A:A,[1]Short!$A:$Q,17,0),)</f>
        <v>0</v>
      </c>
      <c r="N229" s="38">
        <f>IFERROR(VLOOKUP(C:C,[1]GIT!$B:$D,3,0),)</f>
        <v>0</v>
      </c>
      <c r="O229" s="38">
        <f>IFERROR(VLOOKUP(A:A,[2]Sheet1!$A:$B,2,0),)</f>
        <v>1</v>
      </c>
      <c r="P229" s="38">
        <f>IFERROR(VLOOKUP(A:A,[2]Sheet1!$A:$B,2,0),)</f>
        <v>1</v>
      </c>
      <c r="Q229" s="38">
        <f t="shared" si="3"/>
        <v>0</v>
      </c>
      <c r="R229" s="38"/>
      <c r="S229" s="38"/>
    </row>
    <row r="230" spans="1:19" hidden="1" x14ac:dyDescent="0.25">
      <c r="A230" s="38" t="str">
        <f>F230&amp;C230</f>
        <v>C04740050590</v>
      </c>
      <c r="B230" s="38" t="str">
        <f>IF(J230&gt;=SUMIFS(E:E,C:C,C230),"Good to go","Short in Qty")</f>
        <v>Good to go</v>
      </c>
      <c r="C230" s="40">
        <v>40050590</v>
      </c>
      <c r="D230" s="40" t="s">
        <v>337</v>
      </c>
      <c r="E230" s="66">
        <v>3</v>
      </c>
      <c r="F230" s="38" t="s">
        <v>192</v>
      </c>
      <c r="G230" s="40"/>
      <c r="H230" s="38" t="s">
        <v>84</v>
      </c>
      <c r="I230" s="38" t="s">
        <v>620</v>
      </c>
      <c r="J230" s="38">
        <f>IFERROR(VLOOKUP(C:C,'[1]S&amp;S'!$B:$F,5,0),)</f>
        <v>6</v>
      </c>
      <c r="K230" s="38">
        <f>IFERROR(VLOOKUP(A:A,[1]APO!$A:$F,6,0),)</f>
        <v>0</v>
      </c>
      <c r="L230" s="38">
        <f>IFERROR(VLOOKUP(C:C,'[1]TOTAL APO'!$A:$B,2,0),)</f>
        <v>0</v>
      </c>
      <c r="M230" s="38">
        <f>IFERROR(VLOOKUP(A:A,[1]Short!$A:$Q,17,0),)</f>
        <v>0</v>
      </c>
      <c r="N230" s="38">
        <f>IFERROR(VLOOKUP(C:C,[1]GIT!$B:$D,3,0),)</f>
        <v>0</v>
      </c>
      <c r="O230" s="38">
        <f>IFERROR(VLOOKUP(A:A,[2]Sheet1!$A:$B,2,0),)</f>
        <v>0</v>
      </c>
      <c r="P230" s="38">
        <f>IFERROR(VLOOKUP(A:A,[2]Sheet1!$A:$B,2,0),)</f>
        <v>0</v>
      </c>
      <c r="Q230" s="38">
        <f t="shared" si="3"/>
        <v>3</v>
      </c>
      <c r="R230" s="38"/>
      <c r="S230" s="38"/>
    </row>
    <row r="231" spans="1:19" hidden="1" x14ac:dyDescent="0.25">
      <c r="A231" s="38" t="str">
        <f>F231&amp;C231</f>
        <v>C04240050728</v>
      </c>
      <c r="B231" s="38" t="str">
        <f>IF(J231&gt;=SUMIFS(E:E,C:C,C231),"Good to go","Short in Qty")</f>
        <v>Good to go</v>
      </c>
      <c r="C231" s="40">
        <v>40050728</v>
      </c>
      <c r="D231" s="40" t="s">
        <v>214</v>
      </c>
      <c r="E231" s="66">
        <v>5</v>
      </c>
      <c r="F231" s="38" t="s">
        <v>10</v>
      </c>
      <c r="G231" s="40" t="s">
        <v>467</v>
      </c>
      <c r="H231" s="38" t="s">
        <v>9</v>
      </c>
      <c r="I231" s="38" t="s">
        <v>530</v>
      </c>
      <c r="J231" s="38">
        <f>IFERROR(VLOOKUP(C:C,'[1]S&amp;S'!$B:$F,5,0),)</f>
        <v>2141</v>
      </c>
      <c r="K231" s="38">
        <f>IFERROR(VLOOKUP(A:A,[1]APO!$A:$F,6,0),)</f>
        <v>0</v>
      </c>
      <c r="L231" s="38">
        <f>IFERROR(VLOOKUP(C:C,'[1]TOTAL APO'!$A:$B,2,0),)</f>
        <v>0</v>
      </c>
      <c r="M231" s="38">
        <f>IFERROR(VLOOKUP(A:A,[1]Short!$A:$Q,17,0),)</f>
        <v>0</v>
      </c>
      <c r="N231" s="38">
        <f>IFERROR(VLOOKUP(C:C,[1]GIT!$B:$D,3,0),)</f>
        <v>0</v>
      </c>
      <c r="O231" s="38">
        <f>IFERROR(VLOOKUP(A:A,[2]Sheet1!$A:$B,2,0),)</f>
        <v>5</v>
      </c>
      <c r="P231" s="38">
        <f>IFERROR(VLOOKUP(A:A,[2]Sheet1!$A:$B,2,0),)</f>
        <v>5</v>
      </c>
      <c r="Q231" s="38">
        <f t="shared" si="3"/>
        <v>0</v>
      </c>
      <c r="R231" s="38"/>
      <c r="S231" s="38"/>
    </row>
    <row r="232" spans="1:19" hidden="1" x14ac:dyDescent="0.25">
      <c r="A232" s="38" t="str">
        <f>F232&amp;C232</f>
        <v>C04240060535</v>
      </c>
      <c r="B232" s="38" t="str">
        <f>IF(J232&gt;=SUMIFS(E:E,C:C,C232),"Good to go","Short in Qty")</f>
        <v>Good to go</v>
      </c>
      <c r="C232" s="40">
        <v>40060535</v>
      </c>
      <c r="D232" s="40" t="s">
        <v>221</v>
      </c>
      <c r="E232" s="66">
        <v>2</v>
      </c>
      <c r="F232" s="38" t="s">
        <v>10</v>
      </c>
      <c r="G232" s="40" t="s">
        <v>467</v>
      </c>
      <c r="H232" s="38" t="s">
        <v>9</v>
      </c>
      <c r="I232" s="38" t="s">
        <v>530</v>
      </c>
      <c r="J232" s="38">
        <f>IFERROR(VLOOKUP(C:C,'[1]S&amp;S'!$B:$F,5,0),)</f>
        <v>198</v>
      </c>
      <c r="K232" s="38">
        <f>IFERROR(VLOOKUP(A:A,[1]APO!$A:$F,6,0),)</f>
        <v>0</v>
      </c>
      <c r="L232" s="38">
        <f>IFERROR(VLOOKUP(C:C,'[1]TOTAL APO'!$A:$B,2,0),)</f>
        <v>0</v>
      </c>
      <c r="M232" s="38">
        <f>IFERROR(VLOOKUP(A:A,[1]Short!$A:$Q,17,0),)</f>
        <v>0</v>
      </c>
      <c r="N232" s="38">
        <f>IFERROR(VLOOKUP(C:C,[1]GIT!$B:$D,3,0),)</f>
        <v>46</v>
      </c>
      <c r="O232" s="38">
        <f>IFERROR(VLOOKUP(A:A,[2]Sheet1!$A:$B,2,0),)</f>
        <v>2</v>
      </c>
      <c r="P232" s="38">
        <f>IFERROR(VLOOKUP(A:A,[2]Sheet1!$A:$B,2,0),)</f>
        <v>2</v>
      </c>
      <c r="Q232" s="38">
        <f t="shared" si="3"/>
        <v>0</v>
      </c>
      <c r="R232" s="38"/>
      <c r="S232" s="38"/>
    </row>
    <row r="233" spans="1:19" x14ac:dyDescent="0.25">
      <c r="A233" s="38" t="str">
        <f>F233&amp;C233</f>
        <v>C04340063179</v>
      </c>
      <c r="B233" s="38" t="str">
        <f>IF(J233&gt;=SUMIFS(E:E,C:C,C233),"Good to go","Short in Qty")</f>
        <v>Good to go</v>
      </c>
      <c r="C233" s="40">
        <v>40063179</v>
      </c>
      <c r="D233" s="40" t="s">
        <v>280</v>
      </c>
      <c r="E233" s="67">
        <v>100</v>
      </c>
      <c r="F233" s="38" t="s">
        <v>11</v>
      </c>
      <c r="G233" s="40" t="s">
        <v>467</v>
      </c>
      <c r="H233" s="38" t="s">
        <v>9</v>
      </c>
      <c r="I233" s="38" t="s">
        <v>530</v>
      </c>
      <c r="J233" s="38">
        <f>IFERROR(VLOOKUP(C:C,'[1]S&amp;S'!$B:$F,5,0),)</f>
        <v>856</v>
      </c>
      <c r="K233" s="38">
        <f>IFERROR(VLOOKUP(A:A,[1]APO!$A:$F,6,0),)</f>
        <v>0</v>
      </c>
      <c r="L233" s="38">
        <f>IFERROR(VLOOKUP(C:C,'[1]TOTAL APO'!$A:$B,2,0),)</f>
        <v>0</v>
      </c>
      <c r="M233" s="38">
        <f>IFERROR(VLOOKUP(A:A,[1]Short!$A:$Q,17,0),)</f>
        <v>0</v>
      </c>
      <c r="N233" s="38">
        <f>IFERROR(VLOOKUP(C:C,[1]GIT!$B:$D,3,0),)</f>
        <v>800</v>
      </c>
      <c r="O233" s="38">
        <f>IFERROR(VLOOKUP(A:A,[2]Sheet1!$A:$B,2,0),)</f>
        <v>0</v>
      </c>
      <c r="P233" s="38">
        <f>IFERROR(VLOOKUP(A:A,[2]Sheet1!$A:$B,2,0),)</f>
        <v>0</v>
      </c>
      <c r="Q233" s="38">
        <f t="shared" si="3"/>
        <v>100</v>
      </c>
      <c r="R233" s="38"/>
      <c r="S233" s="38"/>
    </row>
    <row r="234" spans="1:19" x14ac:dyDescent="0.25">
      <c r="A234" s="38" t="str">
        <f>F234&amp;C234</f>
        <v>C04740063179</v>
      </c>
      <c r="B234" s="38" t="str">
        <f>IF(J234&gt;=SUMIFS(E:E,C:C,C234),"Good to go","Short in Qty")</f>
        <v>Good to go</v>
      </c>
      <c r="C234" s="40">
        <v>40063179</v>
      </c>
      <c r="D234" s="40" t="s">
        <v>280</v>
      </c>
      <c r="E234" s="66">
        <v>1</v>
      </c>
      <c r="F234" s="38" t="s">
        <v>192</v>
      </c>
      <c r="G234" s="40"/>
      <c r="H234" s="38" t="s">
        <v>9</v>
      </c>
      <c r="I234" s="38" t="s">
        <v>530</v>
      </c>
      <c r="J234" s="38">
        <f>IFERROR(VLOOKUP(C:C,'[1]S&amp;S'!$B:$F,5,0),)</f>
        <v>856</v>
      </c>
      <c r="K234" s="38">
        <f>IFERROR(VLOOKUP(A:A,[1]APO!$A:$F,6,0),)</f>
        <v>0</v>
      </c>
      <c r="L234" s="38">
        <f>IFERROR(VLOOKUP(C:C,'[1]TOTAL APO'!$A:$B,2,0),)</f>
        <v>0</v>
      </c>
      <c r="M234" s="38">
        <f>IFERROR(VLOOKUP(A:A,[1]Short!$A:$Q,17,0),)</f>
        <v>0</v>
      </c>
      <c r="N234" s="38">
        <f>IFERROR(VLOOKUP(C:C,[1]GIT!$B:$D,3,0),)</f>
        <v>800</v>
      </c>
      <c r="O234" s="38">
        <f>IFERROR(VLOOKUP(A:A,[2]Sheet1!$A:$B,2,0),)</f>
        <v>0</v>
      </c>
      <c r="P234" s="38">
        <f>IFERROR(VLOOKUP(A:A,[2]Sheet1!$A:$B,2,0),)</f>
        <v>0</v>
      </c>
      <c r="Q234" s="38">
        <f t="shared" si="3"/>
        <v>1</v>
      </c>
      <c r="R234" s="38"/>
      <c r="S234" s="38"/>
    </row>
    <row r="235" spans="1:19" hidden="1" x14ac:dyDescent="0.25">
      <c r="A235" s="38" t="str">
        <f>F235&amp;C235</f>
        <v>C04240060996</v>
      </c>
      <c r="B235" s="38" t="str">
        <f>IF(J235&gt;=SUMIFS(E:E,C:C,C235),"Good to go","Short in Qty")</f>
        <v>Good to go</v>
      </c>
      <c r="C235" s="40">
        <v>40060996</v>
      </c>
      <c r="D235" s="40" t="s">
        <v>506</v>
      </c>
      <c r="E235" s="66">
        <v>34</v>
      </c>
      <c r="F235" s="38" t="s">
        <v>10</v>
      </c>
      <c r="G235" s="40" t="s">
        <v>467</v>
      </c>
      <c r="H235" s="38" t="s">
        <v>9</v>
      </c>
      <c r="I235" s="38" t="s">
        <v>530</v>
      </c>
      <c r="J235" s="38">
        <f>IFERROR(VLOOKUP(C:C,'[1]S&amp;S'!$B:$F,5,0),)</f>
        <v>258</v>
      </c>
      <c r="K235" s="38">
        <f>IFERROR(VLOOKUP(A:A,[1]APO!$A:$F,6,0),)</f>
        <v>0</v>
      </c>
      <c r="L235" s="38">
        <f>IFERROR(VLOOKUP(C:C,'[1]TOTAL APO'!$A:$B,2,0),)</f>
        <v>0</v>
      </c>
      <c r="M235" s="38">
        <f>IFERROR(VLOOKUP(A:A,[1]Short!$A:$Q,17,0),)</f>
        <v>0</v>
      </c>
      <c r="N235" s="38">
        <f>IFERROR(VLOOKUP(C:C,[1]GIT!$B:$D,3,0),)</f>
        <v>258</v>
      </c>
      <c r="O235" s="38">
        <f>IFERROR(VLOOKUP(A:A,[2]Sheet1!$A:$B,2,0),)</f>
        <v>34</v>
      </c>
      <c r="P235" s="38">
        <f>IFERROR(VLOOKUP(A:A,[2]Sheet1!$A:$B,2,0),)</f>
        <v>34</v>
      </c>
      <c r="Q235" s="38">
        <f t="shared" si="3"/>
        <v>0</v>
      </c>
      <c r="R235" s="38"/>
      <c r="S235" s="38"/>
    </row>
    <row r="236" spans="1:19" hidden="1" x14ac:dyDescent="0.25">
      <c r="A236" s="38" t="str">
        <f>F236&amp;C236</f>
        <v>C04340063757</v>
      </c>
      <c r="B236" s="38" t="str">
        <f>IF(J236&gt;=SUMIFS(E:E,C:C,C236),"Good to go","Short in Qty")</f>
        <v>Good to go</v>
      </c>
      <c r="C236" s="40">
        <v>40063757</v>
      </c>
      <c r="D236" s="40" t="s">
        <v>261</v>
      </c>
      <c r="E236" s="66">
        <v>100</v>
      </c>
      <c r="F236" s="38" t="s">
        <v>11</v>
      </c>
      <c r="G236" s="40" t="s">
        <v>467</v>
      </c>
      <c r="H236" s="38" t="s">
        <v>9</v>
      </c>
      <c r="I236" s="38" t="s">
        <v>530</v>
      </c>
      <c r="J236" s="38">
        <f>IFERROR(VLOOKUP(C:C,'[1]S&amp;S'!$B:$F,5,0),)</f>
        <v>500</v>
      </c>
      <c r="K236" s="38">
        <f>IFERROR(VLOOKUP(A:A,[1]APO!$A:$F,6,0),)</f>
        <v>0</v>
      </c>
      <c r="L236" s="38">
        <f>IFERROR(VLOOKUP(C:C,'[1]TOTAL APO'!$A:$B,2,0),)</f>
        <v>0</v>
      </c>
      <c r="M236" s="38">
        <f>IFERROR(VLOOKUP(A:A,[1]Short!$A:$Q,17,0),)</f>
        <v>0</v>
      </c>
      <c r="N236" s="38">
        <f>IFERROR(VLOOKUP(C:C,[1]GIT!$B:$D,3,0),)</f>
        <v>500</v>
      </c>
      <c r="O236" s="38">
        <f>IFERROR(VLOOKUP(A:A,[2]Sheet1!$A:$B,2,0),)</f>
        <v>100</v>
      </c>
      <c r="P236" s="38">
        <f>IFERROR(VLOOKUP(A:A,[2]Sheet1!$A:$B,2,0),)</f>
        <v>100</v>
      </c>
      <c r="Q236" s="38">
        <f t="shared" si="3"/>
        <v>0</v>
      </c>
      <c r="R236" s="38"/>
      <c r="S236" s="38"/>
    </row>
    <row r="237" spans="1:19" hidden="1" x14ac:dyDescent="0.25">
      <c r="A237" s="38" t="str">
        <f>F237&amp;C237</f>
        <v>C13140050728</v>
      </c>
      <c r="B237" s="38" t="str">
        <f>IF(J237&gt;=SUMIFS(E:E,C:C,C237),"Good to go","Short in Qty")</f>
        <v>Good to go</v>
      </c>
      <c r="C237" s="40">
        <v>40050728</v>
      </c>
      <c r="D237" s="40" t="s">
        <v>214</v>
      </c>
      <c r="E237" s="66">
        <v>109</v>
      </c>
      <c r="F237" s="38" t="s">
        <v>17</v>
      </c>
      <c r="G237" s="40" t="s">
        <v>467</v>
      </c>
      <c r="H237" s="38" t="s">
        <v>9</v>
      </c>
      <c r="I237" s="38" t="s">
        <v>530</v>
      </c>
      <c r="J237" s="38">
        <f>IFERROR(VLOOKUP(C:C,'[1]S&amp;S'!$B:$F,5,0),)</f>
        <v>2141</v>
      </c>
      <c r="K237" s="38">
        <f>IFERROR(VLOOKUP(A:A,[1]APO!$A:$F,6,0),)</f>
        <v>0</v>
      </c>
      <c r="L237" s="38">
        <f>IFERROR(VLOOKUP(C:C,'[1]TOTAL APO'!$A:$B,2,0),)</f>
        <v>0</v>
      </c>
      <c r="M237" s="38">
        <f>IFERROR(VLOOKUP(A:A,[1]Short!$A:$Q,17,0),)</f>
        <v>0</v>
      </c>
      <c r="N237" s="38">
        <f>IFERROR(VLOOKUP(C:C,[1]GIT!$B:$D,3,0),)</f>
        <v>0</v>
      </c>
      <c r="O237" s="38">
        <f>IFERROR(VLOOKUP(A:A,[2]Sheet1!$A:$B,2,0),)</f>
        <v>109</v>
      </c>
      <c r="P237" s="38">
        <f>IFERROR(VLOOKUP(A:A,[2]Sheet1!$A:$B,2,0),)</f>
        <v>109</v>
      </c>
      <c r="Q237" s="38">
        <f t="shared" si="3"/>
        <v>0</v>
      </c>
      <c r="R237" s="38"/>
      <c r="S237" s="38"/>
    </row>
    <row r="238" spans="1:19" x14ac:dyDescent="0.25">
      <c r="A238" s="38" t="str">
        <f>F238&amp;C238</f>
        <v>C04440063757</v>
      </c>
      <c r="B238" s="38" t="str">
        <f>IF(J238&gt;=SUMIFS(E:E,C:C,C238),"Good to go","Short in Qty")</f>
        <v>Good to go</v>
      </c>
      <c r="C238" s="40">
        <v>40063757</v>
      </c>
      <c r="D238" s="40" t="s">
        <v>261</v>
      </c>
      <c r="E238" s="66">
        <v>50</v>
      </c>
      <c r="F238" s="38" t="s">
        <v>191</v>
      </c>
      <c r="G238" s="40"/>
      <c r="H238" s="38" t="s">
        <v>9</v>
      </c>
      <c r="I238" s="38" t="s">
        <v>530</v>
      </c>
      <c r="J238" s="38">
        <f>IFERROR(VLOOKUP(C:C,'[1]S&amp;S'!$B:$F,5,0),)</f>
        <v>500</v>
      </c>
      <c r="K238" s="38">
        <f>IFERROR(VLOOKUP(A:A,[1]APO!$A:$F,6,0),)</f>
        <v>0</v>
      </c>
      <c r="L238" s="38">
        <f>IFERROR(VLOOKUP(C:C,'[1]TOTAL APO'!$A:$B,2,0),)</f>
        <v>0</v>
      </c>
      <c r="M238" s="38">
        <f>IFERROR(VLOOKUP(A:A,[1]Short!$A:$Q,17,0),)</f>
        <v>0</v>
      </c>
      <c r="N238" s="38">
        <f>IFERROR(VLOOKUP(C:C,[1]GIT!$B:$D,3,0),)</f>
        <v>500</v>
      </c>
      <c r="O238" s="38">
        <f>IFERROR(VLOOKUP(A:A,[2]Sheet1!$A:$B,2,0),)</f>
        <v>0</v>
      </c>
      <c r="P238" s="38">
        <f>IFERROR(VLOOKUP(A:A,[2]Sheet1!$A:$B,2,0),)</f>
        <v>0</v>
      </c>
      <c r="Q238" s="38">
        <f t="shared" si="3"/>
        <v>50</v>
      </c>
      <c r="R238" s="38"/>
      <c r="S238" s="38"/>
    </row>
    <row r="239" spans="1:19" hidden="1" x14ac:dyDescent="0.25">
      <c r="A239" s="38" t="str">
        <f>F239&amp;C239</f>
        <v>C04240049654</v>
      </c>
      <c r="B239" s="38" t="str">
        <f>IF(J239&gt;=SUMIFS(E:E,C:C,C239),"Good to go","Short in Qty")</f>
        <v>Good to go</v>
      </c>
      <c r="C239" s="40">
        <v>40049654</v>
      </c>
      <c r="D239" s="40" t="s">
        <v>527</v>
      </c>
      <c r="E239" s="66">
        <v>5</v>
      </c>
      <c r="F239" s="38" t="s">
        <v>10</v>
      </c>
      <c r="G239" s="40" t="s">
        <v>467</v>
      </c>
      <c r="H239" s="38" t="s">
        <v>9</v>
      </c>
      <c r="I239" s="38" t="s">
        <v>530</v>
      </c>
      <c r="J239" s="38">
        <f>IFERROR(VLOOKUP(C:C,'[1]S&amp;S'!$B:$F,5,0),)</f>
        <v>2897</v>
      </c>
      <c r="K239" s="38">
        <f>IFERROR(VLOOKUP(A:A,[1]APO!$A:$F,6,0),)</f>
        <v>0</v>
      </c>
      <c r="L239" s="38">
        <f>IFERROR(VLOOKUP(C:C,'[1]TOTAL APO'!$A:$B,2,0),)</f>
        <v>0</v>
      </c>
      <c r="M239" s="38">
        <f>IFERROR(VLOOKUP(A:A,[1]Short!$A:$Q,17,0),)</f>
        <v>0</v>
      </c>
      <c r="N239" s="38">
        <f>IFERROR(VLOOKUP(C:C,[1]GIT!$B:$D,3,0),)</f>
        <v>0</v>
      </c>
      <c r="O239" s="38">
        <f>IFERROR(VLOOKUP(A:A,[2]Sheet1!$A:$B,2,0),)</f>
        <v>5</v>
      </c>
      <c r="P239" s="38">
        <f>IFERROR(VLOOKUP(A:A,[2]Sheet1!$A:$B,2,0),)</f>
        <v>5</v>
      </c>
      <c r="Q239" s="38">
        <f t="shared" si="3"/>
        <v>0</v>
      </c>
      <c r="R239" s="38"/>
      <c r="S239" s="38"/>
    </row>
    <row r="240" spans="1:19" hidden="1" x14ac:dyDescent="0.25">
      <c r="A240" s="38" t="str">
        <f>F240&amp;C240</f>
        <v>C04240049658</v>
      </c>
      <c r="B240" s="38" t="str">
        <f>IF(J240&gt;=SUMIFS(E:E,C:C,C240),"Good to go","Short in Qty")</f>
        <v>Good to go</v>
      </c>
      <c r="C240" s="40">
        <v>40049658</v>
      </c>
      <c r="D240" s="40" t="s">
        <v>536</v>
      </c>
      <c r="E240" s="66">
        <v>20</v>
      </c>
      <c r="F240" s="38" t="s">
        <v>10</v>
      </c>
      <c r="G240" s="40" t="s">
        <v>467</v>
      </c>
      <c r="H240" s="38" t="s">
        <v>594</v>
      </c>
      <c r="I240" s="38" t="s">
        <v>595</v>
      </c>
      <c r="J240" s="38">
        <f>IFERROR(VLOOKUP(C:C,'[1]S&amp;S'!$B:$F,5,0),)</f>
        <v>1044</v>
      </c>
      <c r="K240" s="38">
        <f>IFERROR(VLOOKUP(A:A,[1]APO!$A:$F,6,0),)</f>
        <v>0</v>
      </c>
      <c r="L240" s="38">
        <f>IFERROR(VLOOKUP(C:C,'[1]TOTAL APO'!$A:$B,2,0),)</f>
        <v>0</v>
      </c>
      <c r="M240" s="38">
        <f>IFERROR(VLOOKUP(A:A,[1]Short!$A:$Q,17,0),)</f>
        <v>0</v>
      </c>
      <c r="N240" s="38">
        <f>IFERROR(VLOOKUP(C:C,[1]GIT!$B:$D,3,0),)</f>
        <v>0</v>
      </c>
      <c r="O240" s="38">
        <f>IFERROR(VLOOKUP(A:A,[2]Sheet1!$A:$B,2,0),)</f>
        <v>20</v>
      </c>
      <c r="P240" s="38">
        <f>IFERROR(VLOOKUP(A:A,[2]Sheet1!$A:$B,2,0),)</f>
        <v>20</v>
      </c>
      <c r="Q240" s="38">
        <f t="shared" si="3"/>
        <v>0</v>
      </c>
      <c r="R240" s="38"/>
      <c r="S240" s="38"/>
    </row>
    <row r="241" spans="1:19" hidden="1" x14ac:dyDescent="0.25">
      <c r="A241" s="38" t="str">
        <f>F241&amp;C241</f>
        <v>C04440041315</v>
      </c>
      <c r="B241" s="38" t="str">
        <f>IF(J241&gt;=SUMIFS(E:E,C:C,C241),"Good to go","Short in Qty")</f>
        <v>Good to go</v>
      </c>
      <c r="C241" s="40">
        <v>40041315</v>
      </c>
      <c r="D241" s="40" t="s">
        <v>440</v>
      </c>
      <c r="E241" s="66">
        <v>18</v>
      </c>
      <c r="F241" s="38" t="s">
        <v>191</v>
      </c>
      <c r="G241" s="40" t="s">
        <v>467</v>
      </c>
      <c r="H241" s="38" t="s">
        <v>84</v>
      </c>
      <c r="I241" s="38" t="s">
        <v>620</v>
      </c>
      <c r="J241" s="38">
        <f>IFERROR(VLOOKUP(C:C,'[1]S&amp;S'!$B:$F,5,0),)</f>
        <v>112</v>
      </c>
      <c r="K241" s="38">
        <f>IFERROR(VLOOKUP(A:A,[1]APO!$A:$F,6,0),)</f>
        <v>0</v>
      </c>
      <c r="L241" s="38">
        <f>IFERROR(VLOOKUP(C:C,'[1]TOTAL APO'!$A:$B,2,0),)</f>
        <v>0</v>
      </c>
      <c r="M241" s="38">
        <f>IFERROR(VLOOKUP(A:A,[1]Short!$A:$Q,17,0),)</f>
        <v>0</v>
      </c>
      <c r="N241" s="38">
        <f>IFERROR(VLOOKUP(C:C,[1]GIT!$B:$D,3,0),)</f>
        <v>0</v>
      </c>
      <c r="O241" s="38">
        <f>IFERROR(VLOOKUP(A:A,[2]Sheet1!$A:$B,2,0),)</f>
        <v>18</v>
      </c>
      <c r="P241" s="38">
        <f>IFERROR(VLOOKUP(A:A,[2]Sheet1!$A:$B,2,0),)</f>
        <v>18</v>
      </c>
      <c r="Q241" s="38">
        <f t="shared" si="3"/>
        <v>0</v>
      </c>
      <c r="R241" s="38"/>
      <c r="S241" s="38"/>
    </row>
    <row r="242" spans="1:19" hidden="1" x14ac:dyDescent="0.25">
      <c r="A242" s="38" t="str">
        <f>F242&amp;C242</f>
        <v>C04240060449</v>
      </c>
      <c r="B242" s="38" t="str">
        <f>IF(J242&gt;=SUMIFS(E:E,C:C,C242),"Good to go","Short in Qty")</f>
        <v>Good to go</v>
      </c>
      <c r="C242" s="40">
        <v>40060449</v>
      </c>
      <c r="D242" s="40" t="s">
        <v>537</v>
      </c>
      <c r="E242" s="66">
        <v>20</v>
      </c>
      <c r="F242" s="38" t="s">
        <v>10</v>
      </c>
      <c r="G242" s="40" t="s">
        <v>467</v>
      </c>
      <c r="H242" s="38" t="s">
        <v>594</v>
      </c>
      <c r="I242" s="38" t="s">
        <v>595</v>
      </c>
      <c r="J242" s="38">
        <f>IFERROR(VLOOKUP(C:C,'[1]S&amp;S'!$B:$F,5,0),)</f>
        <v>728</v>
      </c>
      <c r="K242" s="38">
        <f>IFERROR(VLOOKUP(A:A,[1]APO!$A:$F,6,0),)</f>
        <v>0</v>
      </c>
      <c r="L242" s="38">
        <f>IFERROR(VLOOKUP(C:C,'[1]TOTAL APO'!$A:$B,2,0),)</f>
        <v>0</v>
      </c>
      <c r="M242" s="38">
        <f>IFERROR(VLOOKUP(A:A,[1]Short!$A:$Q,17,0),)</f>
        <v>0</v>
      </c>
      <c r="N242" s="38">
        <f>IFERROR(VLOOKUP(C:C,[1]GIT!$B:$D,3,0),)</f>
        <v>0</v>
      </c>
      <c r="O242" s="38">
        <f>IFERROR(VLOOKUP(A:A,[2]Sheet1!$A:$B,2,0),)</f>
        <v>20</v>
      </c>
      <c r="P242" s="38">
        <f>IFERROR(VLOOKUP(A:A,[2]Sheet1!$A:$B,2,0),)</f>
        <v>20</v>
      </c>
      <c r="Q242" s="38">
        <f t="shared" si="3"/>
        <v>0</v>
      </c>
      <c r="R242" s="38"/>
      <c r="S242" s="38"/>
    </row>
    <row r="243" spans="1:19" hidden="1" x14ac:dyDescent="0.25">
      <c r="A243" s="38" t="str">
        <f>F243&amp;C243</f>
        <v>C04640063757</v>
      </c>
      <c r="B243" s="38" t="str">
        <f>IF(J243&gt;=SUMIFS(E:E,C:C,C243),"Good to go","Short in Qty")</f>
        <v>Good to go</v>
      </c>
      <c r="C243" s="40">
        <v>40063757</v>
      </c>
      <c r="D243" s="40" t="s">
        <v>261</v>
      </c>
      <c r="E243" s="66">
        <v>26</v>
      </c>
      <c r="F243" s="38" t="s">
        <v>13</v>
      </c>
      <c r="G243" s="40" t="s">
        <v>467</v>
      </c>
      <c r="H243" s="38" t="s">
        <v>9</v>
      </c>
      <c r="I243" s="38" t="s">
        <v>530</v>
      </c>
      <c r="J243" s="38">
        <f>IFERROR(VLOOKUP(C:C,'[1]S&amp;S'!$B:$F,5,0),)</f>
        <v>500</v>
      </c>
      <c r="K243" s="38">
        <f>IFERROR(VLOOKUP(A:A,[1]APO!$A:$F,6,0),)</f>
        <v>0</v>
      </c>
      <c r="L243" s="38">
        <f>IFERROR(VLOOKUP(C:C,'[1]TOTAL APO'!$A:$B,2,0),)</f>
        <v>0</v>
      </c>
      <c r="M243" s="38">
        <f>IFERROR(VLOOKUP(A:A,[1]Short!$A:$Q,17,0),)</f>
        <v>0</v>
      </c>
      <c r="N243" s="38">
        <f>IFERROR(VLOOKUP(C:C,[1]GIT!$B:$D,3,0),)</f>
        <v>500</v>
      </c>
      <c r="O243" s="38">
        <f>IFERROR(VLOOKUP(A:A,[2]Sheet1!$A:$B,2,0),)</f>
        <v>26</v>
      </c>
      <c r="P243" s="38">
        <f>IFERROR(VLOOKUP(A:A,[2]Sheet1!$A:$B,2,0),)</f>
        <v>26</v>
      </c>
      <c r="Q243" s="38">
        <f t="shared" si="3"/>
        <v>0</v>
      </c>
      <c r="R243" s="38"/>
      <c r="S243" s="38"/>
    </row>
    <row r="244" spans="1:19" x14ac:dyDescent="0.25">
      <c r="A244" s="38" t="str">
        <f>F244&amp;C244</f>
        <v>C04640062024</v>
      </c>
      <c r="B244" s="38" t="str">
        <f>IF(J244&gt;=SUMIFS(E:E,C:C,C244),"Good to go","Short in Qty")</f>
        <v>Good to go</v>
      </c>
      <c r="C244" s="40">
        <v>40062024</v>
      </c>
      <c r="D244" s="40" t="s">
        <v>276</v>
      </c>
      <c r="E244" s="66">
        <v>4</v>
      </c>
      <c r="F244" s="38" t="s">
        <v>13</v>
      </c>
      <c r="G244" s="40"/>
      <c r="H244" s="38" t="s">
        <v>9</v>
      </c>
      <c r="I244" s="38" t="s">
        <v>530</v>
      </c>
      <c r="J244" s="38">
        <f>IFERROR(VLOOKUP(C:C,'[1]S&amp;S'!$B:$F,5,0),)</f>
        <v>1231.00416666667</v>
      </c>
      <c r="K244" s="38">
        <f>IFERROR(VLOOKUP(A:A,[1]APO!$A:$F,6,0),)</f>
        <v>0</v>
      </c>
      <c r="L244" s="38">
        <f>IFERROR(VLOOKUP(C:C,'[1]TOTAL APO'!$A:$B,2,0),)</f>
        <v>0</v>
      </c>
      <c r="M244" s="38">
        <f>IFERROR(VLOOKUP(A:A,[1]Short!$A:$Q,17,0),)</f>
        <v>0</v>
      </c>
      <c r="N244" s="38">
        <f>IFERROR(VLOOKUP(C:C,[1]GIT!$B:$D,3,0),)</f>
        <v>0</v>
      </c>
      <c r="O244" s="38">
        <f>IFERROR(VLOOKUP(A:A,[2]Sheet1!$A:$B,2,0),)</f>
        <v>0</v>
      </c>
      <c r="P244" s="38">
        <f>IFERROR(VLOOKUP(A:A,[2]Sheet1!$A:$B,2,0),)</f>
        <v>0</v>
      </c>
      <c r="Q244" s="38">
        <f t="shared" si="3"/>
        <v>4</v>
      </c>
      <c r="R244" s="38"/>
      <c r="S244" s="38"/>
    </row>
    <row r="245" spans="1:19" hidden="1" x14ac:dyDescent="0.25">
      <c r="A245" s="38" t="str">
        <f>F245&amp;C245</f>
        <v>C04240060450</v>
      </c>
      <c r="B245" s="38" t="str">
        <f>IF(J245&gt;=SUMIFS(E:E,C:C,C245),"Good to go","Short in Qty")</f>
        <v>Good to go</v>
      </c>
      <c r="C245" s="40">
        <v>40060450</v>
      </c>
      <c r="D245" s="40" t="s">
        <v>572</v>
      </c>
      <c r="E245" s="66">
        <v>20</v>
      </c>
      <c r="F245" s="38" t="s">
        <v>10</v>
      </c>
      <c r="G245" s="40" t="s">
        <v>467</v>
      </c>
      <c r="H245" s="38" t="s">
        <v>594</v>
      </c>
      <c r="I245" s="38" t="s">
        <v>595</v>
      </c>
      <c r="J245" s="38">
        <f>IFERROR(VLOOKUP(C:C,'[1]S&amp;S'!$B:$F,5,0),)</f>
        <v>555</v>
      </c>
      <c r="K245" s="38">
        <f>IFERROR(VLOOKUP(A:A,[1]APO!$A:$F,6,0),)</f>
        <v>0</v>
      </c>
      <c r="L245" s="38">
        <f>IFERROR(VLOOKUP(C:C,'[1]TOTAL APO'!$A:$B,2,0),)</f>
        <v>0</v>
      </c>
      <c r="M245" s="38">
        <f>IFERROR(VLOOKUP(A:A,[1]Short!$A:$Q,17,0),)</f>
        <v>0</v>
      </c>
      <c r="N245" s="38">
        <f>IFERROR(VLOOKUP(C:C,[1]GIT!$B:$D,3,0),)</f>
        <v>0</v>
      </c>
      <c r="O245" s="38">
        <f>IFERROR(VLOOKUP(A:A,[2]Sheet1!$A:$B,2,0),)</f>
        <v>20</v>
      </c>
      <c r="P245" s="38">
        <f>IFERROR(VLOOKUP(A:A,[2]Sheet1!$A:$B,2,0),)</f>
        <v>20</v>
      </c>
      <c r="Q245" s="38">
        <f t="shared" si="3"/>
        <v>0</v>
      </c>
      <c r="R245" s="38"/>
      <c r="S245" s="38"/>
    </row>
    <row r="246" spans="1:19" x14ac:dyDescent="0.25">
      <c r="A246" s="38" t="str">
        <f>F246&amp;C246</f>
        <v>C04740063757</v>
      </c>
      <c r="B246" s="38" t="str">
        <f>IF(J246&gt;=SUMIFS(E:E,C:C,C246),"Good to go","Short in Qty")</f>
        <v>Good to go</v>
      </c>
      <c r="C246" s="40">
        <v>40063757</v>
      </c>
      <c r="D246" s="40" t="s">
        <v>261</v>
      </c>
      <c r="E246" s="66">
        <v>50</v>
      </c>
      <c r="F246" s="38" t="s">
        <v>192</v>
      </c>
      <c r="G246" s="40"/>
      <c r="H246" s="38" t="s">
        <v>9</v>
      </c>
      <c r="I246" s="38" t="s">
        <v>530</v>
      </c>
      <c r="J246" s="38">
        <f>IFERROR(VLOOKUP(C:C,'[1]S&amp;S'!$B:$F,5,0),)</f>
        <v>500</v>
      </c>
      <c r="K246" s="38">
        <f>IFERROR(VLOOKUP(A:A,[1]APO!$A:$F,6,0),)</f>
        <v>0</v>
      </c>
      <c r="L246" s="38">
        <f>IFERROR(VLOOKUP(C:C,'[1]TOTAL APO'!$A:$B,2,0),)</f>
        <v>0</v>
      </c>
      <c r="M246" s="38">
        <f>IFERROR(VLOOKUP(A:A,[1]Short!$A:$Q,17,0),)</f>
        <v>0</v>
      </c>
      <c r="N246" s="38">
        <f>IFERROR(VLOOKUP(C:C,[1]GIT!$B:$D,3,0),)</f>
        <v>500</v>
      </c>
      <c r="O246" s="38">
        <f>IFERROR(VLOOKUP(A:A,[2]Sheet1!$A:$B,2,0),)</f>
        <v>0</v>
      </c>
      <c r="P246" s="38">
        <f>IFERROR(VLOOKUP(A:A,[2]Sheet1!$A:$B,2,0),)</f>
        <v>0</v>
      </c>
      <c r="Q246" s="38">
        <f t="shared" si="3"/>
        <v>50</v>
      </c>
      <c r="R246" s="38"/>
      <c r="S246" s="38"/>
    </row>
    <row r="247" spans="1:19" hidden="1" x14ac:dyDescent="0.25">
      <c r="A247" s="38" t="str">
        <f>F247&amp;C247</f>
        <v>C04840065167</v>
      </c>
      <c r="B247" s="38" t="str">
        <f>IF(J247&gt;=SUMIFS(E:E,C:C,C247),"Good to go","Short in Qty")</f>
        <v>Good to go</v>
      </c>
      <c r="C247" s="40">
        <v>40065167</v>
      </c>
      <c r="D247" s="40" t="s">
        <v>512</v>
      </c>
      <c r="E247" s="66">
        <v>1</v>
      </c>
      <c r="F247" s="38" t="s">
        <v>8</v>
      </c>
      <c r="G247" s="73" t="s">
        <v>467</v>
      </c>
      <c r="H247" s="38" t="s">
        <v>84</v>
      </c>
      <c r="I247" s="38" t="s">
        <v>620</v>
      </c>
      <c r="J247" s="38">
        <f>IFERROR(VLOOKUP(C:C,'[1]S&amp;S'!$B:$F,5,0),)</f>
        <v>244</v>
      </c>
      <c r="K247" s="38">
        <f>IFERROR(VLOOKUP(A:A,[1]APO!$A:$F,6,0),)</f>
        <v>0</v>
      </c>
      <c r="L247" s="38">
        <f>IFERROR(VLOOKUP(C:C,'[1]TOTAL APO'!$A:$B,2,0),)</f>
        <v>0</v>
      </c>
      <c r="M247" s="38">
        <f>IFERROR(VLOOKUP(A:A,[1]Short!$A:$Q,17,0),)</f>
        <v>0</v>
      </c>
      <c r="N247" s="38">
        <f>IFERROR(VLOOKUP(C:C,[1]GIT!$B:$D,3,0),)</f>
        <v>0</v>
      </c>
      <c r="O247" s="38">
        <f>IFERROR(VLOOKUP(A:A,[2]Sheet1!$A:$B,2,0),)</f>
        <v>1</v>
      </c>
      <c r="P247" s="38">
        <f>IFERROR(VLOOKUP(A:A,[2]Sheet1!$A:$B,2,0),)</f>
        <v>1</v>
      </c>
      <c r="Q247" s="38">
        <f t="shared" si="3"/>
        <v>0</v>
      </c>
      <c r="R247" s="38"/>
      <c r="S247" s="38"/>
    </row>
    <row r="248" spans="1:19" hidden="1" x14ac:dyDescent="0.25">
      <c r="A248" s="38" t="str">
        <f>F248&amp;C248</f>
        <v>C04240063754</v>
      </c>
      <c r="B248" s="38" t="str">
        <f>IF(J248&gt;=SUMIFS(E:E,C:C,C248),"Good to go","Short in Qty")</f>
        <v>Good to go</v>
      </c>
      <c r="C248" s="40">
        <v>40063754</v>
      </c>
      <c r="D248" s="40" t="s">
        <v>503</v>
      </c>
      <c r="E248" s="66">
        <v>7</v>
      </c>
      <c r="F248" s="38" t="s">
        <v>10</v>
      </c>
      <c r="G248" s="40" t="s">
        <v>467</v>
      </c>
      <c r="H248" s="38" t="s">
        <v>9</v>
      </c>
      <c r="I248" s="38" t="s">
        <v>530</v>
      </c>
      <c r="J248" s="38">
        <f>IFERROR(VLOOKUP(C:C,'[1]S&amp;S'!$B:$F,5,0),)</f>
        <v>228.9545</v>
      </c>
      <c r="K248" s="38">
        <f>IFERROR(VLOOKUP(A:A,[1]APO!$A:$F,6,0),)</f>
        <v>0</v>
      </c>
      <c r="L248" s="38">
        <f>IFERROR(VLOOKUP(C:C,'[1]TOTAL APO'!$A:$B,2,0),)</f>
        <v>0</v>
      </c>
      <c r="M248" s="38">
        <f>IFERROR(VLOOKUP(A:A,[1]Short!$A:$Q,17,0),)</f>
        <v>0</v>
      </c>
      <c r="N248" s="38">
        <f>IFERROR(VLOOKUP(C:C,[1]GIT!$B:$D,3,0),)</f>
        <v>0</v>
      </c>
      <c r="O248" s="38">
        <f>IFERROR(VLOOKUP(A:A,[2]Sheet1!$A:$B,2,0),)</f>
        <v>7</v>
      </c>
      <c r="P248" s="38">
        <f>IFERROR(VLOOKUP(A:A,[2]Sheet1!$A:$B,2,0),)</f>
        <v>7</v>
      </c>
      <c r="Q248" s="38">
        <f t="shared" si="3"/>
        <v>0</v>
      </c>
      <c r="R248" s="38"/>
      <c r="S248" s="38"/>
    </row>
    <row r="249" spans="1:19" x14ac:dyDescent="0.25">
      <c r="A249" s="38" t="str">
        <f>F249&amp;C249</f>
        <v>C04440063637</v>
      </c>
      <c r="B249" s="38" t="str">
        <f>IF(J249&gt;=SUMIFS(E:E,C:C,C249),"Good to go","Short in Qty")</f>
        <v>Good to go</v>
      </c>
      <c r="C249" s="40">
        <v>40063637</v>
      </c>
      <c r="D249" s="40" t="s">
        <v>275</v>
      </c>
      <c r="E249" s="66">
        <v>25</v>
      </c>
      <c r="F249" s="38" t="s">
        <v>191</v>
      </c>
      <c r="G249" s="40"/>
      <c r="H249" s="38" t="s">
        <v>9</v>
      </c>
      <c r="I249" s="38" t="s">
        <v>530</v>
      </c>
      <c r="J249" s="38">
        <f>IFERROR(VLOOKUP(C:C,'[1]S&amp;S'!$B:$F,5,0),)</f>
        <v>774</v>
      </c>
      <c r="K249" s="38">
        <f>IFERROR(VLOOKUP(A:A,[1]APO!$A:$F,6,0),)</f>
        <v>0</v>
      </c>
      <c r="L249" s="38">
        <f>IFERROR(VLOOKUP(C:C,'[1]TOTAL APO'!$A:$B,2,0),)</f>
        <v>0</v>
      </c>
      <c r="M249" s="38">
        <f>IFERROR(VLOOKUP(A:A,[1]Short!$A:$Q,17,0),)</f>
        <v>0</v>
      </c>
      <c r="N249" s="38">
        <f>IFERROR(VLOOKUP(C:C,[1]GIT!$B:$D,3,0),)</f>
        <v>0</v>
      </c>
      <c r="O249" s="38">
        <f>IFERROR(VLOOKUP(A:A,[2]Sheet1!$A:$B,2,0),)</f>
        <v>0</v>
      </c>
      <c r="P249" s="38">
        <f>IFERROR(VLOOKUP(A:A,[2]Sheet1!$A:$B,2,0),)</f>
        <v>0</v>
      </c>
      <c r="Q249" s="38">
        <f t="shared" si="3"/>
        <v>25</v>
      </c>
      <c r="R249" s="38"/>
      <c r="S249" s="38"/>
    </row>
    <row r="250" spans="1:19" x14ac:dyDescent="0.25">
      <c r="A250" s="38" t="str">
        <f>F250&amp;C250</f>
        <v>C04640063637</v>
      </c>
      <c r="B250" s="38" t="str">
        <f>IF(J250&gt;=SUMIFS(E:E,C:C,C250),"Good to go","Short in Qty")</f>
        <v>Good to go</v>
      </c>
      <c r="C250" s="40">
        <v>40063637</v>
      </c>
      <c r="D250" s="40" t="s">
        <v>275</v>
      </c>
      <c r="E250" s="66">
        <v>25</v>
      </c>
      <c r="F250" s="38" t="s">
        <v>13</v>
      </c>
      <c r="G250" s="40"/>
      <c r="H250" s="38" t="s">
        <v>9</v>
      </c>
      <c r="I250" s="38" t="s">
        <v>530</v>
      </c>
      <c r="J250" s="38">
        <f>IFERROR(VLOOKUP(C:C,'[1]S&amp;S'!$B:$F,5,0),)</f>
        <v>774</v>
      </c>
      <c r="K250" s="38">
        <f>IFERROR(VLOOKUP(A:A,[1]APO!$A:$F,6,0),)</f>
        <v>0</v>
      </c>
      <c r="L250" s="38">
        <f>IFERROR(VLOOKUP(C:C,'[1]TOTAL APO'!$A:$B,2,0),)</f>
        <v>0</v>
      </c>
      <c r="M250" s="38">
        <f>IFERROR(VLOOKUP(A:A,[1]Short!$A:$Q,17,0),)</f>
        <v>0</v>
      </c>
      <c r="N250" s="38">
        <f>IFERROR(VLOOKUP(C:C,[1]GIT!$B:$D,3,0),)</f>
        <v>0</v>
      </c>
      <c r="O250" s="38">
        <f>IFERROR(VLOOKUP(A:A,[2]Sheet1!$A:$B,2,0),)</f>
        <v>0</v>
      </c>
      <c r="P250" s="38">
        <f>IFERROR(VLOOKUP(A:A,[2]Sheet1!$A:$B,2,0),)</f>
        <v>0</v>
      </c>
      <c r="Q250" s="38">
        <f t="shared" si="3"/>
        <v>25</v>
      </c>
      <c r="R250" s="38"/>
      <c r="S250" s="38"/>
    </row>
    <row r="251" spans="1:19" x14ac:dyDescent="0.25">
      <c r="A251" s="38" t="str">
        <f>F251&amp;C251</f>
        <v>C04740063637</v>
      </c>
      <c r="B251" s="38" t="str">
        <f>IF(J251&gt;=SUMIFS(E:E,C:C,C251),"Good to go","Short in Qty")</f>
        <v>Good to go</v>
      </c>
      <c r="C251" s="40">
        <v>40063637</v>
      </c>
      <c r="D251" s="40" t="s">
        <v>275</v>
      </c>
      <c r="E251" s="66">
        <v>3</v>
      </c>
      <c r="F251" s="38" t="s">
        <v>192</v>
      </c>
      <c r="G251" s="40"/>
      <c r="H251" s="38" t="s">
        <v>9</v>
      </c>
      <c r="I251" s="38" t="s">
        <v>530</v>
      </c>
      <c r="J251" s="38">
        <f>IFERROR(VLOOKUP(C:C,'[1]S&amp;S'!$B:$F,5,0),)</f>
        <v>774</v>
      </c>
      <c r="K251" s="38">
        <f>IFERROR(VLOOKUP(A:A,[1]APO!$A:$F,6,0),)</f>
        <v>0</v>
      </c>
      <c r="L251" s="38">
        <f>IFERROR(VLOOKUP(C:C,'[1]TOTAL APO'!$A:$B,2,0),)</f>
        <v>0</v>
      </c>
      <c r="M251" s="38">
        <f>IFERROR(VLOOKUP(A:A,[1]Short!$A:$Q,17,0),)</f>
        <v>0</v>
      </c>
      <c r="N251" s="38">
        <f>IFERROR(VLOOKUP(C:C,[1]GIT!$B:$D,3,0),)</f>
        <v>0</v>
      </c>
      <c r="O251" s="38">
        <f>IFERROR(VLOOKUP(A:A,[2]Sheet1!$A:$B,2,0),)</f>
        <v>0</v>
      </c>
      <c r="P251" s="38">
        <f>IFERROR(VLOOKUP(A:A,[2]Sheet1!$A:$B,2,0),)</f>
        <v>0</v>
      </c>
      <c r="Q251" s="38">
        <f t="shared" si="3"/>
        <v>3</v>
      </c>
      <c r="R251" s="38"/>
      <c r="S251" s="38"/>
    </row>
    <row r="252" spans="1:19" hidden="1" x14ac:dyDescent="0.25">
      <c r="A252" s="38" t="str">
        <f>F252&amp;C252</f>
        <v>C04340055905</v>
      </c>
      <c r="B252" s="38" t="str">
        <f>IF(J252&gt;=SUMIFS(E:E,C:C,C252),"Good to go","Short in Qty")</f>
        <v>Short in Qty</v>
      </c>
      <c r="C252" s="40">
        <v>40055905</v>
      </c>
      <c r="D252" s="40" t="s">
        <v>574</v>
      </c>
      <c r="E252" s="66">
        <v>10</v>
      </c>
      <c r="F252" s="38" t="s">
        <v>11</v>
      </c>
      <c r="G252" s="40" t="s">
        <v>269</v>
      </c>
      <c r="H252" s="38" t="s">
        <v>594</v>
      </c>
      <c r="I252" s="38" t="s">
        <v>595</v>
      </c>
      <c r="J252" s="38">
        <f>IFERROR(VLOOKUP(C:C,'[1]S&amp;S'!$B:$F,5,0),)</f>
        <v>0</v>
      </c>
      <c r="K252" s="38">
        <f>IFERROR(VLOOKUP(A:A,[1]APO!$A:$F,6,0),)</f>
        <v>0</v>
      </c>
      <c r="L252" s="38">
        <f>IFERROR(VLOOKUP(C:C,'[1]TOTAL APO'!$A:$B,2,0),)</f>
        <v>0</v>
      </c>
      <c r="M252" s="38">
        <f>IFERROR(VLOOKUP(A:A,[1]Short!$A:$Q,17,0),)</f>
        <v>0</v>
      </c>
      <c r="N252" s="38">
        <f>IFERROR(VLOOKUP(C:C,[1]GIT!$B:$D,3,0),)</f>
        <v>0</v>
      </c>
      <c r="O252" s="38">
        <f>IFERROR(VLOOKUP(A:A,[2]Sheet1!$A:$B,2,0),)</f>
        <v>10</v>
      </c>
      <c r="P252" s="38">
        <f>IFERROR(VLOOKUP(A:A,[2]Sheet1!$A:$B,2,0),)</f>
        <v>10</v>
      </c>
      <c r="Q252" s="38">
        <f t="shared" si="3"/>
        <v>0</v>
      </c>
      <c r="R252" s="38"/>
      <c r="S252" s="38"/>
    </row>
    <row r="253" spans="1:19" hidden="1" x14ac:dyDescent="0.25">
      <c r="A253" s="38" t="str">
        <f>F253&amp;C253</f>
        <v>C04640055905</v>
      </c>
      <c r="B253" s="38" t="str">
        <f>IF(J253&gt;=SUMIFS(E:E,C:C,C253),"Good to go","Short in Qty")</f>
        <v>Short in Qty</v>
      </c>
      <c r="C253" s="40">
        <v>40055905</v>
      </c>
      <c r="D253" s="40" t="s">
        <v>574</v>
      </c>
      <c r="E253" s="66">
        <v>10</v>
      </c>
      <c r="F253" s="38" t="s">
        <v>13</v>
      </c>
      <c r="G253" s="40" t="s">
        <v>269</v>
      </c>
      <c r="H253" s="38" t="s">
        <v>594</v>
      </c>
      <c r="I253" s="38" t="s">
        <v>595</v>
      </c>
      <c r="J253" s="38">
        <f>IFERROR(VLOOKUP(C:C,'[1]S&amp;S'!$B:$F,5,0),)</f>
        <v>0</v>
      </c>
      <c r="K253" s="38">
        <f>IFERROR(VLOOKUP(A:A,[1]APO!$A:$F,6,0),)</f>
        <v>0</v>
      </c>
      <c r="L253" s="38">
        <f>IFERROR(VLOOKUP(C:C,'[1]TOTAL APO'!$A:$B,2,0),)</f>
        <v>0</v>
      </c>
      <c r="M253" s="38">
        <f>IFERROR(VLOOKUP(A:A,[1]Short!$A:$Q,17,0),)</f>
        <v>0</v>
      </c>
      <c r="N253" s="38">
        <f>IFERROR(VLOOKUP(C:C,[1]GIT!$B:$D,3,0),)</f>
        <v>0</v>
      </c>
      <c r="O253" s="38">
        <f>IFERROR(VLOOKUP(A:A,[2]Sheet1!$A:$B,2,0),)</f>
        <v>0</v>
      </c>
      <c r="P253" s="38">
        <f>IFERROR(VLOOKUP(A:A,[2]Sheet1!$A:$B,2,0),)</f>
        <v>0</v>
      </c>
      <c r="Q253" s="38">
        <f t="shared" si="3"/>
        <v>10</v>
      </c>
      <c r="R253" s="38"/>
      <c r="S253" s="38"/>
    </row>
    <row r="254" spans="1:19" hidden="1" x14ac:dyDescent="0.25">
      <c r="A254" s="38" t="str">
        <f>F254&amp;C254</f>
        <v>C04740055905</v>
      </c>
      <c r="B254" s="38" t="str">
        <f>IF(J254&gt;=SUMIFS(E:E,C:C,C254),"Good to go","Short in Qty")</f>
        <v>Short in Qty</v>
      </c>
      <c r="C254" s="40">
        <v>40055905</v>
      </c>
      <c r="D254" s="40" t="s">
        <v>574</v>
      </c>
      <c r="E254" s="66">
        <v>5</v>
      </c>
      <c r="F254" s="38" t="s">
        <v>192</v>
      </c>
      <c r="G254" s="40" t="s">
        <v>269</v>
      </c>
      <c r="H254" s="38" t="s">
        <v>594</v>
      </c>
      <c r="I254" s="38" t="s">
        <v>595</v>
      </c>
      <c r="J254" s="38">
        <f>IFERROR(VLOOKUP(C:C,'[1]S&amp;S'!$B:$F,5,0),)</f>
        <v>0</v>
      </c>
      <c r="K254" s="38">
        <f>IFERROR(VLOOKUP(A:A,[1]APO!$A:$F,6,0),)</f>
        <v>0</v>
      </c>
      <c r="L254" s="38">
        <f>IFERROR(VLOOKUP(C:C,'[1]TOTAL APO'!$A:$B,2,0),)</f>
        <v>0</v>
      </c>
      <c r="M254" s="38">
        <f>IFERROR(VLOOKUP(A:A,[1]Short!$A:$Q,17,0),)</f>
        <v>0</v>
      </c>
      <c r="N254" s="38">
        <f>IFERROR(VLOOKUP(C:C,[1]GIT!$B:$D,3,0),)</f>
        <v>0</v>
      </c>
      <c r="O254" s="38">
        <f>IFERROR(VLOOKUP(A:A,[2]Sheet1!$A:$B,2,0),)</f>
        <v>0</v>
      </c>
      <c r="P254" s="38">
        <f>IFERROR(VLOOKUP(A:A,[2]Sheet1!$A:$B,2,0),)</f>
        <v>0</v>
      </c>
      <c r="Q254" s="38">
        <f t="shared" si="3"/>
        <v>5</v>
      </c>
      <c r="R254" s="38"/>
      <c r="S254" s="38"/>
    </row>
    <row r="255" spans="1:19" hidden="1" x14ac:dyDescent="0.25">
      <c r="A255" s="38" t="str">
        <f>F255&amp;C255</f>
        <v>C04840055905</v>
      </c>
      <c r="B255" s="38" t="str">
        <f>IF(J255&gt;=SUMIFS(E:E,C:C,C255),"Good to go","Short in Qty")</f>
        <v>Short in Qty</v>
      </c>
      <c r="C255" s="40">
        <v>40055905</v>
      </c>
      <c r="D255" s="40" t="s">
        <v>574</v>
      </c>
      <c r="E255" s="66">
        <v>20</v>
      </c>
      <c r="F255" s="38" t="s">
        <v>8</v>
      </c>
      <c r="G255" s="40" t="s">
        <v>269</v>
      </c>
      <c r="H255" s="38" t="s">
        <v>594</v>
      </c>
      <c r="I255" s="38" t="s">
        <v>595</v>
      </c>
      <c r="J255" s="38">
        <f>IFERROR(VLOOKUP(C:C,'[1]S&amp;S'!$B:$F,5,0),)</f>
        <v>0</v>
      </c>
      <c r="K255" s="38">
        <f>IFERROR(VLOOKUP(A:A,[1]APO!$A:$F,6,0),)</f>
        <v>0</v>
      </c>
      <c r="L255" s="38">
        <f>IFERROR(VLOOKUP(C:C,'[1]TOTAL APO'!$A:$B,2,0),)</f>
        <v>0</v>
      </c>
      <c r="M255" s="38">
        <f>IFERROR(VLOOKUP(A:A,[1]Short!$A:$Q,17,0),)</f>
        <v>0</v>
      </c>
      <c r="N255" s="38">
        <f>IFERROR(VLOOKUP(C:C,[1]GIT!$B:$D,3,0),)</f>
        <v>0</v>
      </c>
      <c r="O255" s="38">
        <f>IFERROR(VLOOKUP(A:A,[2]Sheet1!$A:$B,2,0),)</f>
        <v>0</v>
      </c>
      <c r="P255" s="38">
        <f>IFERROR(VLOOKUP(A:A,[2]Sheet1!$A:$B,2,0),)</f>
        <v>0</v>
      </c>
      <c r="Q255" s="38">
        <f t="shared" si="3"/>
        <v>20</v>
      </c>
      <c r="R255" s="38"/>
      <c r="S255" s="38"/>
    </row>
    <row r="256" spans="1:19" hidden="1" x14ac:dyDescent="0.25">
      <c r="A256" s="38" t="str">
        <f>F256&amp;C256</f>
        <v>C04340056378</v>
      </c>
      <c r="B256" s="38" t="str">
        <f>IF(J256&gt;=SUMIFS(E:E,C:C,C256),"Good to go","Short in Qty")</f>
        <v>Good to go</v>
      </c>
      <c r="C256" s="40">
        <v>40056378</v>
      </c>
      <c r="D256" s="40" t="s">
        <v>518</v>
      </c>
      <c r="E256" s="66">
        <v>2</v>
      </c>
      <c r="F256" s="38" t="s">
        <v>11</v>
      </c>
      <c r="G256" s="40" t="s">
        <v>467</v>
      </c>
      <c r="H256" s="38" t="s">
        <v>9</v>
      </c>
      <c r="I256" s="38" t="s">
        <v>530</v>
      </c>
      <c r="J256" s="38">
        <f>IFERROR(VLOOKUP(C:C,'[1]S&amp;S'!$B:$F,5,0),)</f>
        <v>4.8958333333333304</v>
      </c>
      <c r="K256" s="38">
        <f>IFERROR(VLOOKUP(A:A,[1]APO!$A:$F,6,0),)</f>
        <v>0</v>
      </c>
      <c r="L256" s="38">
        <f>IFERROR(VLOOKUP(C:C,'[1]TOTAL APO'!$A:$B,2,0),)</f>
        <v>0</v>
      </c>
      <c r="M256" s="38">
        <f>IFERROR(VLOOKUP(A:A,[1]Short!$A:$Q,17,0),)</f>
        <v>0</v>
      </c>
      <c r="N256" s="38">
        <f>IFERROR(VLOOKUP(C:C,[1]GIT!$B:$D,3,0),)</f>
        <v>0</v>
      </c>
      <c r="O256" s="38">
        <f>IFERROR(VLOOKUP(A:A,[2]Sheet1!$A:$B,2,0),)</f>
        <v>2</v>
      </c>
      <c r="P256" s="38">
        <f>IFERROR(VLOOKUP(A:A,[2]Sheet1!$A:$B,2,0),)</f>
        <v>2</v>
      </c>
      <c r="Q256" s="38">
        <f t="shared" si="3"/>
        <v>0</v>
      </c>
      <c r="R256" s="38"/>
      <c r="S256" s="38"/>
    </row>
    <row r="257" spans="1:19" hidden="1" x14ac:dyDescent="0.25">
      <c r="A257" s="38" t="str">
        <f>F257&amp;C257</f>
        <v>C04840065350</v>
      </c>
      <c r="B257" s="38" t="str">
        <f>IF(J257&gt;=SUMIFS(E:E,C:C,C257),"Good to go","Short in Qty")</f>
        <v>Good to go</v>
      </c>
      <c r="C257" s="40">
        <v>40065350</v>
      </c>
      <c r="D257" s="40" t="s">
        <v>557</v>
      </c>
      <c r="E257" s="66">
        <v>40</v>
      </c>
      <c r="F257" s="38" t="s">
        <v>8</v>
      </c>
      <c r="G257" s="40" t="s">
        <v>467</v>
      </c>
      <c r="H257" s="38" t="s">
        <v>594</v>
      </c>
      <c r="I257" s="38" t="s">
        <v>595</v>
      </c>
      <c r="J257" s="38">
        <f>IFERROR(VLOOKUP(C:C,'[1]S&amp;S'!$B:$F,5,0),)</f>
        <v>98</v>
      </c>
      <c r="K257" s="38">
        <f>IFERROR(VLOOKUP(A:A,[1]APO!$A:$F,6,0),)</f>
        <v>0</v>
      </c>
      <c r="L257" s="38">
        <f>IFERROR(VLOOKUP(C:C,'[1]TOTAL APO'!$A:$B,2,0),)</f>
        <v>0</v>
      </c>
      <c r="M257" s="38">
        <f>IFERROR(VLOOKUP(A:A,[1]Short!$A:$Q,17,0),)</f>
        <v>0</v>
      </c>
      <c r="N257" s="38">
        <f>IFERROR(VLOOKUP(C:C,[1]GIT!$B:$D,3,0),)</f>
        <v>0</v>
      </c>
      <c r="O257" s="38">
        <f>IFERROR(VLOOKUP(A:A,[2]Sheet1!$A:$B,2,0),)</f>
        <v>40</v>
      </c>
      <c r="P257" s="38">
        <f>IFERROR(VLOOKUP(A:A,[2]Sheet1!$A:$B,2,0),)</f>
        <v>40</v>
      </c>
      <c r="Q257" s="38">
        <f t="shared" si="3"/>
        <v>0</v>
      </c>
      <c r="R257" s="38"/>
      <c r="S257" s="38"/>
    </row>
    <row r="258" spans="1:19" x14ac:dyDescent="0.25">
      <c r="A258" s="38" t="str">
        <f>F258&amp;C258</f>
        <v>C04440056378</v>
      </c>
      <c r="B258" s="38" t="str">
        <f>IF(J258&gt;=SUMIFS(E:E,C:C,C258),"Good to go","Short in Qty")</f>
        <v>Good to go</v>
      </c>
      <c r="C258" s="40">
        <v>40056378</v>
      </c>
      <c r="D258" s="40" t="s">
        <v>518</v>
      </c>
      <c r="E258" s="66">
        <v>1</v>
      </c>
      <c r="F258" s="38" t="s">
        <v>191</v>
      </c>
      <c r="G258" s="40"/>
      <c r="H258" s="38" t="s">
        <v>9</v>
      </c>
      <c r="I258" s="38" t="s">
        <v>530</v>
      </c>
      <c r="J258" s="38">
        <f>IFERROR(VLOOKUP(C:C,'[1]S&amp;S'!$B:$F,5,0),)</f>
        <v>4.8958333333333304</v>
      </c>
      <c r="K258" s="38">
        <f>IFERROR(VLOOKUP(A:A,[1]APO!$A:$F,6,0),)</f>
        <v>0</v>
      </c>
      <c r="L258" s="38">
        <f>IFERROR(VLOOKUP(C:C,'[1]TOTAL APO'!$A:$B,2,0),)</f>
        <v>0</v>
      </c>
      <c r="M258" s="38">
        <f>IFERROR(VLOOKUP(A:A,[1]Short!$A:$Q,17,0),)</f>
        <v>0</v>
      </c>
      <c r="N258" s="38">
        <f>IFERROR(VLOOKUP(C:C,[1]GIT!$B:$D,3,0),)</f>
        <v>0</v>
      </c>
      <c r="O258" s="38">
        <f>IFERROR(VLOOKUP(A:A,[2]Sheet1!$A:$B,2,0),)</f>
        <v>0</v>
      </c>
      <c r="P258" s="38">
        <f>IFERROR(VLOOKUP(A:A,[2]Sheet1!$A:$B,2,0),)</f>
        <v>0</v>
      </c>
      <c r="Q258" s="38">
        <f t="shared" si="3"/>
        <v>1</v>
      </c>
      <c r="R258" s="38"/>
      <c r="S258" s="38"/>
    </row>
    <row r="259" spans="1:19" hidden="1" x14ac:dyDescent="0.25">
      <c r="A259" s="38" t="str">
        <f>F259&amp;C259</f>
        <v>C04240061000</v>
      </c>
      <c r="B259" s="38" t="str">
        <f>IF(J259&gt;=SUMIFS(E:E,C:C,C259),"Good to go","Short in Qty")</f>
        <v>Good to go</v>
      </c>
      <c r="C259" s="40">
        <v>40061000</v>
      </c>
      <c r="D259" s="40" t="s">
        <v>273</v>
      </c>
      <c r="E259" s="66">
        <v>5</v>
      </c>
      <c r="F259" s="38" t="s">
        <v>10</v>
      </c>
      <c r="G259" s="40" t="s">
        <v>467</v>
      </c>
      <c r="H259" s="38" t="s">
        <v>9</v>
      </c>
      <c r="I259" s="38" t="s">
        <v>530</v>
      </c>
      <c r="J259" s="38">
        <f>IFERROR(VLOOKUP(C:C,'[1]S&amp;S'!$B:$F,5,0),)</f>
        <v>54</v>
      </c>
      <c r="K259" s="38">
        <f>IFERROR(VLOOKUP(A:A,[1]APO!$A:$F,6,0),)</f>
        <v>0</v>
      </c>
      <c r="L259" s="38">
        <f>IFERROR(VLOOKUP(C:C,'[1]TOTAL APO'!$A:$B,2,0),)</f>
        <v>0</v>
      </c>
      <c r="M259" s="38">
        <f>IFERROR(VLOOKUP(A:A,[1]Short!$A:$Q,17,0),)</f>
        <v>0</v>
      </c>
      <c r="N259" s="38">
        <f>IFERROR(VLOOKUP(C:C,[1]GIT!$B:$D,3,0),)</f>
        <v>20</v>
      </c>
      <c r="O259" s="38">
        <f>IFERROR(VLOOKUP(A:A,[2]Sheet1!$A:$B,2,0),)</f>
        <v>5</v>
      </c>
      <c r="P259" s="38">
        <f>IFERROR(VLOOKUP(A:A,[2]Sheet1!$A:$B,2,0),)</f>
        <v>5</v>
      </c>
      <c r="Q259" s="38">
        <f t="shared" ref="Q259:Q322" si="4">+E259-P259</f>
        <v>0</v>
      </c>
      <c r="R259" s="38"/>
      <c r="S259" s="38"/>
    </row>
    <row r="260" spans="1:19" hidden="1" x14ac:dyDescent="0.25">
      <c r="A260" s="38" t="str">
        <f>F260&amp;C260</f>
        <v>C04340064886</v>
      </c>
      <c r="B260" s="38" t="str">
        <f>IF(J260&gt;=SUMIFS(E:E,C:C,C260),"Good to go","Short in Qty")</f>
        <v>Good to go</v>
      </c>
      <c r="C260" s="40">
        <v>40064886</v>
      </c>
      <c r="D260" s="40" t="s">
        <v>298</v>
      </c>
      <c r="E260" s="66">
        <v>66</v>
      </c>
      <c r="F260" s="38" t="s">
        <v>11</v>
      </c>
      <c r="G260" s="40" t="s">
        <v>467</v>
      </c>
      <c r="H260" s="38" t="s">
        <v>9</v>
      </c>
      <c r="I260" s="38" t="s">
        <v>530</v>
      </c>
      <c r="J260" s="38">
        <f>IFERROR(VLOOKUP(C:C,'[1]S&amp;S'!$B:$F,5,0),)</f>
        <v>2424.916666666667</v>
      </c>
      <c r="K260" s="38">
        <f>IFERROR(VLOOKUP(A:A,[1]APO!$A:$F,6,0),)</f>
        <v>0</v>
      </c>
      <c r="L260" s="38">
        <f>IFERROR(VLOOKUP(C:C,'[1]TOTAL APO'!$A:$B,2,0),)</f>
        <v>0</v>
      </c>
      <c r="M260" s="38">
        <f>IFERROR(VLOOKUP(A:A,[1]Short!$A:$Q,17,0),)</f>
        <v>0</v>
      </c>
      <c r="N260" s="38">
        <f>IFERROR(VLOOKUP(C:C,[1]GIT!$B:$D,3,0),)</f>
        <v>1658</v>
      </c>
      <c r="O260" s="38">
        <f>IFERROR(VLOOKUP(A:A,[2]Sheet1!$A:$B,2,0),)</f>
        <v>66</v>
      </c>
      <c r="P260" s="38">
        <f>IFERROR(VLOOKUP(A:A,[2]Sheet1!$A:$B,2,0),)</f>
        <v>66</v>
      </c>
      <c r="Q260" s="38">
        <f t="shared" si="4"/>
        <v>0</v>
      </c>
      <c r="R260" s="38"/>
      <c r="S260" s="38"/>
    </row>
    <row r="261" spans="1:19" x14ac:dyDescent="0.25">
      <c r="A261" s="38" t="str">
        <f>F261&amp;C261</f>
        <v>C04440064886</v>
      </c>
      <c r="B261" s="38" t="str">
        <f>IF(J261&gt;=SUMIFS(E:E,C:C,C261),"Good to go","Short in Qty")</f>
        <v>Good to go</v>
      </c>
      <c r="C261" s="40">
        <v>40064886</v>
      </c>
      <c r="D261" s="40" t="s">
        <v>298</v>
      </c>
      <c r="E261" s="66">
        <v>335</v>
      </c>
      <c r="F261" s="38" t="s">
        <v>191</v>
      </c>
      <c r="G261" s="40" t="s">
        <v>467</v>
      </c>
      <c r="H261" s="38" t="s">
        <v>9</v>
      </c>
      <c r="I261" s="38" t="s">
        <v>530</v>
      </c>
      <c r="J261" s="38">
        <f>IFERROR(VLOOKUP(C:C,'[1]S&amp;S'!$B:$F,5,0),)</f>
        <v>2424.916666666667</v>
      </c>
      <c r="K261" s="38">
        <f>IFERROR(VLOOKUP(A:A,[1]APO!$A:$F,6,0),)</f>
        <v>0</v>
      </c>
      <c r="L261" s="38">
        <f>IFERROR(VLOOKUP(C:C,'[1]TOTAL APO'!$A:$B,2,0),)</f>
        <v>0</v>
      </c>
      <c r="M261" s="38">
        <f>IFERROR(VLOOKUP(A:A,[1]Short!$A:$Q,17,0),)</f>
        <v>0</v>
      </c>
      <c r="N261" s="38">
        <f>IFERROR(VLOOKUP(C:C,[1]GIT!$B:$D,3,0),)</f>
        <v>1658</v>
      </c>
      <c r="O261" s="38">
        <f>IFERROR(VLOOKUP(A:A,[2]Sheet1!$A:$B,2,0),)</f>
        <v>0</v>
      </c>
      <c r="P261" s="38">
        <f>IFERROR(VLOOKUP(A:A,[2]Sheet1!$A:$B,2,0),)</f>
        <v>0</v>
      </c>
      <c r="Q261" s="38">
        <f t="shared" si="4"/>
        <v>335</v>
      </c>
      <c r="R261" s="38"/>
      <c r="S261" s="38"/>
    </row>
    <row r="262" spans="1:19" hidden="1" x14ac:dyDescent="0.25">
      <c r="A262" s="38" t="str">
        <f>F262&amp;C262</f>
        <v>C04340042647</v>
      </c>
      <c r="B262" s="38" t="str">
        <f>IF(J262&gt;=SUMIFS(E:E,C:C,C262),"Good to go","Short in Qty")</f>
        <v>Good to go</v>
      </c>
      <c r="C262" s="40">
        <v>40042647</v>
      </c>
      <c r="D262" s="40" t="s">
        <v>612</v>
      </c>
      <c r="E262" s="66">
        <v>2</v>
      </c>
      <c r="F262" s="38" t="s">
        <v>11</v>
      </c>
      <c r="G262" s="40" t="s">
        <v>467</v>
      </c>
      <c r="H262" s="38" t="s">
        <v>84</v>
      </c>
      <c r="I262" s="38" t="s">
        <v>620</v>
      </c>
      <c r="J262" s="38">
        <f>IFERROR(VLOOKUP(C:C,'[1]S&amp;S'!$B:$F,5,0),)</f>
        <v>8</v>
      </c>
      <c r="K262" s="38">
        <f>IFERROR(VLOOKUP(A:A,[1]APO!$A:$F,6,0),)</f>
        <v>0</v>
      </c>
      <c r="L262" s="38">
        <f>IFERROR(VLOOKUP(C:C,'[1]TOTAL APO'!$A:$B,2,0),)</f>
        <v>0</v>
      </c>
      <c r="M262" s="38">
        <f>IFERROR(VLOOKUP(A:A,[1]Short!$A:$Q,17,0),)</f>
        <v>0</v>
      </c>
      <c r="N262" s="38">
        <f>IFERROR(VLOOKUP(C:C,[1]GIT!$B:$D,3,0),)</f>
        <v>0</v>
      </c>
      <c r="O262" s="38">
        <f>IFERROR(VLOOKUP(A:A,[2]Sheet1!$A:$B,2,0),)</f>
        <v>0</v>
      </c>
      <c r="P262" s="38">
        <f>IFERROR(VLOOKUP(A:A,[2]Sheet1!$A:$B,2,0),)</f>
        <v>0</v>
      </c>
      <c r="Q262" s="38">
        <f t="shared" si="4"/>
        <v>2</v>
      </c>
      <c r="R262" s="38"/>
      <c r="S262" s="38"/>
    </row>
    <row r="263" spans="1:19" x14ac:dyDescent="0.25">
      <c r="A263" s="38" t="str">
        <f>F263&amp;C263</f>
        <v>C04640056378</v>
      </c>
      <c r="B263" s="38" t="str">
        <f>IF(J263&gt;=SUMIFS(E:E,C:C,C263),"Good to go","Short in Qty")</f>
        <v>Good to go</v>
      </c>
      <c r="C263" s="40">
        <v>40056378</v>
      </c>
      <c r="D263" s="40" t="s">
        <v>518</v>
      </c>
      <c r="E263" s="66">
        <v>1</v>
      </c>
      <c r="F263" s="38" t="s">
        <v>13</v>
      </c>
      <c r="G263" s="40"/>
      <c r="H263" s="38" t="s">
        <v>9</v>
      </c>
      <c r="I263" s="38" t="s">
        <v>530</v>
      </c>
      <c r="J263" s="38">
        <f>IFERROR(VLOOKUP(C:C,'[1]S&amp;S'!$B:$F,5,0),)</f>
        <v>4.8958333333333304</v>
      </c>
      <c r="K263" s="38">
        <f>IFERROR(VLOOKUP(A:A,[1]APO!$A:$F,6,0),)</f>
        <v>0</v>
      </c>
      <c r="L263" s="38">
        <f>IFERROR(VLOOKUP(C:C,'[1]TOTAL APO'!$A:$B,2,0),)</f>
        <v>0</v>
      </c>
      <c r="M263" s="38">
        <f>IFERROR(VLOOKUP(A:A,[1]Short!$A:$Q,17,0),)</f>
        <v>0</v>
      </c>
      <c r="N263" s="38">
        <f>IFERROR(VLOOKUP(C:C,[1]GIT!$B:$D,3,0),)</f>
        <v>0</v>
      </c>
      <c r="O263" s="38">
        <f>IFERROR(VLOOKUP(A:A,[2]Sheet1!$A:$B,2,0),)</f>
        <v>0</v>
      </c>
      <c r="P263" s="38">
        <f>IFERROR(VLOOKUP(A:A,[2]Sheet1!$A:$B,2,0),)</f>
        <v>0</v>
      </c>
      <c r="Q263" s="38">
        <f t="shared" si="4"/>
        <v>1</v>
      </c>
      <c r="R263" s="38"/>
      <c r="S263" s="38"/>
    </row>
    <row r="264" spans="1:19" hidden="1" x14ac:dyDescent="0.25">
      <c r="A264" s="38" t="str">
        <f>F264&amp;C264</f>
        <v>C04340056810</v>
      </c>
      <c r="B264" s="38" t="str">
        <f>IF(J264&gt;=SUMIFS(E:E,C:C,C264),"Good to go","Short in Qty")</f>
        <v>Short in Qty</v>
      </c>
      <c r="C264" s="40">
        <v>40056810</v>
      </c>
      <c r="D264" s="40" t="s">
        <v>554</v>
      </c>
      <c r="E264" s="66">
        <v>5</v>
      </c>
      <c r="F264" s="38" t="s">
        <v>11</v>
      </c>
      <c r="G264" s="40" t="s">
        <v>596</v>
      </c>
      <c r="H264" s="38" t="s">
        <v>594</v>
      </c>
      <c r="I264" s="38" t="s">
        <v>595</v>
      </c>
      <c r="J264" s="38">
        <f>IFERROR(VLOOKUP(C:C,'[1]S&amp;S'!$B:$F,5,0),)</f>
        <v>1</v>
      </c>
      <c r="K264" s="38">
        <f>IFERROR(VLOOKUP(A:A,[1]APO!$A:$F,6,0),)</f>
        <v>0</v>
      </c>
      <c r="L264" s="38">
        <f>IFERROR(VLOOKUP(C:C,'[1]TOTAL APO'!$A:$B,2,0),)</f>
        <v>0</v>
      </c>
      <c r="M264" s="38">
        <f>IFERROR(VLOOKUP(A:A,[1]Short!$A:$Q,17,0),)</f>
        <v>0</v>
      </c>
      <c r="N264" s="38">
        <f>IFERROR(VLOOKUP(C:C,[1]GIT!$B:$D,3,0),)</f>
        <v>0</v>
      </c>
      <c r="O264" s="38">
        <f>IFERROR(VLOOKUP(A:A,[2]Sheet1!$A:$B,2,0),)</f>
        <v>0</v>
      </c>
      <c r="P264" s="38">
        <f>IFERROR(VLOOKUP(A:A,[2]Sheet1!$A:$B,2,0),)</f>
        <v>0</v>
      </c>
      <c r="Q264" s="38">
        <f t="shared" si="4"/>
        <v>5</v>
      </c>
      <c r="R264" s="38"/>
      <c r="S264" s="38"/>
    </row>
    <row r="265" spans="1:19" hidden="1" x14ac:dyDescent="0.25">
      <c r="A265" s="38" t="str">
        <f>F265&amp;C265</f>
        <v>C04340065374</v>
      </c>
      <c r="B265" s="38" t="str">
        <f>IF(J265&gt;=SUMIFS(E:E,C:C,C265),"Good to go","Short in Qty")</f>
        <v>Good to go</v>
      </c>
      <c r="C265" s="40">
        <v>40065374</v>
      </c>
      <c r="D265" s="40" t="s">
        <v>505</v>
      </c>
      <c r="E265" s="66">
        <v>9</v>
      </c>
      <c r="F265" s="38" t="s">
        <v>11</v>
      </c>
      <c r="G265" s="40" t="s">
        <v>467</v>
      </c>
      <c r="H265" s="38" t="s">
        <v>9</v>
      </c>
      <c r="I265" s="38" t="s">
        <v>530</v>
      </c>
      <c r="J265" s="38">
        <f>IFERROR(VLOOKUP(C:C,'[1]S&amp;S'!$B:$F,5,0),)</f>
        <v>692</v>
      </c>
      <c r="K265" s="38">
        <f>IFERROR(VLOOKUP(A:A,[1]APO!$A:$F,6,0),)</f>
        <v>0</v>
      </c>
      <c r="L265" s="38">
        <f>IFERROR(VLOOKUP(C:C,'[1]TOTAL APO'!$A:$B,2,0),)</f>
        <v>0</v>
      </c>
      <c r="M265" s="38">
        <f>IFERROR(VLOOKUP(A:A,[1]Short!$A:$Q,17,0),)</f>
        <v>0</v>
      </c>
      <c r="N265" s="38">
        <f>IFERROR(VLOOKUP(C:C,[1]GIT!$B:$D,3,0),)</f>
        <v>0</v>
      </c>
      <c r="O265" s="38">
        <f>IFERROR(VLOOKUP(A:A,[2]Sheet1!$A:$B,2,0),)</f>
        <v>9</v>
      </c>
      <c r="P265" s="38">
        <f>IFERROR(VLOOKUP(A:A,[2]Sheet1!$A:$B,2,0),)</f>
        <v>9</v>
      </c>
      <c r="Q265" s="38">
        <f t="shared" si="4"/>
        <v>0</v>
      </c>
      <c r="R265" s="38"/>
      <c r="S265" s="38"/>
    </row>
    <row r="266" spans="1:19" x14ac:dyDescent="0.25">
      <c r="A266" s="38" t="str">
        <f>F266&amp;C266</f>
        <v>C04440065374</v>
      </c>
      <c r="B266" s="38" t="str">
        <f>IF(J266&gt;=SUMIFS(E:E,C:C,C266),"Good to go","Short in Qty")</f>
        <v>Good to go</v>
      </c>
      <c r="C266" s="40">
        <v>40065374</v>
      </c>
      <c r="D266" s="40" t="s">
        <v>505</v>
      </c>
      <c r="E266" s="66">
        <v>3</v>
      </c>
      <c r="F266" s="38" t="s">
        <v>191</v>
      </c>
      <c r="G266" s="40"/>
      <c r="H266" s="38" t="s">
        <v>9</v>
      </c>
      <c r="I266" s="38" t="s">
        <v>530</v>
      </c>
      <c r="J266" s="38">
        <f>IFERROR(VLOOKUP(C:C,'[1]S&amp;S'!$B:$F,5,0),)</f>
        <v>692</v>
      </c>
      <c r="K266" s="38">
        <f>IFERROR(VLOOKUP(A:A,[1]APO!$A:$F,6,0),)</f>
        <v>0</v>
      </c>
      <c r="L266" s="38">
        <f>IFERROR(VLOOKUP(C:C,'[1]TOTAL APO'!$A:$B,2,0),)</f>
        <v>0</v>
      </c>
      <c r="M266" s="38">
        <f>IFERROR(VLOOKUP(A:A,[1]Short!$A:$Q,17,0),)</f>
        <v>0</v>
      </c>
      <c r="N266" s="38">
        <f>IFERROR(VLOOKUP(C:C,[1]GIT!$B:$D,3,0),)</f>
        <v>0</v>
      </c>
      <c r="O266" s="38">
        <f>IFERROR(VLOOKUP(A:A,[2]Sheet1!$A:$B,2,0),)</f>
        <v>0</v>
      </c>
      <c r="P266" s="38">
        <f>IFERROR(VLOOKUP(A:A,[2]Sheet1!$A:$B,2,0),)</f>
        <v>0</v>
      </c>
      <c r="Q266" s="38">
        <f t="shared" si="4"/>
        <v>3</v>
      </c>
      <c r="R266" s="38"/>
      <c r="S266" s="38"/>
    </row>
    <row r="267" spans="1:19" hidden="1" x14ac:dyDescent="0.25">
      <c r="A267" s="38" t="str">
        <f>F267&amp;C267</f>
        <v>C04840060535</v>
      </c>
      <c r="B267" s="38" t="str">
        <f>IF(J267&gt;=SUMIFS(E:E,C:C,C267),"Good to go","Short in Qty")</f>
        <v>Good to go</v>
      </c>
      <c r="C267" s="40">
        <v>40060535</v>
      </c>
      <c r="D267" s="40" t="s">
        <v>221</v>
      </c>
      <c r="E267" s="66">
        <v>7</v>
      </c>
      <c r="F267" s="38" t="s">
        <v>8</v>
      </c>
      <c r="G267" s="73" t="s">
        <v>467</v>
      </c>
      <c r="H267" s="38" t="s">
        <v>84</v>
      </c>
      <c r="I267" s="38" t="s">
        <v>620</v>
      </c>
      <c r="J267" s="38">
        <f>IFERROR(VLOOKUP(C:C,'[1]S&amp;S'!$B:$F,5,0),)</f>
        <v>198</v>
      </c>
      <c r="K267" s="38">
        <f>IFERROR(VLOOKUP(A:A,[1]APO!$A:$F,6,0),)</f>
        <v>0</v>
      </c>
      <c r="L267" s="38">
        <f>IFERROR(VLOOKUP(C:C,'[1]TOTAL APO'!$A:$B,2,0),)</f>
        <v>0</v>
      </c>
      <c r="M267" s="38">
        <f>IFERROR(VLOOKUP(A:A,[1]Short!$A:$Q,17,0),)</f>
        <v>0</v>
      </c>
      <c r="N267" s="38">
        <f>IFERROR(VLOOKUP(C:C,[1]GIT!$B:$D,3,0),)</f>
        <v>46</v>
      </c>
      <c r="O267" s="38">
        <f>IFERROR(VLOOKUP(A:A,[2]Sheet1!$A:$B,2,0),)</f>
        <v>7</v>
      </c>
      <c r="P267" s="38">
        <f>IFERROR(VLOOKUP(A:A,[2]Sheet1!$A:$B,2,0),)</f>
        <v>7</v>
      </c>
      <c r="Q267" s="38">
        <f t="shared" si="4"/>
        <v>0</v>
      </c>
      <c r="R267" s="38"/>
      <c r="S267" s="38"/>
    </row>
    <row r="268" spans="1:19" hidden="1" x14ac:dyDescent="0.25">
      <c r="A268" s="38" t="str">
        <f>F268&amp;C268</f>
        <v>C13140057248</v>
      </c>
      <c r="B268" s="38" t="str">
        <f>IF(J268&gt;=SUMIFS(E:E,C:C,C268),"Good to go","Short in Qty")</f>
        <v>Short in Qty</v>
      </c>
      <c r="C268" s="40">
        <v>40057248</v>
      </c>
      <c r="D268" s="40" t="s">
        <v>552</v>
      </c>
      <c r="E268" s="66">
        <v>3</v>
      </c>
      <c r="F268" s="38" t="s">
        <v>17</v>
      </c>
      <c r="G268" s="40" t="s">
        <v>596</v>
      </c>
      <c r="H268" s="38" t="s">
        <v>594</v>
      </c>
      <c r="I268" s="38" t="s">
        <v>595</v>
      </c>
      <c r="J268" s="38">
        <f>IFERROR(VLOOKUP(C:C,'[1]S&amp;S'!$B:$F,5,0),)</f>
        <v>0</v>
      </c>
      <c r="K268" s="38">
        <f>IFERROR(VLOOKUP(A:A,[1]APO!$A:$F,6,0),)</f>
        <v>0</v>
      </c>
      <c r="L268" s="38">
        <f>IFERROR(VLOOKUP(C:C,'[1]TOTAL APO'!$A:$B,2,0),)</f>
        <v>0</v>
      </c>
      <c r="M268" s="38">
        <f>IFERROR(VLOOKUP(A:A,[1]Short!$A:$Q,17,0),)</f>
        <v>0</v>
      </c>
      <c r="N268" s="38">
        <f>IFERROR(VLOOKUP(C:C,[1]GIT!$B:$D,3,0),)</f>
        <v>0</v>
      </c>
      <c r="O268" s="38">
        <f>IFERROR(VLOOKUP(A:A,[2]Sheet1!$A:$B,2,0),)</f>
        <v>0</v>
      </c>
      <c r="P268" s="38">
        <f>IFERROR(VLOOKUP(A:A,[2]Sheet1!$A:$B,2,0),)</f>
        <v>0</v>
      </c>
      <c r="Q268" s="38">
        <f t="shared" si="4"/>
        <v>3</v>
      </c>
      <c r="R268" s="38"/>
      <c r="S268" s="38"/>
    </row>
    <row r="269" spans="1:19" hidden="1" x14ac:dyDescent="0.25">
      <c r="A269" s="38" t="str">
        <f>F269&amp;C269</f>
        <v>C04340064503</v>
      </c>
      <c r="B269" s="38" t="str">
        <f>IF(J269&gt;=SUMIFS(E:E,C:C,C269),"Good to go","Short in Qty")</f>
        <v>Good to go</v>
      </c>
      <c r="C269" s="40">
        <v>40064503</v>
      </c>
      <c r="D269" s="40" t="s">
        <v>352</v>
      </c>
      <c r="E269" s="67">
        <v>300</v>
      </c>
      <c r="F269" s="38" t="s">
        <v>11</v>
      </c>
      <c r="G269" s="40" t="s">
        <v>467</v>
      </c>
      <c r="H269" s="38" t="s">
        <v>9</v>
      </c>
      <c r="I269" s="38" t="s">
        <v>530</v>
      </c>
      <c r="J269" s="38">
        <f>IFERROR(VLOOKUP(C:C,'[1]S&amp;S'!$B:$F,5,0),)</f>
        <v>346</v>
      </c>
      <c r="K269" s="38">
        <f>IFERROR(VLOOKUP(A:A,[1]APO!$A:$F,6,0),)</f>
        <v>0</v>
      </c>
      <c r="L269" s="38">
        <f>IFERROR(VLOOKUP(C:C,'[1]TOTAL APO'!$A:$B,2,0),)</f>
        <v>0</v>
      </c>
      <c r="M269" s="38">
        <f>IFERROR(VLOOKUP(A:A,[1]Short!$A:$Q,17,0),)</f>
        <v>0</v>
      </c>
      <c r="N269" s="38">
        <f>IFERROR(VLOOKUP(C:C,[1]GIT!$B:$D,3,0),)</f>
        <v>0</v>
      </c>
      <c r="O269" s="38">
        <f>IFERROR(VLOOKUP(A:A,[2]Sheet1!$A:$B,2,0),)</f>
        <v>300</v>
      </c>
      <c r="P269" s="38">
        <f>IFERROR(VLOOKUP(A:A,[2]Sheet1!$A:$B,2,0),)</f>
        <v>300</v>
      </c>
      <c r="Q269" s="38">
        <f t="shared" si="4"/>
        <v>0</v>
      </c>
      <c r="R269" s="38"/>
      <c r="S269" s="38"/>
    </row>
    <row r="270" spans="1:19" x14ac:dyDescent="0.25">
      <c r="A270" s="38" t="str">
        <f>F270&amp;C270</f>
        <v>C04240063179</v>
      </c>
      <c r="B270" s="38" t="str">
        <f>IF(J270&gt;=SUMIFS(E:E,C:C,C270),"Good to go","Short in Qty")</f>
        <v>Good to go</v>
      </c>
      <c r="C270" s="40">
        <v>40063179</v>
      </c>
      <c r="D270" s="40" t="s">
        <v>280</v>
      </c>
      <c r="E270" s="66">
        <v>88</v>
      </c>
      <c r="F270" s="38" t="s">
        <v>10</v>
      </c>
      <c r="G270" s="40" t="s">
        <v>467</v>
      </c>
      <c r="H270" s="38" t="s">
        <v>9</v>
      </c>
      <c r="I270" s="38" t="s">
        <v>530</v>
      </c>
      <c r="J270" s="38">
        <f>IFERROR(VLOOKUP(C:C,'[1]S&amp;S'!$B:$F,5,0),)</f>
        <v>856</v>
      </c>
      <c r="K270" s="38">
        <f>IFERROR(VLOOKUP(A:A,[1]APO!$A:$F,6,0),)</f>
        <v>0</v>
      </c>
      <c r="L270" s="38">
        <f>IFERROR(VLOOKUP(C:C,'[1]TOTAL APO'!$A:$B,2,0),)</f>
        <v>0</v>
      </c>
      <c r="M270" s="38">
        <f>IFERROR(VLOOKUP(A:A,[1]Short!$A:$Q,17,0),)</f>
        <v>0</v>
      </c>
      <c r="N270" s="38">
        <f>IFERROR(VLOOKUP(C:C,[1]GIT!$B:$D,3,0),)</f>
        <v>800</v>
      </c>
      <c r="O270" s="38">
        <f>IFERROR(VLOOKUP(A:A,[2]Sheet1!$A:$B,2,0),)</f>
        <v>56</v>
      </c>
      <c r="P270" s="38">
        <f>IFERROR(VLOOKUP(A:A,[2]Sheet1!$A:$B,2,0),)</f>
        <v>56</v>
      </c>
      <c r="Q270" s="38">
        <f t="shared" si="4"/>
        <v>32</v>
      </c>
      <c r="R270" s="38"/>
      <c r="S270" s="38"/>
    </row>
    <row r="271" spans="1:19" hidden="1" x14ac:dyDescent="0.25">
      <c r="A271" s="38" t="str">
        <f>F271&amp;C271</f>
        <v>C04340060535</v>
      </c>
      <c r="B271" s="38" t="str">
        <f>IF(J271&gt;=SUMIFS(E:E,C:C,C271),"Good to go","Short in Qty")</f>
        <v>Good to go</v>
      </c>
      <c r="C271" s="40">
        <v>40060535</v>
      </c>
      <c r="D271" s="40" t="s">
        <v>221</v>
      </c>
      <c r="E271" s="66">
        <v>3</v>
      </c>
      <c r="F271" s="38" t="s">
        <v>11</v>
      </c>
      <c r="G271" s="40" t="s">
        <v>467</v>
      </c>
      <c r="H271" s="38" t="s">
        <v>9</v>
      </c>
      <c r="I271" s="38" t="s">
        <v>530</v>
      </c>
      <c r="J271" s="38">
        <f>IFERROR(VLOOKUP(C:C,'[1]S&amp;S'!$B:$F,5,0),)</f>
        <v>198</v>
      </c>
      <c r="K271" s="38">
        <f>IFERROR(VLOOKUP(A:A,[1]APO!$A:$F,6,0),)</f>
        <v>0</v>
      </c>
      <c r="L271" s="38">
        <f>IFERROR(VLOOKUP(C:C,'[1]TOTAL APO'!$A:$B,2,0),)</f>
        <v>0</v>
      </c>
      <c r="M271" s="38">
        <f>IFERROR(VLOOKUP(A:A,[1]Short!$A:$Q,17,0),)</f>
        <v>0</v>
      </c>
      <c r="N271" s="38">
        <f>IFERROR(VLOOKUP(C:C,[1]GIT!$B:$D,3,0),)</f>
        <v>46</v>
      </c>
      <c r="O271" s="38">
        <f>IFERROR(VLOOKUP(A:A,[2]Sheet1!$A:$B,2,0),)</f>
        <v>3</v>
      </c>
      <c r="P271" s="38">
        <f>IFERROR(VLOOKUP(A:A,[2]Sheet1!$A:$B,2,0),)</f>
        <v>3</v>
      </c>
      <c r="Q271" s="38">
        <f t="shared" si="4"/>
        <v>0</v>
      </c>
      <c r="R271" s="38"/>
      <c r="S271" s="38"/>
    </row>
    <row r="272" spans="1:19" hidden="1" x14ac:dyDescent="0.25">
      <c r="A272" s="38" t="str">
        <f>F272&amp;C272</f>
        <v>C04240057848</v>
      </c>
      <c r="B272" s="38" t="str">
        <f>IF(J272&gt;=SUMIFS(E:E,C:C,C272),"Good to go","Short in Qty")</f>
        <v>Short in Qty</v>
      </c>
      <c r="C272" s="40">
        <v>40057848</v>
      </c>
      <c r="D272" s="40" t="s">
        <v>588</v>
      </c>
      <c r="E272" s="66">
        <v>20</v>
      </c>
      <c r="F272" s="38" t="s">
        <v>10</v>
      </c>
      <c r="G272" s="40" t="s">
        <v>596</v>
      </c>
      <c r="H272" s="38" t="s">
        <v>594</v>
      </c>
      <c r="I272" s="38" t="s">
        <v>595</v>
      </c>
      <c r="J272" s="38">
        <f>IFERROR(VLOOKUP(C:C,'[1]S&amp;S'!$B:$F,5,0),)</f>
        <v>0</v>
      </c>
      <c r="K272" s="38">
        <f>IFERROR(VLOOKUP(A:A,[1]APO!$A:$F,6,0),)</f>
        <v>0</v>
      </c>
      <c r="L272" s="38">
        <f>IFERROR(VLOOKUP(C:C,'[1]TOTAL APO'!$A:$B,2,0),)</f>
        <v>0</v>
      </c>
      <c r="M272" s="38">
        <f>IFERROR(VLOOKUP(A:A,[1]Short!$A:$Q,17,0),)</f>
        <v>0</v>
      </c>
      <c r="N272" s="38">
        <f>IFERROR(VLOOKUP(C:C,[1]GIT!$B:$D,3,0),)</f>
        <v>0</v>
      </c>
      <c r="O272" s="38">
        <f>IFERROR(VLOOKUP(A:A,[2]Sheet1!$A:$B,2,0),)</f>
        <v>0</v>
      </c>
      <c r="P272" s="38">
        <f>IFERROR(VLOOKUP(A:A,[2]Sheet1!$A:$B,2,0),)</f>
        <v>0</v>
      </c>
      <c r="Q272" s="38">
        <f t="shared" si="4"/>
        <v>20</v>
      </c>
      <c r="R272" s="38"/>
      <c r="S272" s="38"/>
    </row>
    <row r="273" spans="1:19" x14ac:dyDescent="0.25">
      <c r="A273" s="38" t="str">
        <f>F273&amp;C273</f>
        <v>C04240064886</v>
      </c>
      <c r="B273" s="38" t="str">
        <f>IF(J273&gt;=SUMIFS(E:E,C:C,C273),"Good to go","Short in Qty")</f>
        <v>Good to go</v>
      </c>
      <c r="C273" s="40">
        <v>40064886</v>
      </c>
      <c r="D273" s="40" t="s">
        <v>298</v>
      </c>
      <c r="E273" s="66">
        <v>177</v>
      </c>
      <c r="F273" s="38" t="s">
        <v>10</v>
      </c>
      <c r="G273" s="40" t="s">
        <v>467</v>
      </c>
      <c r="H273" s="38" t="s">
        <v>9</v>
      </c>
      <c r="I273" s="38" t="s">
        <v>530</v>
      </c>
      <c r="J273" s="38">
        <f>IFERROR(VLOOKUP(C:C,'[1]S&amp;S'!$B:$F,5,0),)</f>
        <v>2424.916666666667</v>
      </c>
      <c r="K273" s="38">
        <f>IFERROR(VLOOKUP(A:A,[1]APO!$A:$F,6,0),)</f>
        <v>0</v>
      </c>
      <c r="L273" s="38">
        <f>IFERROR(VLOOKUP(C:C,'[1]TOTAL APO'!$A:$B,2,0),)</f>
        <v>0</v>
      </c>
      <c r="M273" s="38">
        <f>IFERROR(VLOOKUP(A:A,[1]Short!$A:$Q,17,0),)</f>
        <v>0</v>
      </c>
      <c r="N273" s="38">
        <f>IFERROR(VLOOKUP(C:C,[1]GIT!$B:$D,3,0),)</f>
        <v>1658</v>
      </c>
      <c r="O273" s="38">
        <f>IFERROR(VLOOKUP(A:A,[2]Sheet1!$A:$B,2,0),)</f>
        <v>29</v>
      </c>
      <c r="P273" s="38">
        <f>IFERROR(VLOOKUP(A:A,[2]Sheet1!$A:$B,2,0),)</f>
        <v>29</v>
      </c>
      <c r="Q273" s="38">
        <f t="shared" si="4"/>
        <v>148</v>
      </c>
      <c r="R273" s="38"/>
      <c r="S273" s="38"/>
    </row>
    <row r="274" spans="1:19" hidden="1" x14ac:dyDescent="0.25">
      <c r="A274" s="38" t="str">
        <f>F274&amp;C274</f>
        <v>C04340060996</v>
      </c>
      <c r="B274" s="38" t="str">
        <f>IF(J274&gt;=SUMIFS(E:E,C:C,C274),"Good to go","Short in Qty")</f>
        <v>Good to go</v>
      </c>
      <c r="C274" s="40">
        <v>40060996</v>
      </c>
      <c r="D274" s="40" t="s">
        <v>506</v>
      </c>
      <c r="E274" s="66">
        <v>8</v>
      </c>
      <c r="F274" s="38" t="s">
        <v>11</v>
      </c>
      <c r="G274" s="40" t="s">
        <v>467</v>
      </c>
      <c r="H274" s="38" t="s">
        <v>9</v>
      </c>
      <c r="I274" s="38" t="s">
        <v>530</v>
      </c>
      <c r="J274" s="38">
        <f>IFERROR(VLOOKUP(C:C,'[1]S&amp;S'!$B:$F,5,0),)</f>
        <v>258</v>
      </c>
      <c r="K274" s="38">
        <f>IFERROR(VLOOKUP(A:A,[1]APO!$A:$F,6,0),)</f>
        <v>0</v>
      </c>
      <c r="L274" s="38">
        <f>IFERROR(VLOOKUP(C:C,'[1]TOTAL APO'!$A:$B,2,0),)</f>
        <v>0</v>
      </c>
      <c r="M274" s="38">
        <f>IFERROR(VLOOKUP(A:A,[1]Short!$A:$Q,17,0),)</f>
        <v>0</v>
      </c>
      <c r="N274" s="38">
        <f>IFERROR(VLOOKUP(C:C,[1]GIT!$B:$D,3,0),)</f>
        <v>258</v>
      </c>
      <c r="O274" s="38">
        <f>IFERROR(VLOOKUP(A:A,[2]Sheet1!$A:$B,2,0),)</f>
        <v>8</v>
      </c>
      <c r="P274" s="38">
        <f>IFERROR(VLOOKUP(A:A,[2]Sheet1!$A:$B,2,0),)</f>
        <v>8</v>
      </c>
      <c r="Q274" s="38">
        <f t="shared" si="4"/>
        <v>0</v>
      </c>
      <c r="R274" s="38"/>
      <c r="S274" s="38"/>
    </row>
    <row r="275" spans="1:19" hidden="1" x14ac:dyDescent="0.25">
      <c r="A275" s="38" t="str">
        <f>F275&amp;C275</f>
        <v>C04340064685</v>
      </c>
      <c r="B275" s="38" t="str">
        <f>IF(J275&gt;=SUMIFS(E:E,C:C,C275),"Good to go","Short in Qty")</f>
        <v>Good to go</v>
      </c>
      <c r="C275" s="40">
        <v>40064685</v>
      </c>
      <c r="D275" s="40" t="s">
        <v>301</v>
      </c>
      <c r="E275" s="66">
        <v>50</v>
      </c>
      <c r="F275" s="38" t="s">
        <v>11</v>
      </c>
      <c r="G275" s="40" t="s">
        <v>467</v>
      </c>
      <c r="H275" s="38" t="s">
        <v>9</v>
      </c>
      <c r="I275" s="38" t="s">
        <v>530</v>
      </c>
      <c r="J275" s="38">
        <f>IFERROR(VLOOKUP(C:C,'[1]S&amp;S'!$B:$F,5,0),)</f>
        <v>850.73288888888897</v>
      </c>
      <c r="K275" s="38">
        <f>IFERROR(VLOOKUP(A:A,[1]APO!$A:$F,6,0),)</f>
        <v>0</v>
      </c>
      <c r="L275" s="38">
        <f>IFERROR(VLOOKUP(C:C,'[1]TOTAL APO'!$A:$B,2,0),)</f>
        <v>0</v>
      </c>
      <c r="M275" s="38">
        <f>IFERROR(VLOOKUP(A:A,[1]Short!$A:$Q,17,0),)</f>
        <v>0</v>
      </c>
      <c r="N275" s="38">
        <f>IFERROR(VLOOKUP(C:C,[1]GIT!$B:$D,3,0),)</f>
        <v>0</v>
      </c>
      <c r="O275" s="38">
        <f>IFERROR(VLOOKUP(A:A,[2]Sheet1!$A:$B,2,0),)</f>
        <v>50</v>
      </c>
      <c r="P275" s="38">
        <f>IFERROR(VLOOKUP(A:A,[2]Sheet1!$A:$B,2,0),)</f>
        <v>50</v>
      </c>
      <c r="Q275" s="38">
        <f t="shared" si="4"/>
        <v>0</v>
      </c>
      <c r="R275" s="38"/>
      <c r="S275" s="38"/>
    </row>
    <row r="276" spans="1:19" x14ac:dyDescent="0.25">
      <c r="A276" s="38" t="str">
        <f>F276&amp;C276</f>
        <v>C04440061000</v>
      </c>
      <c r="B276" s="38" t="str">
        <f>IF(J276&gt;=SUMIFS(E:E,C:C,C276),"Good to go","Short in Qty")</f>
        <v>Good to go</v>
      </c>
      <c r="C276" s="40">
        <v>40061000</v>
      </c>
      <c r="D276" s="40" t="s">
        <v>273</v>
      </c>
      <c r="E276" s="66">
        <v>1</v>
      </c>
      <c r="F276" s="38" t="s">
        <v>191</v>
      </c>
      <c r="G276" s="40"/>
      <c r="H276" s="38" t="s">
        <v>9</v>
      </c>
      <c r="I276" s="38" t="s">
        <v>530</v>
      </c>
      <c r="J276" s="38">
        <f>IFERROR(VLOOKUP(C:C,'[1]S&amp;S'!$B:$F,5,0),)</f>
        <v>54</v>
      </c>
      <c r="K276" s="38">
        <f>IFERROR(VLOOKUP(A:A,[1]APO!$A:$F,6,0),)</f>
        <v>0</v>
      </c>
      <c r="L276" s="38">
        <f>IFERROR(VLOOKUP(C:C,'[1]TOTAL APO'!$A:$B,2,0),)</f>
        <v>0</v>
      </c>
      <c r="M276" s="38">
        <f>IFERROR(VLOOKUP(A:A,[1]Short!$A:$Q,17,0),)</f>
        <v>0</v>
      </c>
      <c r="N276" s="38">
        <f>IFERROR(VLOOKUP(C:C,[1]GIT!$B:$D,3,0),)</f>
        <v>20</v>
      </c>
      <c r="O276" s="38">
        <f>IFERROR(VLOOKUP(A:A,[2]Sheet1!$A:$B,2,0),)</f>
        <v>0</v>
      </c>
      <c r="P276" s="38">
        <f>IFERROR(VLOOKUP(A:A,[2]Sheet1!$A:$B,2,0),)</f>
        <v>0</v>
      </c>
      <c r="Q276" s="38">
        <f t="shared" si="4"/>
        <v>1</v>
      </c>
      <c r="R276" s="38"/>
      <c r="S276" s="38"/>
    </row>
    <row r="277" spans="1:19" x14ac:dyDescent="0.25">
      <c r="A277" s="38" t="str">
        <f>F277&amp;C277</f>
        <v>C04840061000</v>
      </c>
      <c r="B277" s="38" t="str">
        <f>IF(J277&gt;=SUMIFS(E:E,C:C,C277),"Good to go","Short in Qty")</f>
        <v>Good to go</v>
      </c>
      <c r="C277" s="40">
        <v>40061000</v>
      </c>
      <c r="D277" s="40" t="s">
        <v>273</v>
      </c>
      <c r="E277" s="66">
        <v>25</v>
      </c>
      <c r="F277" s="38" t="s">
        <v>8</v>
      </c>
      <c r="G277" s="73">
        <v>11</v>
      </c>
      <c r="H277" s="38" t="s">
        <v>9</v>
      </c>
      <c r="I277" s="38" t="s">
        <v>530</v>
      </c>
      <c r="J277" s="38">
        <f>IFERROR(VLOOKUP(C:C,'[1]S&amp;S'!$B:$F,5,0),)</f>
        <v>54</v>
      </c>
      <c r="K277" s="38">
        <f>IFERROR(VLOOKUP(A:A,[1]APO!$A:$F,6,0),)</f>
        <v>0</v>
      </c>
      <c r="L277" s="38">
        <f>IFERROR(VLOOKUP(C:C,'[1]TOTAL APO'!$A:$B,2,0),)</f>
        <v>0</v>
      </c>
      <c r="M277" s="38">
        <f>IFERROR(VLOOKUP(A:A,[1]Short!$A:$Q,17,0),)</f>
        <v>0</v>
      </c>
      <c r="N277" s="38">
        <f>IFERROR(VLOOKUP(C:C,[1]GIT!$B:$D,3,0),)</f>
        <v>20</v>
      </c>
      <c r="O277" s="38">
        <f>IFERROR(VLOOKUP(A:A,[2]Sheet1!$A:$B,2,0),)</f>
        <v>11</v>
      </c>
      <c r="P277" s="38">
        <f>IFERROR(VLOOKUP(A:A,[2]Sheet1!$A:$B,2,0),)</f>
        <v>11</v>
      </c>
      <c r="Q277" s="38">
        <f t="shared" si="4"/>
        <v>14</v>
      </c>
      <c r="R277" s="38"/>
      <c r="S277" s="38"/>
    </row>
    <row r="278" spans="1:19" hidden="1" x14ac:dyDescent="0.25">
      <c r="A278" s="38" t="str">
        <f>F278&amp;C278</f>
        <v>C04240063637</v>
      </c>
      <c r="B278" s="38" t="str">
        <f>IF(J278&gt;=SUMIFS(E:E,C:C,C278),"Good to go","Short in Qty")</f>
        <v>Good to go</v>
      </c>
      <c r="C278" s="40">
        <v>40063637</v>
      </c>
      <c r="D278" s="40" t="s">
        <v>275</v>
      </c>
      <c r="E278" s="66">
        <v>5</v>
      </c>
      <c r="F278" s="38" t="s">
        <v>10</v>
      </c>
      <c r="G278" s="40" t="s">
        <v>467</v>
      </c>
      <c r="H278" s="38" t="s">
        <v>9</v>
      </c>
      <c r="I278" s="38" t="s">
        <v>530</v>
      </c>
      <c r="J278" s="38">
        <f>IFERROR(VLOOKUP(C:C,'[1]S&amp;S'!$B:$F,5,0),)</f>
        <v>774</v>
      </c>
      <c r="K278" s="38">
        <f>IFERROR(VLOOKUP(A:A,[1]APO!$A:$F,6,0),)</f>
        <v>0</v>
      </c>
      <c r="L278" s="38">
        <f>IFERROR(VLOOKUP(C:C,'[1]TOTAL APO'!$A:$B,2,0),)</f>
        <v>0</v>
      </c>
      <c r="M278" s="38">
        <f>IFERROR(VLOOKUP(A:A,[1]Short!$A:$Q,17,0),)</f>
        <v>0</v>
      </c>
      <c r="N278" s="38">
        <f>IFERROR(VLOOKUP(C:C,[1]GIT!$B:$D,3,0),)</f>
        <v>0</v>
      </c>
      <c r="O278" s="38">
        <f>IFERROR(VLOOKUP(A:A,[2]Sheet1!$A:$B,2,0),)</f>
        <v>5</v>
      </c>
      <c r="P278" s="38">
        <f>IFERROR(VLOOKUP(A:A,[2]Sheet1!$A:$B,2,0),)</f>
        <v>5</v>
      </c>
      <c r="Q278" s="38">
        <f t="shared" si="4"/>
        <v>0</v>
      </c>
      <c r="R278" s="38"/>
      <c r="S278" s="38"/>
    </row>
    <row r="279" spans="1:19" hidden="1" x14ac:dyDescent="0.25">
      <c r="A279" s="38" t="str">
        <f>F279&amp;C279</f>
        <v>C04340062345</v>
      </c>
      <c r="B279" s="38" t="str">
        <f>IF(J279&gt;=SUMIFS(E:E,C:C,C279),"Good to go","Short in Qty")</f>
        <v>Good to go</v>
      </c>
      <c r="C279" s="40">
        <v>40062345</v>
      </c>
      <c r="D279" s="40" t="s">
        <v>507</v>
      </c>
      <c r="E279" s="66">
        <v>7</v>
      </c>
      <c r="F279" s="38" t="s">
        <v>11</v>
      </c>
      <c r="G279" s="40" t="s">
        <v>467</v>
      </c>
      <c r="H279" s="38" t="s">
        <v>9</v>
      </c>
      <c r="I279" s="38" t="s">
        <v>530</v>
      </c>
      <c r="J279" s="38">
        <f>IFERROR(VLOOKUP(C:C,'[1]S&amp;S'!$B:$F,5,0),)</f>
        <v>143</v>
      </c>
      <c r="K279" s="38">
        <f>IFERROR(VLOOKUP(A:A,[1]APO!$A:$F,6,0),)</f>
        <v>0</v>
      </c>
      <c r="L279" s="38">
        <f>IFERROR(VLOOKUP(C:C,'[1]TOTAL APO'!$A:$B,2,0),)</f>
        <v>0</v>
      </c>
      <c r="M279" s="38">
        <f>IFERROR(VLOOKUP(A:A,[1]Short!$A:$Q,17,0),)</f>
        <v>0</v>
      </c>
      <c r="N279" s="38">
        <f>IFERROR(VLOOKUP(C:C,[1]GIT!$B:$D,3,0),)</f>
        <v>0</v>
      </c>
      <c r="O279" s="38">
        <f>IFERROR(VLOOKUP(A:A,[2]Sheet1!$A:$B,2,0),)</f>
        <v>7</v>
      </c>
      <c r="P279" s="38">
        <f>IFERROR(VLOOKUP(A:A,[2]Sheet1!$A:$B,2,0),)</f>
        <v>7</v>
      </c>
      <c r="Q279" s="38">
        <f t="shared" si="4"/>
        <v>0</v>
      </c>
      <c r="R279" s="38"/>
      <c r="S279" s="38"/>
    </row>
    <row r="280" spans="1:19" x14ac:dyDescent="0.25">
      <c r="A280" s="38" t="str">
        <f>F280&amp;C280</f>
        <v>C04740041315</v>
      </c>
      <c r="B280" s="38" t="str">
        <f>IF(J280&gt;=SUMIFS(E:E,C:C,C280),"Good to go","Short in Qty")</f>
        <v>Good to go</v>
      </c>
      <c r="C280" s="40">
        <v>40041315</v>
      </c>
      <c r="D280" s="40" t="s">
        <v>440</v>
      </c>
      <c r="E280" s="66">
        <v>3</v>
      </c>
      <c r="F280" s="38" t="s">
        <v>192</v>
      </c>
      <c r="G280" s="40"/>
      <c r="H280" s="38" t="s">
        <v>9</v>
      </c>
      <c r="I280" s="38" t="s">
        <v>530</v>
      </c>
      <c r="J280" s="38">
        <f>IFERROR(VLOOKUP(C:C,'[1]S&amp;S'!$B:$F,5,0),)</f>
        <v>112</v>
      </c>
      <c r="K280" s="38">
        <f>IFERROR(VLOOKUP(A:A,[1]APO!$A:$F,6,0),)</f>
        <v>0</v>
      </c>
      <c r="L280" s="38">
        <f>IFERROR(VLOOKUP(C:C,'[1]TOTAL APO'!$A:$B,2,0),)</f>
        <v>0</v>
      </c>
      <c r="M280" s="38">
        <f>IFERROR(VLOOKUP(A:A,[1]Short!$A:$Q,17,0),)</f>
        <v>0</v>
      </c>
      <c r="N280" s="38">
        <f>IFERROR(VLOOKUP(C:C,[1]GIT!$B:$D,3,0),)</f>
        <v>0</v>
      </c>
      <c r="O280" s="38">
        <f>IFERROR(VLOOKUP(A:A,[2]Sheet1!$A:$B,2,0),)</f>
        <v>0</v>
      </c>
      <c r="P280" s="38">
        <f>IFERROR(VLOOKUP(A:A,[2]Sheet1!$A:$B,2,0),)</f>
        <v>0</v>
      </c>
      <c r="Q280" s="38">
        <f t="shared" si="4"/>
        <v>3</v>
      </c>
      <c r="R280" s="38"/>
      <c r="S280" s="38"/>
    </row>
    <row r="281" spans="1:19" hidden="1" x14ac:dyDescent="0.25">
      <c r="A281" s="38" t="str">
        <f>F281&amp;C281</f>
        <v>C04340064844</v>
      </c>
      <c r="B281" s="38" t="str">
        <f>IF(J281&gt;=SUMIFS(E:E,C:C,C281),"Good to go","Short in Qty")</f>
        <v>Good to go</v>
      </c>
      <c r="C281" s="40">
        <v>40064844</v>
      </c>
      <c r="D281" s="40" t="s">
        <v>267</v>
      </c>
      <c r="E281" s="66">
        <v>200</v>
      </c>
      <c r="F281" s="38" t="s">
        <v>11</v>
      </c>
      <c r="G281" s="40" t="s">
        <v>467</v>
      </c>
      <c r="H281" s="38" t="s">
        <v>9</v>
      </c>
      <c r="I281" s="38" t="s">
        <v>530</v>
      </c>
      <c r="J281" s="38">
        <f>IFERROR(VLOOKUP(C:C,'[1]S&amp;S'!$B:$F,5,0),)</f>
        <v>560</v>
      </c>
      <c r="K281" s="38">
        <f>IFERROR(VLOOKUP(A:A,[1]APO!$A:$F,6,0),)</f>
        <v>0</v>
      </c>
      <c r="L281" s="38">
        <f>IFERROR(VLOOKUP(C:C,'[1]TOTAL APO'!$A:$B,2,0),)</f>
        <v>0</v>
      </c>
      <c r="M281" s="38">
        <f>IFERROR(VLOOKUP(A:A,[1]Short!$A:$Q,17,0),)</f>
        <v>0</v>
      </c>
      <c r="N281" s="38">
        <f>IFERROR(VLOOKUP(C:C,[1]GIT!$B:$D,3,0),)</f>
        <v>560</v>
      </c>
      <c r="O281" s="38">
        <f>IFERROR(VLOOKUP(A:A,[2]Sheet1!$A:$B,2,0),)</f>
        <v>200</v>
      </c>
      <c r="P281" s="38">
        <f>IFERROR(VLOOKUP(A:A,[2]Sheet1!$A:$B,2,0),)</f>
        <v>200</v>
      </c>
      <c r="Q281" s="38">
        <f t="shared" si="4"/>
        <v>0</v>
      </c>
      <c r="R281" s="38"/>
      <c r="S281" s="38"/>
    </row>
    <row r="282" spans="1:19" x14ac:dyDescent="0.25">
      <c r="A282" s="38" t="str">
        <f>F282&amp;C282</f>
        <v>C04440064844</v>
      </c>
      <c r="B282" s="38" t="str">
        <f>IF(J282&gt;=SUMIFS(E:E,C:C,C282),"Good to go","Short in Qty")</f>
        <v>Good to go</v>
      </c>
      <c r="C282" s="40">
        <v>40064844</v>
      </c>
      <c r="D282" s="40" t="s">
        <v>267</v>
      </c>
      <c r="E282" s="66">
        <v>260</v>
      </c>
      <c r="F282" s="38" t="s">
        <v>191</v>
      </c>
      <c r="G282" s="40"/>
      <c r="H282" s="38" t="s">
        <v>9</v>
      </c>
      <c r="I282" s="38" t="s">
        <v>530</v>
      </c>
      <c r="J282" s="38">
        <f>IFERROR(VLOOKUP(C:C,'[1]S&amp;S'!$B:$F,5,0),)</f>
        <v>560</v>
      </c>
      <c r="K282" s="38">
        <f>IFERROR(VLOOKUP(A:A,[1]APO!$A:$F,6,0),)</f>
        <v>0</v>
      </c>
      <c r="L282" s="38">
        <f>IFERROR(VLOOKUP(C:C,'[1]TOTAL APO'!$A:$B,2,0),)</f>
        <v>0</v>
      </c>
      <c r="M282" s="38">
        <f>IFERROR(VLOOKUP(A:A,[1]Short!$A:$Q,17,0),)</f>
        <v>0</v>
      </c>
      <c r="N282" s="38">
        <f>IFERROR(VLOOKUP(C:C,[1]GIT!$B:$D,3,0),)</f>
        <v>560</v>
      </c>
      <c r="O282" s="38">
        <f>IFERROR(VLOOKUP(A:A,[2]Sheet1!$A:$B,2,0),)</f>
        <v>0</v>
      </c>
      <c r="P282" s="38">
        <f>IFERROR(VLOOKUP(A:A,[2]Sheet1!$A:$B,2,0),)</f>
        <v>0</v>
      </c>
      <c r="Q282" s="38">
        <f t="shared" si="4"/>
        <v>260</v>
      </c>
      <c r="R282" s="38"/>
      <c r="S282" s="38"/>
    </row>
    <row r="283" spans="1:19" hidden="1" x14ac:dyDescent="0.25">
      <c r="A283" s="38" t="str">
        <f>F283&amp;C283</f>
        <v>C13140060029</v>
      </c>
      <c r="B283" s="38" t="str">
        <f>IF(J283&gt;=SUMIFS(E:E,C:C,C283),"Good to go","Short in Qty")</f>
        <v>Good to go</v>
      </c>
      <c r="C283" s="40">
        <v>40060029</v>
      </c>
      <c r="D283" s="40" t="s">
        <v>508</v>
      </c>
      <c r="E283" s="66">
        <v>566</v>
      </c>
      <c r="F283" s="38" t="s">
        <v>17</v>
      </c>
      <c r="G283" s="40" t="s">
        <v>467</v>
      </c>
      <c r="H283" s="38" t="s">
        <v>9</v>
      </c>
      <c r="I283" s="38" t="s">
        <v>530</v>
      </c>
      <c r="J283" s="38">
        <f>IFERROR(VLOOKUP(C:C,'[1]S&amp;S'!$B:$F,5,0),)</f>
        <v>1528</v>
      </c>
      <c r="K283" s="38">
        <f>IFERROR(VLOOKUP(A:A,[1]APO!$A:$F,6,0),)</f>
        <v>0</v>
      </c>
      <c r="L283" s="38">
        <f>IFERROR(VLOOKUP(C:C,'[1]TOTAL APO'!$A:$B,2,0),)</f>
        <v>0</v>
      </c>
      <c r="M283" s="38">
        <f>IFERROR(VLOOKUP(A:A,[1]Short!$A:$Q,17,0),)</f>
        <v>0</v>
      </c>
      <c r="N283" s="38">
        <f>IFERROR(VLOOKUP(C:C,[1]GIT!$B:$D,3,0),)</f>
        <v>0</v>
      </c>
      <c r="O283" s="38">
        <f>IFERROR(VLOOKUP(A:A,[2]Sheet1!$A:$B,2,0),)</f>
        <v>566</v>
      </c>
      <c r="P283" s="38">
        <f>IFERROR(VLOOKUP(A:A,[2]Sheet1!$A:$B,2,0),)</f>
        <v>566</v>
      </c>
      <c r="Q283" s="38">
        <f t="shared" si="4"/>
        <v>0</v>
      </c>
      <c r="R283" s="38"/>
      <c r="S283" s="38"/>
    </row>
    <row r="284" spans="1:19" x14ac:dyDescent="0.25">
      <c r="A284" s="38" t="str">
        <f>F284&amp;C284</f>
        <v>C04840064886</v>
      </c>
      <c r="B284" s="38" t="str">
        <f>IF(J284&gt;=SUMIFS(E:E,C:C,C284),"Good to go","Short in Qty")</f>
        <v>Good to go</v>
      </c>
      <c r="C284" s="40">
        <v>40064886</v>
      </c>
      <c r="D284" s="40" t="s">
        <v>298</v>
      </c>
      <c r="E284" s="66">
        <v>126</v>
      </c>
      <c r="F284" s="38" t="s">
        <v>8</v>
      </c>
      <c r="G284" s="73">
        <v>5</v>
      </c>
      <c r="H284" s="38" t="s">
        <v>9</v>
      </c>
      <c r="I284" s="38" t="s">
        <v>530</v>
      </c>
      <c r="J284" s="38">
        <f>IFERROR(VLOOKUP(C:C,'[1]S&amp;S'!$B:$F,5,0),)</f>
        <v>2424.916666666667</v>
      </c>
      <c r="K284" s="38">
        <f>IFERROR(VLOOKUP(A:A,[1]APO!$A:$F,6,0),)</f>
        <v>0</v>
      </c>
      <c r="L284" s="38">
        <f>IFERROR(VLOOKUP(C:C,'[1]TOTAL APO'!$A:$B,2,0),)</f>
        <v>0</v>
      </c>
      <c r="M284" s="38">
        <f>IFERROR(VLOOKUP(A:A,[1]Short!$A:$Q,17,0),)</f>
        <v>0</v>
      </c>
      <c r="N284" s="38">
        <f>IFERROR(VLOOKUP(C:C,[1]GIT!$B:$D,3,0),)</f>
        <v>1658</v>
      </c>
      <c r="O284" s="38">
        <f>IFERROR(VLOOKUP(A:A,[2]Sheet1!$A:$B,2,0),)</f>
        <v>5</v>
      </c>
      <c r="P284" s="38">
        <f>IFERROR(VLOOKUP(A:A,[2]Sheet1!$A:$B,2,0),)</f>
        <v>5</v>
      </c>
      <c r="Q284" s="38">
        <f t="shared" si="4"/>
        <v>121</v>
      </c>
      <c r="R284" s="38"/>
      <c r="S284" s="38"/>
    </row>
    <row r="285" spans="1:19" hidden="1" x14ac:dyDescent="0.25">
      <c r="A285" s="38" t="str">
        <f>F285&amp;C285</f>
        <v>C04340057848</v>
      </c>
      <c r="B285" s="38" t="str">
        <f>IF(J285&gt;=SUMIFS(E:E,C:C,C285),"Good to go","Short in Qty")</f>
        <v>Short in Qty</v>
      </c>
      <c r="C285" s="40">
        <v>40057848</v>
      </c>
      <c r="D285" s="40" t="s">
        <v>588</v>
      </c>
      <c r="E285" s="66">
        <v>30</v>
      </c>
      <c r="F285" s="38" t="s">
        <v>11</v>
      </c>
      <c r="G285" s="40" t="s">
        <v>596</v>
      </c>
      <c r="H285" s="38" t="s">
        <v>594</v>
      </c>
      <c r="I285" s="38" t="s">
        <v>595</v>
      </c>
      <c r="J285" s="38">
        <f>IFERROR(VLOOKUP(C:C,'[1]S&amp;S'!$B:$F,5,0),)</f>
        <v>0</v>
      </c>
      <c r="K285" s="38">
        <f>IFERROR(VLOOKUP(A:A,[1]APO!$A:$F,6,0),)</f>
        <v>0</v>
      </c>
      <c r="L285" s="38">
        <f>IFERROR(VLOOKUP(C:C,'[1]TOTAL APO'!$A:$B,2,0),)</f>
        <v>0</v>
      </c>
      <c r="M285" s="38">
        <f>IFERROR(VLOOKUP(A:A,[1]Short!$A:$Q,17,0),)</f>
        <v>0</v>
      </c>
      <c r="N285" s="38">
        <f>IFERROR(VLOOKUP(C:C,[1]GIT!$B:$D,3,0),)</f>
        <v>0</v>
      </c>
      <c r="O285" s="38">
        <f>IFERROR(VLOOKUP(A:A,[2]Sheet1!$A:$B,2,0),)</f>
        <v>0</v>
      </c>
      <c r="P285" s="38">
        <f>IFERROR(VLOOKUP(A:A,[2]Sheet1!$A:$B,2,0),)</f>
        <v>0</v>
      </c>
      <c r="Q285" s="38">
        <f t="shared" si="4"/>
        <v>30</v>
      </c>
      <c r="R285" s="38"/>
      <c r="S285" s="38"/>
    </row>
    <row r="286" spans="1:19" hidden="1" x14ac:dyDescent="0.25">
      <c r="A286" s="38" t="str">
        <f>F286&amp;C286</f>
        <v>C04240062024</v>
      </c>
      <c r="B286" s="38" t="str">
        <f>IF(J286&gt;=SUMIFS(E:E,C:C,C286),"Good to go","Short in Qty")</f>
        <v>Good to go</v>
      </c>
      <c r="C286" s="40">
        <v>40062024</v>
      </c>
      <c r="D286" s="40" t="s">
        <v>276</v>
      </c>
      <c r="E286" s="66">
        <v>22</v>
      </c>
      <c r="F286" s="38" t="s">
        <v>10</v>
      </c>
      <c r="G286" s="40" t="s">
        <v>467</v>
      </c>
      <c r="H286" s="38" t="s">
        <v>9</v>
      </c>
      <c r="I286" s="38" t="s">
        <v>530</v>
      </c>
      <c r="J286" s="38">
        <f>IFERROR(VLOOKUP(C:C,'[1]S&amp;S'!$B:$F,5,0),)</f>
        <v>1231.00416666667</v>
      </c>
      <c r="K286" s="38">
        <f>IFERROR(VLOOKUP(A:A,[1]APO!$A:$F,6,0),)</f>
        <v>0</v>
      </c>
      <c r="L286" s="38">
        <f>IFERROR(VLOOKUP(C:C,'[1]TOTAL APO'!$A:$B,2,0),)</f>
        <v>0</v>
      </c>
      <c r="M286" s="38">
        <f>IFERROR(VLOOKUP(A:A,[1]Short!$A:$Q,17,0),)</f>
        <v>0</v>
      </c>
      <c r="N286" s="38">
        <f>IFERROR(VLOOKUP(C:C,[1]GIT!$B:$D,3,0),)</f>
        <v>0</v>
      </c>
      <c r="O286" s="38">
        <f>IFERROR(VLOOKUP(A:A,[2]Sheet1!$A:$B,2,0),)</f>
        <v>22</v>
      </c>
      <c r="P286" s="38">
        <f>IFERROR(VLOOKUP(A:A,[2]Sheet1!$A:$B,2,0),)</f>
        <v>22</v>
      </c>
      <c r="Q286" s="38">
        <f t="shared" si="4"/>
        <v>0</v>
      </c>
      <c r="R286" s="38"/>
      <c r="S286" s="38"/>
    </row>
    <row r="287" spans="1:19" hidden="1" x14ac:dyDescent="0.25">
      <c r="A287" s="38" t="str">
        <f>F287&amp;C287</f>
        <v>C04340044138</v>
      </c>
      <c r="B287" s="38" t="str">
        <f>IF(J287&gt;=SUMIFS(E:E,C:C,C287),"Good to go","Short in Qty")</f>
        <v>Good to go</v>
      </c>
      <c r="C287" s="40">
        <v>40044138</v>
      </c>
      <c r="D287" s="40" t="s">
        <v>253</v>
      </c>
      <c r="E287" s="66">
        <v>23</v>
      </c>
      <c r="F287" s="38" t="s">
        <v>11</v>
      </c>
      <c r="G287" s="40" t="s">
        <v>467</v>
      </c>
      <c r="H287" s="38" t="s">
        <v>84</v>
      </c>
      <c r="I287" s="38" t="s">
        <v>620</v>
      </c>
      <c r="J287" s="38">
        <f>IFERROR(VLOOKUP(C:C,'[1]S&amp;S'!$B:$F,5,0),)</f>
        <v>65</v>
      </c>
      <c r="K287" s="38">
        <f>IFERROR(VLOOKUP(A:A,[1]APO!$A:$F,6,0),)</f>
        <v>0</v>
      </c>
      <c r="L287" s="38">
        <f>IFERROR(VLOOKUP(C:C,'[1]TOTAL APO'!$A:$B,2,0),)</f>
        <v>0</v>
      </c>
      <c r="M287" s="38">
        <f>IFERROR(VLOOKUP(A:A,[1]Short!$A:$Q,17,0),)</f>
        <v>0</v>
      </c>
      <c r="N287" s="38">
        <f>IFERROR(VLOOKUP(C:C,[1]GIT!$B:$D,3,0),)</f>
        <v>0</v>
      </c>
      <c r="O287" s="38">
        <f>IFERROR(VLOOKUP(A:A,[2]Sheet1!$A:$B,2,0),)</f>
        <v>23</v>
      </c>
      <c r="P287" s="38">
        <f>IFERROR(VLOOKUP(A:A,[2]Sheet1!$A:$B,2,0),)</f>
        <v>23</v>
      </c>
      <c r="Q287" s="38">
        <f t="shared" si="4"/>
        <v>0</v>
      </c>
      <c r="R287" s="38"/>
      <c r="S287" s="38"/>
    </row>
    <row r="288" spans="1:19" hidden="1" x14ac:dyDescent="0.25">
      <c r="A288" s="38" t="str">
        <f>F288&amp;C288</f>
        <v>C04640060029</v>
      </c>
      <c r="B288" s="38" t="str">
        <f>IF(J288&gt;=SUMIFS(E:E,C:C,C288),"Good to go","Short in Qty")</f>
        <v>Good to go</v>
      </c>
      <c r="C288" s="40">
        <v>40060029</v>
      </c>
      <c r="D288" s="40" t="s">
        <v>508</v>
      </c>
      <c r="E288" s="66">
        <v>1</v>
      </c>
      <c r="F288" s="38" t="s">
        <v>13</v>
      </c>
      <c r="G288" s="40"/>
      <c r="H288" s="38" t="s">
        <v>84</v>
      </c>
      <c r="I288" s="38" t="s">
        <v>620</v>
      </c>
      <c r="J288" s="38">
        <f>IFERROR(VLOOKUP(C:C,'[1]S&amp;S'!$B:$F,5,0),)</f>
        <v>1528</v>
      </c>
      <c r="K288" s="38">
        <f>IFERROR(VLOOKUP(A:A,[1]APO!$A:$F,6,0),)</f>
        <v>0</v>
      </c>
      <c r="L288" s="38">
        <f>IFERROR(VLOOKUP(C:C,'[1]TOTAL APO'!$A:$B,2,0),)</f>
        <v>0</v>
      </c>
      <c r="M288" s="38">
        <f>IFERROR(VLOOKUP(A:A,[1]Short!$A:$Q,17,0),)</f>
        <v>0</v>
      </c>
      <c r="N288" s="38">
        <f>IFERROR(VLOOKUP(C:C,[1]GIT!$B:$D,3,0),)</f>
        <v>0</v>
      </c>
      <c r="O288" s="38">
        <f>IFERROR(VLOOKUP(A:A,[2]Sheet1!$A:$B,2,0),)</f>
        <v>0</v>
      </c>
      <c r="P288" s="38">
        <f>IFERROR(VLOOKUP(A:A,[2]Sheet1!$A:$B,2,0),)</f>
        <v>0</v>
      </c>
      <c r="Q288" s="38">
        <f t="shared" si="4"/>
        <v>1</v>
      </c>
      <c r="R288" s="38"/>
      <c r="S288" s="38"/>
    </row>
    <row r="289" spans="1:19" hidden="1" x14ac:dyDescent="0.25">
      <c r="A289" s="38" t="str">
        <f>F289&amp;C289</f>
        <v>C04740060029</v>
      </c>
      <c r="B289" s="38" t="str">
        <f>IF(J289&gt;=SUMIFS(E:E,C:C,C289),"Good to go","Short in Qty")</f>
        <v>Good to go</v>
      </c>
      <c r="C289" s="40">
        <v>40060029</v>
      </c>
      <c r="D289" s="40" t="s">
        <v>508</v>
      </c>
      <c r="E289" s="66">
        <v>4</v>
      </c>
      <c r="F289" s="38" t="s">
        <v>192</v>
      </c>
      <c r="G289" s="40"/>
      <c r="H289" s="38" t="s">
        <v>84</v>
      </c>
      <c r="I289" s="38" t="s">
        <v>620</v>
      </c>
      <c r="J289" s="38">
        <f>IFERROR(VLOOKUP(C:C,'[1]S&amp;S'!$B:$F,5,0),)</f>
        <v>1528</v>
      </c>
      <c r="K289" s="38">
        <f>IFERROR(VLOOKUP(A:A,[1]APO!$A:$F,6,0),)</f>
        <v>0</v>
      </c>
      <c r="L289" s="38">
        <f>IFERROR(VLOOKUP(C:C,'[1]TOTAL APO'!$A:$B,2,0),)</f>
        <v>0</v>
      </c>
      <c r="M289" s="38">
        <f>IFERROR(VLOOKUP(A:A,[1]Short!$A:$Q,17,0),)</f>
        <v>0</v>
      </c>
      <c r="N289" s="38">
        <f>IFERROR(VLOOKUP(C:C,[1]GIT!$B:$D,3,0),)</f>
        <v>0</v>
      </c>
      <c r="O289" s="38">
        <f>IFERROR(VLOOKUP(A:A,[2]Sheet1!$A:$B,2,0),)</f>
        <v>0</v>
      </c>
      <c r="P289" s="38">
        <f>IFERROR(VLOOKUP(A:A,[2]Sheet1!$A:$B,2,0),)</f>
        <v>0</v>
      </c>
      <c r="Q289" s="38">
        <f t="shared" si="4"/>
        <v>4</v>
      </c>
      <c r="R289" s="38"/>
      <c r="S289" s="38"/>
    </row>
    <row r="290" spans="1:19" hidden="1" x14ac:dyDescent="0.25">
      <c r="A290" s="38" t="str">
        <f>F290&amp;C290</f>
        <v>C04840057848</v>
      </c>
      <c r="B290" s="38" t="str">
        <f>IF(J290&gt;=SUMIFS(E:E,C:C,C290),"Good to go","Short in Qty")</f>
        <v>Short in Qty</v>
      </c>
      <c r="C290" s="40">
        <v>40057848</v>
      </c>
      <c r="D290" s="40" t="s">
        <v>588</v>
      </c>
      <c r="E290" s="66">
        <v>50</v>
      </c>
      <c r="F290" s="38" t="s">
        <v>8</v>
      </c>
      <c r="G290" s="40" t="s">
        <v>596</v>
      </c>
      <c r="H290" s="38" t="s">
        <v>594</v>
      </c>
      <c r="I290" s="38" t="s">
        <v>595</v>
      </c>
      <c r="J290" s="38">
        <f>IFERROR(VLOOKUP(C:C,'[1]S&amp;S'!$B:$F,5,0),)</f>
        <v>0</v>
      </c>
      <c r="K290" s="38">
        <f>IFERROR(VLOOKUP(A:A,[1]APO!$A:$F,6,0),)</f>
        <v>0</v>
      </c>
      <c r="L290" s="38">
        <f>IFERROR(VLOOKUP(C:C,'[1]TOTAL APO'!$A:$B,2,0),)</f>
        <v>0</v>
      </c>
      <c r="M290" s="38">
        <f>IFERROR(VLOOKUP(A:A,[1]Short!$A:$Q,17,0),)</f>
        <v>0</v>
      </c>
      <c r="N290" s="38">
        <f>IFERROR(VLOOKUP(C:C,[1]GIT!$B:$D,3,0),)</f>
        <v>0</v>
      </c>
      <c r="O290" s="38">
        <f>IFERROR(VLOOKUP(A:A,[2]Sheet1!$A:$B,2,0),)</f>
        <v>0</v>
      </c>
      <c r="P290" s="38">
        <f>IFERROR(VLOOKUP(A:A,[2]Sheet1!$A:$B,2,0),)</f>
        <v>0</v>
      </c>
      <c r="Q290" s="38">
        <f t="shared" si="4"/>
        <v>50</v>
      </c>
      <c r="R290" s="38"/>
      <c r="S290" s="38"/>
    </row>
    <row r="291" spans="1:19" hidden="1" x14ac:dyDescent="0.25">
      <c r="A291" s="38" t="str">
        <f>F291&amp;C291</f>
        <v>C10240058326</v>
      </c>
      <c r="B291" s="38" t="str">
        <f>IF(J291&gt;=SUMIFS(E:E,C:C,C291),"Good to go","Short in Qty")</f>
        <v>Short in Qty</v>
      </c>
      <c r="C291" s="40">
        <v>40058326</v>
      </c>
      <c r="D291" s="40" t="s">
        <v>268</v>
      </c>
      <c r="E291" s="66">
        <v>80</v>
      </c>
      <c r="F291" s="38" t="s">
        <v>226</v>
      </c>
      <c r="G291" s="40" t="s">
        <v>269</v>
      </c>
      <c r="H291" s="38" t="s">
        <v>213</v>
      </c>
      <c r="I291" s="38" t="s">
        <v>482</v>
      </c>
      <c r="J291" s="38">
        <f>IFERROR(VLOOKUP(C:C,'[1]S&amp;S'!$B:$F,5,0),)</f>
        <v>40</v>
      </c>
      <c r="K291" s="38">
        <f>IFERROR(VLOOKUP(A:A,[1]APO!$A:$F,6,0),)</f>
        <v>0</v>
      </c>
      <c r="L291" s="38">
        <f>IFERROR(VLOOKUP(C:C,'[1]TOTAL APO'!$A:$B,2,0),)</f>
        <v>0</v>
      </c>
      <c r="M291" s="38">
        <f>IFERROR(VLOOKUP(A:A,[1]Short!$A:$Q,17,0),)</f>
        <v>0</v>
      </c>
      <c r="N291" s="38">
        <f>IFERROR(VLOOKUP(C:C,[1]GIT!$B:$D,3,0),)</f>
        <v>0</v>
      </c>
      <c r="O291" s="38">
        <f>IFERROR(VLOOKUP(A:A,[2]Sheet1!$A:$B,2,0),)</f>
        <v>80</v>
      </c>
      <c r="P291" s="38">
        <f>IFERROR(VLOOKUP(A:A,[2]Sheet1!$A:$B,2,0),)</f>
        <v>80</v>
      </c>
      <c r="Q291" s="38">
        <f t="shared" si="4"/>
        <v>0</v>
      </c>
      <c r="R291" s="38"/>
      <c r="S291" s="38"/>
    </row>
    <row r="292" spans="1:19" x14ac:dyDescent="0.25">
      <c r="A292" s="38" t="str">
        <f>F292&amp;C292</f>
        <v>C04640059401</v>
      </c>
      <c r="B292" s="38" t="str">
        <f>IF(J292&gt;=SUMIFS(E:E,C:C,C292),"Good to go","Short in Qty")</f>
        <v>Good to go</v>
      </c>
      <c r="C292" s="40">
        <v>40059401</v>
      </c>
      <c r="D292" s="40" t="s">
        <v>293</v>
      </c>
      <c r="E292" s="66">
        <v>15</v>
      </c>
      <c r="F292" s="38" t="s">
        <v>13</v>
      </c>
      <c r="G292" s="40"/>
      <c r="H292" s="38" t="s">
        <v>9</v>
      </c>
      <c r="I292" s="38" t="s">
        <v>530</v>
      </c>
      <c r="J292" s="38">
        <f>IFERROR(VLOOKUP(C:C,'[1]S&amp;S'!$B:$F,5,0),)</f>
        <v>79</v>
      </c>
      <c r="K292" s="38">
        <f>IFERROR(VLOOKUP(A:A,[1]APO!$A:$F,6,0),)</f>
        <v>0</v>
      </c>
      <c r="L292" s="38">
        <f>IFERROR(VLOOKUP(C:C,'[1]TOTAL APO'!$A:$B,2,0),)</f>
        <v>0</v>
      </c>
      <c r="M292" s="38">
        <f>IFERROR(VLOOKUP(A:A,[1]Short!$A:$Q,17,0),)</f>
        <v>0</v>
      </c>
      <c r="N292" s="38">
        <f>IFERROR(VLOOKUP(C:C,[1]GIT!$B:$D,3,0),)</f>
        <v>0</v>
      </c>
      <c r="O292" s="38">
        <f>IFERROR(VLOOKUP(A:A,[2]Sheet1!$A:$B,2,0),)</f>
        <v>0</v>
      </c>
      <c r="P292" s="38">
        <f>IFERROR(VLOOKUP(A:A,[2]Sheet1!$A:$B,2,0),)</f>
        <v>0</v>
      </c>
      <c r="Q292" s="38">
        <f t="shared" si="4"/>
        <v>15</v>
      </c>
      <c r="R292" s="38"/>
      <c r="S292" s="38"/>
    </row>
    <row r="293" spans="1:19" hidden="1" x14ac:dyDescent="0.25">
      <c r="A293" s="38" t="str">
        <f>F293&amp;C293</f>
        <v>C04840044138</v>
      </c>
      <c r="B293" s="38" t="str">
        <f>IF(J293&gt;=SUMIFS(E:E,C:C,C293),"Good to go","Short in Qty")</f>
        <v>Good to go</v>
      </c>
      <c r="C293" s="40">
        <v>40044138</v>
      </c>
      <c r="D293" s="40" t="s">
        <v>253</v>
      </c>
      <c r="E293" s="66">
        <v>34</v>
      </c>
      <c r="F293" s="38" t="s">
        <v>8</v>
      </c>
      <c r="G293" s="73" t="s">
        <v>467</v>
      </c>
      <c r="H293" s="38" t="s">
        <v>84</v>
      </c>
      <c r="I293" s="38" t="s">
        <v>620</v>
      </c>
      <c r="J293" s="38">
        <f>IFERROR(VLOOKUP(C:C,'[1]S&amp;S'!$B:$F,5,0),)</f>
        <v>65</v>
      </c>
      <c r="K293" s="38">
        <f>IFERROR(VLOOKUP(A:A,[1]APO!$A:$F,6,0),)</f>
        <v>0</v>
      </c>
      <c r="L293" s="38">
        <f>IFERROR(VLOOKUP(C:C,'[1]TOTAL APO'!$A:$B,2,0),)</f>
        <v>0</v>
      </c>
      <c r="M293" s="38">
        <f>IFERROR(VLOOKUP(A:A,[1]Short!$A:$Q,17,0),)</f>
        <v>0</v>
      </c>
      <c r="N293" s="38">
        <f>IFERROR(VLOOKUP(C:C,[1]GIT!$B:$D,3,0),)</f>
        <v>0</v>
      </c>
      <c r="O293" s="38">
        <f>IFERROR(VLOOKUP(A:A,[2]Sheet1!$A:$B,2,0),)</f>
        <v>34</v>
      </c>
      <c r="P293" s="38">
        <f>IFERROR(VLOOKUP(A:A,[2]Sheet1!$A:$B,2,0),)</f>
        <v>34</v>
      </c>
      <c r="Q293" s="38">
        <f t="shared" si="4"/>
        <v>0</v>
      </c>
      <c r="R293" s="38"/>
      <c r="S293" s="38"/>
    </row>
    <row r="294" spans="1:19" hidden="1" x14ac:dyDescent="0.25">
      <c r="A294" s="38" t="str">
        <f>F294&amp;C294</f>
        <v>C04240063178</v>
      </c>
      <c r="B294" s="38" t="str">
        <f>IF(J294&gt;=SUMIFS(E:E,C:C,C294),"Good to go","Short in Qty")</f>
        <v>Good to go</v>
      </c>
      <c r="C294" s="40">
        <v>40063178</v>
      </c>
      <c r="D294" s="40" t="s">
        <v>504</v>
      </c>
      <c r="E294" s="66">
        <v>18</v>
      </c>
      <c r="F294" s="38" t="s">
        <v>10</v>
      </c>
      <c r="G294" s="40" t="s">
        <v>467</v>
      </c>
      <c r="H294" s="38" t="s">
        <v>9</v>
      </c>
      <c r="I294" s="38" t="s">
        <v>530</v>
      </c>
      <c r="J294" s="38">
        <f>IFERROR(VLOOKUP(C:C,'[1]S&amp;S'!$B:$F,5,0),)</f>
        <v>383</v>
      </c>
      <c r="K294" s="38">
        <f>IFERROR(VLOOKUP(A:A,[1]APO!$A:$F,6,0),)</f>
        <v>0</v>
      </c>
      <c r="L294" s="38">
        <f>IFERROR(VLOOKUP(C:C,'[1]TOTAL APO'!$A:$B,2,0),)</f>
        <v>0</v>
      </c>
      <c r="M294" s="38">
        <f>IFERROR(VLOOKUP(A:A,[1]Short!$A:$Q,17,0),)</f>
        <v>0</v>
      </c>
      <c r="N294" s="38">
        <f>IFERROR(VLOOKUP(C:C,[1]GIT!$B:$D,3,0),)</f>
        <v>0</v>
      </c>
      <c r="O294" s="38">
        <f>IFERROR(VLOOKUP(A:A,[2]Sheet1!$A:$B,2,0),)</f>
        <v>18</v>
      </c>
      <c r="P294" s="38">
        <f>IFERROR(VLOOKUP(A:A,[2]Sheet1!$A:$B,2,0),)</f>
        <v>18</v>
      </c>
      <c r="Q294" s="38">
        <f t="shared" si="4"/>
        <v>0</v>
      </c>
      <c r="R294" s="38"/>
      <c r="S294" s="38"/>
    </row>
    <row r="295" spans="1:19" hidden="1" x14ac:dyDescent="0.25">
      <c r="A295" s="38" t="str">
        <f>F295&amp;C295</f>
        <v>C04340060033</v>
      </c>
      <c r="B295" s="38" t="str">
        <f>IF(J295&gt;=SUMIFS(E:E,C:C,C295),"Good to go","Short in Qty")</f>
        <v>Good to go</v>
      </c>
      <c r="C295" s="40">
        <v>40060033</v>
      </c>
      <c r="D295" s="40" t="s">
        <v>510</v>
      </c>
      <c r="E295" s="66">
        <v>11</v>
      </c>
      <c r="F295" s="38" t="s">
        <v>11</v>
      </c>
      <c r="G295" s="40" t="s">
        <v>467</v>
      </c>
      <c r="H295" s="38" t="s">
        <v>9</v>
      </c>
      <c r="I295" s="38" t="s">
        <v>530</v>
      </c>
      <c r="J295" s="38">
        <f>IFERROR(VLOOKUP(C:C,'[1]S&amp;S'!$B:$F,5,0),)</f>
        <v>505</v>
      </c>
      <c r="K295" s="38">
        <f>IFERROR(VLOOKUP(A:A,[1]APO!$A:$F,6,0),)</f>
        <v>0</v>
      </c>
      <c r="L295" s="38">
        <f>IFERROR(VLOOKUP(C:C,'[1]TOTAL APO'!$A:$B,2,0),)</f>
        <v>0</v>
      </c>
      <c r="M295" s="38">
        <f>IFERROR(VLOOKUP(A:A,[1]Short!$A:$Q,17,0),)</f>
        <v>0</v>
      </c>
      <c r="N295" s="38">
        <f>IFERROR(VLOOKUP(C:C,[1]GIT!$B:$D,3,0),)</f>
        <v>0</v>
      </c>
      <c r="O295" s="38">
        <f>IFERROR(VLOOKUP(A:A,[2]Sheet1!$A:$B,2,0),)</f>
        <v>11</v>
      </c>
      <c r="P295" s="38">
        <f>IFERROR(VLOOKUP(A:A,[2]Sheet1!$A:$B,2,0),)</f>
        <v>11</v>
      </c>
      <c r="Q295" s="38">
        <f t="shared" si="4"/>
        <v>0</v>
      </c>
      <c r="R295" s="38"/>
      <c r="S295" s="38"/>
    </row>
    <row r="296" spans="1:19" x14ac:dyDescent="0.25">
      <c r="A296" s="38" t="str">
        <f>F296&amp;C296</f>
        <v>C04440060033</v>
      </c>
      <c r="B296" s="38" t="str">
        <f>IF(J296&gt;=SUMIFS(E:E,C:C,C296),"Good to go","Short in Qty")</f>
        <v>Good to go</v>
      </c>
      <c r="C296" s="40">
        <v>40060033</v>
      </c>
      <c r="D296" s="40" t="s">
        <v>510</v>
      </c>
      <c r="E296" s="66">
        <v>10</v>
      </c>
      <c r="F296" s="38" t="s">
        <v>191</v>
      </c>
      <c r="G296" s="40"/>
      <c r="H296" s="38" t="s">
        <v>9</v>
      </c>
      <c r="I296" s="38" t="s">
        <v>530</v>
      </c>
      <c r="J296" s="38">
        <f>IFERROR(VLOOKUP(C:C,'[1]S&amp;S'!$B:$F,5,0),)</f>
        <v>505</v>
      </c>
      <c r="K296" s="38">
        <f>IFERROR(VLOOKUP(A:A,[1]APO!$A:$F,6,0),)</f>
        <v>0</v>
      </c>
      <c r="L296" s="38">
        <f>IFERROR(VLOOKUP(C:C,'[1]TOTAL APO'!$A:$B,2,0),)</f>
        <v>0</v>
      </c>
      <c r="M296" s="38">
        <f>IFERROR(VLOOKUP(A:A,[1]Short!$A:$Q,17,0),)</f>
        <v>0</v>
      </c>
      <c r="N296" s="38">
        <f>IFERROR(VLOOKUP(C:C,[1]GIT!$B:$D,3,0),)</f>
        <v>0</v>
      </c>
      <c r="O296" s="38">
        <f>IFERROR(VLOOKUP(A:A,[2]Sheet1!$A:$B,2,0),)</f>
        <v>0</v>
      </c>
      <c r="P296" s="38">
        <f>IFERROR(VLOOKUP(A:A,[2]Sheet1!$A:$B,2,0),)</f>
        <v>0</v>
      </c>
      <c r="Q296" s="38">
        <f t="shared" si="4"/>
        <v>10</v>
      </c>
      <c r="R296" s="38"/>
      <c r="S296" s="38"/>
    </row>
    <row r="297" spans="1:19" x14ac:dyDescent="0.25">
      <c r="A297" s="38" t="str">
        <f>F297&amp;C297</f>
        <v>C04640060033</v>
      </c>
      <c r="B297" s="38" t="str">
        <f>IF(J297&gt;=SUMIFS(E:E,C:C,C297),"Good to go","Short in Qty")</f>
        <v>Good to go</v>
      </c>
      <c r="C297" s="40">
        <v>40060033</v>
      </c>
      <c r="D297" s="40" t="s">
        <v>510</v>
      </c>
      <c r="E297" s="66">
        <v>9</v>
      </c>
      <c r="F297" s="38" t="s">
        <v>13</v>
      </c>
      <c r="G297" s="40"/>
      <c r="H297" s="38" t="s">
        <v>9</v>
      </c>
      <c r="I297" s="38" t="s">
        <v>530</v>
      </c>
      <c r="J297" s="38">
        <f>IFERROR(VLOOKUP(C:C,'[1]S&amp;S'!$B:$F,5,0),)</f>
        <v>505</v>
      </c>
      <c r="K297" s="38">
        <f>IFERROR(VLOOKUP(A:A,[1]APO!$A:$F,6,0),)</f>
        <v>0</v>
      </c>
      <c r="L297" s="38">
        <f>IFERROR(VLOOKUP(C:C,'[1]TOTAL APO'!$A:$B,2,0),)</f>
        <v>0</v>
      </c>
      <c r="M297" s="38">
        <f>IFERROR(VLOOKUP(A:A,[1]Short!$A:$Q,17,0),)</f>
        <v>0</v>
      </c>
      <c r="N297" s="38">
        <f>IFERROR(VLOOKUP(C:C,[1]GIT!$B:$D,3,0),)</f>
        <v>0</v>
      </c>
      <c r="O297" s="38">
        <f>IFERROR(VLOOKUP(A:A,[2]Sheet1!$A:$B,2,0),)</f>
        <v>0</v>
      </c>
      <c r="P297" s="38">
        <f>IFERROR(VLOOKUP(A:A,[2]Sheet1!$A:$B,2,0),)</f>
        <v>0</v>
      </c>
      <c r="Q297" s="38">
        <f t="shared" si="4"/>
        <v>9</v>
      </c>
      <c r="R297" s="38"/>
      <c r="S297" s="38"/>
    </row>
    <row r="298" spans="1:19" x14ac:dyDescent="0.25">
      <c r="A298" s="38" t="str">
        <f>F298&amp;C298</f>
        <v>C04740060033</v>
      </c>
      <c r="B298" s="38" t="str">
        <f>IF(J298&gt;=SUMIFS(E:E,C:C,C298),"Good to go","Short in Qty")</f>
        <v>Good to go</v>
      </c>
      <c r="C298" s="40">
        <v>40060033</v>
      </c>
      <c r="D298" s="40" t="s">
        <v>510</v>
      </c>
      <c r="E298" s="66">
        <v>2</v>
      </c>
      <c r="F298" s="38" t="s">
        <v>192</v>
      </c>
      <c r="G298" s="40"/>
      <c r="H298" s="38" t="s">
        <v>9</v>
      </c>
      <c r="I298" s="38" t="s">
        <v>530</v>
      </c>
      <c r="J298" s="38">
        <f>IFERROR(VLOOKUP(C:C,'[1]S&amp;S'!$B:$F,5,0),)</f>
        <v>505</v>
      </c>
      <c r="K298" s="38">
        <f>IFERROR(VLOOKUP(A:A,[1]APO!$A:$F,6,0),)</f>
        <v>0</v>
      </c>
      <c r="L298" s="38">
        <f>IFERROR(VLOOKUP(C:C,'[1]TOTAL APO'!$A:$B,2,0),)</f>
        <v>0</v>
      </c>
      <c r="M298" s="38">
        <f>IFERROR(VLOOKUP(A:A,[1]Short!$A:$Q,17,0),)</f>
        <v>0</v>
      </c>
      <c r="N298" s="38">
        <f>IFERROR(VLOOKUP(C:C,[1]GIT!$B:$D,3,0),)</f>
        <v>0</v>
      </c>
      <c r="O298" s="38">
        <f>IFERROR(VLOOKUP(A:A,[2]Sheet1!$A:$B,2,0),)</f>
        <v>0</v>
      </c>
      <c r="P298" s="38">
        <f>IFERROR(VLOOKUP(A:A,[2]Sheet1!$A:$B,2,0),)</f>
        <v>0</v>
      </c>
      <c r="Q298" s="38">
        <f t="shared" si="4"/>
        <v>2</v>
      </c>
      <c r="R298" s="38"/>
      <c r="S298" s="38"/>
    </row>
    <row r="299" spans="1:19" x14ac:dyDescent="0.25">
      <c r="A299" s="38" t="str">
        <f>F299&amp;C299</f>
        <v>C04840065345</v>
      </c>
      <c r="B299" s="38" t="str">
        <f>IF(J299&gt;=SUMIFS(E:E,C:C,C299),"Good to go","Short in Qty")</f>
        <v>Good to go</v>
      </c>
      <c r="C299" s="40">
        <v>40065345</v>
      </c>
      <c r="D299" s="40" t="s">
        <v>294</v>
      </c>
      <c r="E299" s="66">
        <v>50</v>
      </c>
      <c r="F299" s="38" t="s">
        <v>8</v>
      </c>
      <c r="G299" s="73">
        <v>41</v>
      </c>
      <c r="H299" s="38" t="s">
        <v>9</v>
      </c>
      <c r="I299" s="38" t="s">
        <v>530</v>
      </c>
      <c r="J299" s="38">
        <f>IFERROR(VLOOKUP(C:C,'[1]S&amp;S'!$B:$F,5,0),)</f>
        <v>936</v>
      </c>
      <c r="K299" s="38">
        <f>IFERROR(VLOOKUP(A:A,[1]APO!$A:$F,6,0),)</f>
        <v>0</v>
      </c>
      <c r="L299" s="38">
        <f>IFERROR(VLOOKUP(C:C,'[1]TOTAL APO'!$A:$B,2,0),)</f>
        <v>0</v>
      </c>
      <c r="M299" s="38">
        <f>IFERROR(VLOOKUP(A:A,[1]Short!$A:$Q,17,0),)</f>
        <v>0</v>
      </c>
      <c r="N299" s="38">
        <f>IFERROR(VLOOKUP(C:C,[1]GIT!$B:$D,3,0),)</f>
        <v>422</v>
      </c>
      <c r="O299" s="38">
        <f>IFERROR(VLOOKUP(A:A,[2]Sheet1!$A:$B,2,0),)</f>
        <v>41</v>
      </c>
      <c r="P299" s="38">
        <f>IFERROR(VLOOKUP(A:A,[2]Sheet1!$A:$B,2,0),)</f>
        <v>41</v>
      </c>
      <c r="Q299" s="38">
        <f t="shared" si="4"/>
        <v>9</v>
      </c>
      <c r="R299" s="38"/>
      <c r="S299" s="38"/>
    </row>
    <row r="300" spans="1:19" hidden="1" x14ac:dyDescent="0.25">
      <c r="A300" s="38" t="str">
        <f>F300&amp;C300</f>
        <v>C10240060029</v>
      </c>
      <c r="B300" s="38" t="str">
        <f>IF(J300&gt;=SUMIFS(E:E,C:C,C300),"Good to go","Short in Qty")</f>
        <v>Good to go</v>
      </c>
      <c r="C300" s="40">
        <v>40060029</v>
      </c>
      <c r="D300" s="40" t="s">
        <v>508</v>
      </c>
      <c r="E300" s="66">
        <v>81</v>
      </c>
      <c r="F300" s="38" t="s">
        <v>226</v>
      </c>
      <c r="G300" s="40" t="s">
        <v>467</v>
      </c>
      <c r="H300" s="38" t="s">
        <v>84</v>
      </c>
      <c r="I300" s="38" t="s">
        <v>620</v>
      </c>
      <c r="J300" s="38">
        <f>IFERROR(VLOOKUP(C:C,'[1]S&amp;S'!$B:$F,5,0),)</f>
        <v>1528</v>
      </c>
      <c r="K300" s="38">
        <f>IFERROR(VLOOKUP(A:A,[1]APO!$A:$F,6,0),)</f>
        <v>0</v>
      </c>
      <c r="L300" s="38">
        <f>IFERROR(VLOOKUP(C:C,'[1]TOTAL APO'!$A:$B,2,0),)</f>
        <v>0</v>
      </c>
      <c r="M300" s="38">
        <f>IFERROR(VLOOKUP(A:A,[1]Short!$A:$Q,17,0),)</f>
        <v>0</v>
      </c>
      <c r="N300" s="38">
        <f>IFERROR(VLOOKUP(C:C,[1]GIT!$B:$D,3,0),)</f>
        <v>0</v>
      </c>
      <c r="O300" s="38">
        <f>IFERROR(VLOOKUP(A:A,[2]Sheet1!$A:$B,2,0),)</f>
        <v>81</v>
      </c>
      <c r="P300" s="38">
        <f>IFERROR(VLOOKUP(A:A,[2]Sheet1!$A:$B,2,0),)</f>
        <v>81</v>
      </c>
      <c r="Q300" s="38">
        <f t="shared" si="4"/>
        <v>0</v>
      </c>
      <c r="R300" s="38"/>
      <c r="S300" s="38"/>
    </row>
    <row r="301" spans="1:19" x14ac:dyDescent="0.25">
      <c r="A301" s="38" t="str">
        <f>F301&amp;C301</f>
        <v>C04240065002</v>
      </c>
      <c r="B301" s="38" t="str">
        <f>IF(J301&gt;=SUMIFS(E:E,C:C,C301),"Good to go","Short in Qty")</f>
        <v>Good to go</v>
      </c>
      <c r="C301" s="40">
        <v>40065002</v>
      </c>
      <c r="D301" s="40" t="s">
        <v>291</v>
      </c>
      <c r="E301" s="66">
        <v>1</v>
      </c>
      <c r="F301" s="38" t="s">
        <v>10</v>
      </c>
      <c r="G301" s="40" t="s">
        <v>467</v>
      </c>
      <c r="H301" s="38" t="s">
        <v>9</v>
      </c>
      <c r="I301" s="38" t="s">
        <v>530</v>
      </c>
      <c r="J301" s="38">
        <f>IFERROR(VLOOKUP(C:C,'[1]S&amp;S'!$B:$F,5,0),)</f>
        <v>377</v>
      </c>
      <c r="K301" s="38">
        <f>IFERROR(VLOOKUP(A:A,[1]APO!$A:$F,6,0),)</f>
        <v>0</v>
      </c>
      <c r="L301" s="38">
        <f>IFERROR(VLOOKUP(C:C,'[1]TOTAL APO'!$A:$B,2,0),)</f>
        <v>0</v>
      </c>
      <c r="M301" s="38">
        <f>IFERROR(VLOOKUP(A:A,[1]Short!$A:$Q,17,0),)</f>
        <v>0</v>
      </c>
      <c r="N301" s="38">
        <f>IFERROR(VLOOKUP(C:C,[1]GIT!$B:$D,3,0),)</f>
        <v>360</v>
      </c>
      <c r="O301" s="38">
        <f>IFERROR(VLOOKUP(A:A,[2]Sheet1!$A:$B,2,0),)</f>
        <v>0</v>
      </c>
      <c r="P301" s="38">
        <f>IFERROR(VLOOKUP(A:A,[2]Sheet1!$A:$B,2,0),)</f>
        <v>0</v>
      </c>
      <c r="Q301" s="38">
        <f t="shared" si="4"/>
        <v>1</v>
      </c>
      <c r="R301" s="38"/>
      <c r="S301" s="38"/>
    </row>
    <row r="302" spans="1:19" hidden="1" x14ac:dyDescent="0.25">
      <c r="A302" s="38" t="str">
        <f>F302&amp;C302</f>
        <v>C04340063018</v>
      </c>
      <c r="B302" s="38" t="str">
        <f>IF(J302&gt;=SUMIFS(E:E,C:C,C302),"Good to go","Short in Qty")</f>
        <v>Good to go</v>
      </c>
      <c r="C302" s="40">
        <v>40063018</v>
      </c>
      <c r="D302" s="40" t="s">
        <v>511</v>
      </c>
      <c r="E302" s="67">
        <v>100</v>
      </c>
      <c r="F302" s="38" t="s">
        <v>11</v>
      </c>
      <c r="G302" s="40" t="s">
        <v>467</v>
      </c>
      <c r="H302" s="38" t="s">
        <v>9</v>
      </c>
      <c r="I302" s="38" t="s">
        <v>530</v>
      </c>
      <c r="J302" s="38">
        <f>IFERROR(VLOOKUP(C:C,'[1]S&amp;S'!$B:$F,5,0),)</f>
        <v>1061</v>
      </c>
      <c r="K302" s="38">
        <f>IFERROR(VLOOKUP(A:A,[1]APO!$A:$F,6,0),)</f>
        <v>0</v>
      </c>
      <c r="L302" s="38">
        <f>IFERROR(VLOOKUP(C:C,'[1]TOTAL APO'!$A:$B,2,0),)</f>
        <v>0</v>
      </c>
      <c r="M302" s="38">
        <f>IFERROR(VLOOKUP(A:A,[1]Short!$A:$Q,17,0),)</f>
        <v>0</v>
      </c>
      <c r="N302" s="38">
        <f>IFERROR(VLOOKUP(C:C,[1]GIT!$B:$D,3,0),)</f>
        <v>213</v>
      </c>
      <c r="O302" s="38">
        <f>IFERROR(VLOOKUP(A:A,[2]Sheet1!$A:$B,2,0),)</f>
        <v>100</v>
      </c>
      <c r="P302" s="38">
        <f>IFERROR(VLOOKUP(A:A,[2]Sheet1!$A:$B,2,0),)</f>
        <v>100</v>
      </c>
      <c r="Q302" s="38">
        <f t="shared" si="4"/>
        <v>0</v>
      </c>
      <c r="R302" s="38"/>
      <c r="S302" s="38"/>
    </row>
    <row r="303" spans="1:19" hidden="1" x14ac:dyDescent="0.25">
      <c r="A303" s="38" t="str">
        <f>F303&amp;C303</f>
        <v>C04440063018</v>
      </c>
      <c r="B303" s="38" t="str">
        <f>IF(J303&gt;=SUMIFS(E:E,C:C,C303),"Good to go","Short in Qty")</f>
        <v>Good to go</v>
      </c>
      <c r="C303" s="40">
        <v>40063018</v>
      </c>
      <c r="D303" s="40" t="s">
        <v>511</v>
      </c>
      <c r="E303" s="67">
        <v>50</v>
      </c>
      <c r="F303" s="38" t="s">
        <v>191</v>
      </c>
      <c r="G303" s="40" t="s">
        <v>467</v>
      </c>
      <c r="H303" s="38" t="s">
        <v>9</v>
      </c>
      <c r="I303" s="38" t="s">
        <v>530</v>
      </c>
      <c r="J303" s="38">
        <f>IFERROR(VLOOKUP(C:C,'[1]S&amp;S'!$B:$F,5,0),)</f>
        <v>1061</v>
      </c>
      <c r="K303" s="38">
        <f>IFERROR(VLOOKUP(A:A,[1]APO!$A:$F,6,0),)</f>
        <v>0</v>
      </c>
      <c r="L303" s="38">
        <f>IFERROR(VLOOKUP(C:C,'[1]TOTAL APO'!$A:$B,2,0),)</f>
        <v>0</v>
      </c>
      <c r="M303" s="38">
        <f>IFERROR(VLOOKUP(A:A,[1]Short!$A:$Q,17,0),)</f>
        <v>0</v>
      </c>
      <c r="N303" s="38">
        <f>IFERROR(VLOOKUP(C:C,[1]GIT!$B:$D,3,0),)</f>
        <v>213</v>
      </c>
      <c r="O303" s="38">
        <f>IFERROR(VLOOKUP(A:A,[2]Sheet1!$A:$B,2,0),)</f>
        <v>50</v>
      </c>
      <c r="P303" s="38">
        <f>IFERROR(VLOOKUP(A:A,[2]Sheet1!$A:$B,2,0),)</f>
        <v>50</v>
      </c>
      <c r="Q303" s="38">
        <f t="shared" si="4"/>
        <v>0</v>
      </c>
      <c r="R303" s="38"/>
      <c r="S303" s="38"/>
    </row>
    <row r="304" spans="1:19" hidden="1" x14ac:dyDescent="0.25">
      <c r="A304" s="38" t="str">
        <f>F304&amp;C304</f>
        <v>C04840063018</v>
      </c>
      <c r="B304" s="38" t="str">
        <f>IF(J304&gt;=SUMIFS(E:E,C:C,C304),"Good to go","Short in Qty")</f>
        <v>Good to go</v>
      </c>
      <c r="C304" s="40">
        <v>40063018</v>
      </c>
      <c r="D304" s="40" t="s">
        <v>511</v>
      </c>
      <c r="E304" s="67">
        <v>100</v>
      </c>
      <c r="F304" s="38" t="s">
        <v>8</v>
      </c>
      <c r="G304" s="40" t="s">
        <v>467</v>
      </c>
      <c r="H304" s="38" t="s">
        <v>9</v>
      </c>
      <c r="I304" s="38" t="s">
        <v>530</v>
      </c>
      <c r="J304" s="38">
        <f>IFERROR(VLOOKUP(C:C,'[1]S&amp;S'!$B:$F,5,0),)</f>
        <v>1061</v>
      </c>
      <c r="K304" s="38">
        <f>IFERROR(VLOOKUP(A:A,[1]APO!$A:$F,6,0),)</f>
        <v>0</v>
      </c>
      <c r="L304" s="38">
        <f>IFERROR(VLOOKUP(C:C,'[1]TOTAL APO'!$A:$B,2,0),)</f>
        <v>0</v>
      </c>
      <c r="M304" s="38">
        <f>IFERROR(VLOOKUP(A:A,[1]Short!$A:$Q,17,0),)</f>
        <v>0</v>
      </c>
      <c r="N304" s="38">
        <f>IFERROR(VLOOKUP(C:C,[1]GIT!$B:$D,3,0),)</f>
        <v>213</v>
      </c>
      <c r="O304" s="38">
        <f>IFERROR(VLOOKUP(A:A,[2]Sheet1!$A:$B,2,0),)</f>
        <v>100</v>
      </c>
      <c r="P304" s="38">
        <f>IFERROR(VLOOKUP(A:A,[2]Sheet1!$A:$B,2,0),)</f>
        <v>100</v>
      </c>
      <c r="Q304" s="38">
        <f t="shared" si="4"/>
        <v>0</v>
      </c>
      <c r="R304" s="38"/>
      <c r="S304" s="38"/>
    </row>
    <row r="305" spans="1:19" hidden="1" x14ac:dyDescent="0.25">
      <c r="A305" s="38" t="str">
        <f>F305&amp;C305</f>
        <v>C04240062518</v>
      </c>
      <c r="B305" s="38" t="str">
        <f>IF(J305&gt;=SUMIFS(E:E,C:C,C305),"Good to go","Short in Qty")</f>
        <v>Good to go</v>
      </c>
      <c r="C305" s="40">
        <v>40062518</v>
      </c>
      <c r="D305" s="40" t="s">
        <v>544</v>
      </c>
      <c r="E305" s="66">
        <v>20</v>
      </c>
      <c r="F305" s="38" t="s">
        <v>10</v>
      </c>
      <c r="G305" s="40" t="s">
        <v>467</v>
      </c>
      <c r="H305" s="38" t="s">
        <v>594</v>
      </c>
      <c r="I305" s="38" t="s">
        <v>595</v>
      </c>
      <c r="J305" s="38">
        <f>IFERROR(VLOOKUP(C:C,'[1]S&amp;S'!$B:$F,5,0),)</f>
        <v>343</v>
      </c>
      <c r="K305" s="38">
        <f>IFERROR(VLOOKUP(A:A,[1]APO!$A:$F,6,0),)</f>
        <v>0</v>
      </c>
      <c r="L305" s="38">
        <f>IFERROR(VLOOKUP(C:C,'[1]TOTAL APO'!$A:$B,2,0),)</f>
        <v>0</v>
      </c>
      <c r="M305" s="38">
        <f>IFERROR(VLOOKUP(A:A,[1]Short!$A:$Q,17,0),)</f>
        <v>0</v>
      </c>
      <c r="N305" s="38">
        <f>IFERROR(VLOOKUP(C:C,[1]GIT!$B:$D,3,0),)</f>
        <v>12</v>
      </c>
      <c r="O305" s="38">
        <f>IFERROR(VLOOKUP(A:A,[2]Sheet1!$A:$B,2,0),)</f>
        <v>20</v>
      </c>
      <c r="P305" s="38">
        <f>IFERROR(VLOOKUP(A:A,[2]Sheet1!$A:$B,2,0),)</f>
        <v>20</v>
      </c>
      <c r="Q305" s="38">
        <f t="shared" si="4"/>
        <v>0</v>
      </c>
      <c r="R305" s="38"/>
      <c r="S305" s="38"/>
    </row>
    <row r="306" spans="1:19" hidden="1" x14ac:dyDescent="0.25">
      <c r="A306" s="38" t="str">
        <f>F306&amp;C306</f>
        <v>C04340063020</v>
      </c>
      <c r="B306" s="38" t="str">
        <f>IF(J306&gt;=SUMIFS(E:E,C:C,C306),"Good to go","Short in Qty")</f>
        <v>Good to go</v>
      </c>
      <c r="C306" s="40">
        <v>40063020</v>
      </c>
      <c r="D306" s="40" t="s">
        <v>264</v>
      </c>
      <c r="E306" s="67">
        <v>100</v>
      </c>
      <c r="F306" s="38" t="s">
        <v>11</v>
      </c>
      <c r="G306" s="40" t="s">
        <v>467</v>
      </c>
      <c r="H306" s="38" t="s">
        <v>9</v>
      </c>
      <c r="I306" s="38" t="s">
        <v>530</v>
      </c>
      <c r="J306" s="38">
        <f>IFERROR(VLOOKUP(C:C,'[1]S&amp;S'!$B:$F,5,0),)</f>
        <v>1429</v>
      </c>
      <c r="K306" s="38">
        <f>IFERROR(VLOOKUP(A:A,[1]APO!$A:$F,6,0),)</f>
        <v>0</v>
      </c>
      <c r="L306" s="38">
        <f>IFERROR(VLOOKUP(C:C,'[1]TOTAL APO'!$A:$B,2,0),)</f>
        <v>0</v>
      </c>
      <c r="M306" s="38">
        <f>IFERROR(VLOOKUP(A:A,[1]Short!$A:$Q,17,0),)</f>
        <v>0</v>
      </c>
      <c r="N306" s="38">
        <f>IFERROR(VLOOKUP(C:C,[1]GIT!$B:$D,3,0),)</f>
        <v>700</v>
      </c>
      <c r="O306" s="38">
        <f>IFERROR(VLOOKUP(A:A,[2]Sheet1!$A:$B,2,0),)</f>
        <v>100</v>
      </c>
      <c r="P306" s="38">
        <f>IFERROR(VLOOKUP(A:A,[2]Sheet1!$A:$B,2,0),)</f>
        <v>100</v>
      </c>
      <c r="Q306" s="38">
        <f t="shared" si="4"/>
        <v>0</v>
      </c>
      <c r="R306" s="38"/>
      <c r="S306" s="38"/>
    </row>
    <row r="307" spans="1:19" hidden="1" x14ac:dyDescent="0.25">
      <c r="A307" s="38" t="str">
        <f>F307&amp;C307</f>
        <v>C04440063020</v>
      </c>
      <c r="B307" s="38" t="str">
        <f>IF(J307&gt;=SUMIFS(E:E,C:C,C307),"Good to go","Short in Qty")</f>
        <v>Good to go</v>
      </c>
      <c r="C307" s="40">
        <v>40063020</v>
      </c>
      <c r="D307" s="40" t="s">
        <v>264</v>
      </c>
      <c r="E307" s="67">
        <v>75</v>
      </c>
      <c r="F307" s="38" t="s">
        <v>191</v>
      </c>
      <c r="G307" s="40" t="s">
        <v>467</v>
      </c>
      <c r="H307" s="38" t="s">
        <v>9</v>
      </c>
      <c r="I307" s="38" t="s">
        <v>530</v>
      </c>
      <c r="J307" s="38">
        <f>IFERROR(VLOOKUP(C:C,'[1]S&amp;S'!$B:$F,5,0),)</f>
        <v>1429</v>
      </c>
      <c r="K307" s="38">
        <f>IFERROR(VLOOKUP(A:A,[1]APO!$A:$F,6,0),)</f>
        <v>0</v>
      </c>
      <c r="L307" s="38">
        <f>IFERROR(VLOOKUP(C:C,'[1]TOTAL APO'!$A:$B,2,0),)</f>
        <v>0</v>
      </c>
      <c r="M307" s="38">
        <f>IFERROR(VLOOKUP(A:A,[1]Short!$A:$Q,17,0),)</f>
        <v>0</v>
      </c>
      <c r="N307" s="38">
        <f>IFERROR(VLOOKUP(C:C,[1]GIT!$B:$D,3,0),)</f>
        <v>700</v>
      </c>
      <c r="O307" s="38">
        <f>IFERROR(VLOOKUP(A:A,[2]Sheet1!$A:$B,2,0),)</f>
        <v>75</v>
      </c>
      <c r="P307" s="38">
        <f>IFERROR(VLOOKUP(A:A,[2]Sheet1!$A:$B,2,0),)</f>
        <v>75</v>
      </c>
      <c r="Q307" s="38">
        <f t="shared" si="4"/>
        <v>0</v>
      </c>
      <c r="R307" s="38"/>
      <c r="S307" s="38"/>
    </row>
    <row r="308" spans="1:19" hidden="1" x14ac:dyDescent="0.25">
      <c r="A308" s="38" t="str">
        <f>F308&amp;C308</f>
        <v>C04340059401</v>
      </c>
      <c r="B308" s="38" t="str">
        <f>IF(J308&gt;=SUMIFS(E:E,C:C,C308),"Good to go","Short in Qty")</f>
        <v>Good to go</v>
      </c>
      <c r="C308" s="40">
        <v>40059401</v>
      </c>
      <c r="D308" s="40" t="s">
        <v>293</v>
      </c>
      <c r="E308" s="66">
        <v>56</v>
      </c>
      <c r="F308" s="38" t="s">
        <v>11</v>
      </c>
      <c r="G308" s="40" t="s">
        <v>467</v>
      </c>
      <c r="H308" s="38" t="s">
        <v>9</v>
      </c>
      <c r="I308" s="38" t="s">
        <v>530</v>
      </c>
      <c r="J308" s="38">
        <f>IFERROR(VLOOKUP(C:C,'[1]S&amp;S'!$B:$F,5,0),)</f>
        <v>79</v>
      </c>
      <c r="K308" s="38">
        <f>IFERROR(VLOOKUP(A:A,[1]APO!$A:$F,6,0),)</f>
        <v>0</v>
      </c>
      <c r="L308" s="38">
        <f>IFERROR(VLOOKUP(C:C,'[1]TOTAL APO'!$A:$B,2,0),)</f>
        <v>0</v>
      </c>
      <c r="M308" s="38">
        <f>IFERROR(VLOOKUP(A:A,[1]Short!$A:$Q,17,0),)</f>
        <v>0</v>
      </c>
      <c r="N308" s="38">
        <f>IFERROR(VLOOKUP(C:C,[1]GIT!$B:$D,3,0),)</f>
        <v>0</v>
      </c>
      <c r="O308" s="38">
        <f>IFERROR(VLOOKUP(A:A,[2]Sheet1!$A:$B,2,0),)</f>
        <v>56</v>
      </c>
      <c r="P308" s="38">
        <f>IFERROR(VLOOKUP(A:A,[2]Sheet1!$A:$B,2,0),)</f>
        <v>56</v>
      </c>
      <c r="Q308" s="38">
        <f t="shared" si="4"/>
        <v>0</v>
      </c>
      <c r="R308" s="38"/>
      <c r="S308" s="38"/>
    </row>
    <row r="309" spans="1:19" x14ac:dyDescent="0.25">
      <c r="A309" s="38" t="str">
        <f>F309&amp;C309</f>
        <v>C04240064855</v>
      </c>
      <c r="B309" s="38" t="str">
        <f>IF(J309&gt;=SUMIFS(E:E,C:C,C309),"Good to go","Short in Qty")</f>
        <v>Good to go</v>
      </c>
      <c r="C309" s="40">
        <v>40064855</v>
      </c>
      <c r="D309" s="40" t="s">
        <v>501</v>
      </c>
      <c r="E309" s="66">
        <v>1</v>
      </c>
      <c r="F309" s="38" t="s">
        <v>10</v>
      </c>
      <c r="G309" s="40" t="s">
        <v>467</v>
      </c>
      <c r="H309" s="38" t="s">
        <v>9</v>
      </c>
      <c r="I309" s="38" t="s">
        <v>530</v>
      </c>
      <c r="J309" s="38">
        <f>IFERROR(VLOOKUP(C:C,'[1]S&amp;S'!$B:$F,5,0),)</f>
        <v>200</v>
      </c>
      <c r="K309" s="38">
        <f>IFERROR(VLOOKUP(A:A,[1]APO!$A:$F,6,0),)</f>
        <v>0</v>
      </c>
      <c r="L309" s="38">
        <f>IFERROR(VLOOKUP(C:C,'[1]TOTAL APO'!$A:$B,2,0),)</f>
        <v>0</v>
      </c>
      <c r="M309" s="38">
        <f>IFERROR(VLOOKUP(A:A,[1]Short!$A:$Q,17,0),)</f>
        <v>0</v>
      </c>
      <c r="N309" s="38">
        <f>IFERROR(VLOOKUP(C:C,[1]GIT!$B:$D,3,0),)</f>
        <v>200</v>
      </c>
      <c r="O309" s="38">
        <f>IFERROR(VLOOKUP(A:A,[2]Sheet1!$A:$B,2,0),)</f>
        <v>0</v>
      </c>
      <c r="P309" s="38">
        <f>IFERROR(VLOOKUP(A:A,[2]Sheet1!$A:$B,2,0),)</f>
        <v>0</v>
      </c>
      <c r="Q309" s="38">
        <f t="shared" si="4"/>
        <v>1</v>
      </c>
      <c r="R309" s="38"/>
      <c r="S309" s="38"/>
    </row>
    <row r="310" spans="1:19" hidden="1" x14ac:dyDescent="0.25">
      <c r="A310" s="38" t="str">
        <f>F310&amp;C310</f>
        <v>C04440063025</v>
      </c>
      <c r="B310" s="38" t="str">
        <f>IF(J310&gt;=SUMIFS(E:E,C:C,C310),"Good to go","Short in Qty")</f>
        <v>Good to go</v>
      </c>
      <c r="C310" s="40">
        <v>40063025</v>
      </c>
      <c r="D310" s="40" t="s">
        <v>263</v>
      </c>
      <c r="E310" s="67">
        <v>100</v>
      </c>
      <c r="F310" s="38" t="s">
        <v>191</v>
      </c>
      <c r="G310" s="40" t="s">
        <v>467</v>
      </c>
      <c r="H310" s="38" t="s">
        <v>9</v>
      </c>
      <c r="I310" s="38" t="s">
        <v>530</v>
      </c>
      <c r="J310" s="38">
        <f>IFERROR(VLOOKUP(C:C,'[1]S&amp;S'!$B:$F,5,0),)</f>
        <v>1656</v>
      </c>
      <c r="K310" s="38">
        <f>IFERROR(VLOOKUP(A:A,[1]APO!$A:$F,6,0),)</f>
        <v>0</v>
      </c>
      <c r="L310" s="38">
        <f>IFERROR(VLOOKUP(C:C,'[1]TOTAL APO'!$A:$B,2,0),)</f>
        <v>0</v>
      </c>
      <c r="M310" s="38">
        <f>IFERROR(VLOOKUP(A:A,[1]Short!$A:$Q,17,0),)</f>
        <v>0</v>
      </c>
      <c r="N310" s="38">
        <f>IFERROR(VLOOKUP(C:C,[1]GIT!$B:$D,3,0),)</f>
        <v>1100</v>
      </c>
      <c r="O310" s="38">
        <f>IFERROR(VLOOKUP(A:A,[2]Sheet1!$A:$B,2,0),)</f>
        <v>100</v>
      </c>
      <c r="P310" s="38">
        <f>IFERROR(VLOOKUP(A:A,[2]Sheet1!$A:$B,2,0),)</f>
        <v>100</v>
      </c>
      <c r="Q310" s="38">
        <f t="shared" si="4"/>
        <v>0</v>
      </c>
      <c r="R310" s="38"/>
      <c r="S310" s="38"/>
    </row>
    <row r="311" spans="1:19" x14ac:dyDescent="0.25">
      <c r="A311" s="38" t="str">
        <f>F311&amp;C311</f>
        <v>C04640063025</v>
      </c>
      <c r="B311" s="38" t="str">
        <f>IF(J311&gt;=SUMIFS(E:E,C:C,C311),"Good to go","Short in Qty")</f>
        <v>Good to go</v>
      </c>
      <c r="C311" s="40">
        <v>40063025</v>
      </c>
      <c r="D311" s="40" t="s">
        <v>263</v>
      </c>
      <c r="E311" s="67">
        <v>100</v>
      </c>
      <c r="F311" s="38" t="s">
        <v>13</v>
      </c>
      <c r="G311" s="40"/>
      <c r="H311" s="38" t="s">
        <v>9</v>
      </c>
      <c r="I311" s="38" t="s">
        <v>530</v>
      </c>
      <c r="J311" s="38">
        <f>IFERROR(VLOOKUP(C:C,'[1]S&amp;S'!$B:$F,5,0),)</f>
        <v>1656</v>
      </c>
      <c r="K311" s="38">
        <f>IFERROR(VLOOKUP(A:A,[1]APO!$A:$F,6,0),)</f>
        <v>0</v>
      </c>
      <c r="L311" s="38">
        <f>IFERROR(VLOOKUP(C:C,'[1]TOTAL APO'!$A:$B,2,0),)</f>
        <v>0</v>
      </c>
      <c r="M311" s="38">
        <f>IFERROR(VLOOKUP(A:A,[1]Short!$A:$Q,17,0),)</f>
        <v>0</v>
      </c>
      <c r="N311" s="38">
        <f>IFERROR(VLOOKUP(C:C,[1]GIT!$B:$D,3,0),)</f>
        <v>1100</v>
      </c>
      <c r="O311" s="38">
        <f>IFERROR(VLOOKUP(A:A,[2]Sheet1!$A:$B,2,0),)</f>
        <v>0</v>
      </c>
      <c r="P311" s="38">
        <f>IFERROR(VLOOKUP(A:A,[2]Sheet1!$A:$B,2,0),)</f>
        <v>0</v>
      </c>
      <c r="Q311" s="38">
        <f t="shared" si="4"/>
        <v>100</v>
      </c>
      <c r="R311" s="38"/>
      <c r="S311" s="38"/>
    </row>
    <row r="312" spans="1:19" x14ac:dyDescent="0.25">
      <c r="A312" s="38" t="str">
        <f>F312&amp;C312</f>
        <v>C04740063025</v>
      </c>
      <c r="B312" s="38" t="str">
        <f>IF(J312&gt;=SUMIFS(E:E,C:C,C312),"Good to go","Short in Qty")</f>
        <v>Good to go</v>
      </c>
      <c r="C312" s="40">
        <v>40063025</v>
      </c>
      <c r="D312" s="40" t="s">
        <v>263</v>
      </c>
      <c r="E312" s="66">
        <v>25</v>
      </c>
      <c r="F312" s="38" t="s">
        <v>192</v>
      </c>
      <c r="G312" s="40"/>
      <c r="H312" s="38" t="s">
        <v>9</v>
      </c>
      <c r="I312" s="38" t="s">
        <v>530</v>
      </c>
      <c r="J312" s="38">
        <f>IFERROR(VLOOKUP(C:C,'[1]S&amp;S'!$B:$F,5,0),)</f>
        <v>1656</v>
      </c>
      <c r="K312" s="38">
        <f>IFERROR(VLOOKUP(A:A,[1]APO!$A:$F,6,0),)</f>
        <v>0</v>
      </c>
      <c r="L312" s="38">
        <f>IFERROR(VLOOKUP(C:C,'[1]TOTAL APO'!$A:$B,2,0),)</f>
        <v>0</v>
      </c>
      <c r="M312" s="38">
        <f>IFERROR(VLOOKUP(A:A,[1]Short!$A:$Q,17,0),)</f>
        <v>0</v>
      </c>
      <c r="N312" s="38">
        <f>IFERROR(VLOOKUP(C:C,[1]GIT!$B:$D,3,0),)</f>
        <v>1100</v>
      </c>
      <c r="O312" s="38">
        <f>IFERROR(VLOOKUP(A:A,[2]Sheet1!$A:$B,2,0),)</f>
        <v>0</v>
      </c>
      <c r="P312" s="38">
        <f>IFERROR(VLOOKUP(A:A,[2]Sheet1!$A:$B,2,0),)</f>
        <v>0</v>
      </c>
      <c r="Q312" s="38">
        <f t="shared" si="4"/>
        <v>25</v>
      </c>
      <c r="R312" s="38"/>
      <c r="S312" s="38"/>
    </row>
    <row r="313" spans="1:19" hidden="1" x14ac:dyDescent="0.25">
      <c r="A313" s="38" t="str">
        <f>F313&amp;C313</f>
        <v>C04840063025</v>
      </c>
      <c r="B313" s="38" t="str">
        <f>IF(J313&gt;=SUMIFS(E:E,C:C,C313),"Good to go","Short in Qty")</f>
        <v>Good to go</v>
      </c>
      <c r="C313" s="40">
        <v>40063025</v>
      </c>
      <c r="D313" s="40" t="s">
        <v>263</v>
      </c>
      <c r="E313" s="67">
        <v>150</v>
      </c>
      <c r="F313" s="38" t="s">
        <v>8</v>
      </c>
      <c r="G313" s="40" t="s">
        <v>467</v>
      </c>
      <c r="H313" s="38" t="s">
        <v>9</v>
      </c>
      <c r="I313" s="38" t="s">
        <v>530</v>
      </c>
      <c r="J313" s="38">
        <f>IFERROR(VLOOKUP(C:C,'[1]S&amp;S'!$B:$F,5,0),)</f>
        <v>1656</v>
      </c>
      <c r="K313" s="38">
        <f>IFERROR(VLOOKUP(A:A,[1]APO!$A:$F,6,0),)</f>
        <v>0</v>
      </c>
      <c r="L313" s="38">
        <f>IFERROR(VLOOKUP(C:C,'[1]TOTAL APO'!$A:$B,2,0),)</f>
        <v>0</v>
      </c>
      <c r="M313" s="38">
        <f>IFERROR(VLOOKUP(A:A,[1]Short!$A:$Q,17,0),)</f>
        <v>0</v>
      </c>
      <c r="N313" s="38">
        <f>IFERROR(VLOOKUP(C:C,[1]GIT!$B:$D,3,0),)</f>
        <v>1100</v>
      </c>
      <c r="O313" s="38">
        <f>IFERROR(VLOOKUP(A:A,[2]Sheet1!$A:$B,2,0),)</f>
        <v>150</v>
      </c>
      <c r="P313" s="38">
        <f>IFERROR(VLOOKUP(A:A,[2]Sheet1!$A:$B,2,0),)</f>
        <v>150</v>
      </c>
      <c r="Q313" s="38">
        <f t="shared" si="4"/>
        <v>0</v>
      </c>
      <c r="R313" s="38"/>
      <c r="S313" s="38"/>
    </row>
    <row r="314" spans="1:19" hidden="1" x14ac:dyDescent="0.25">
      <c r="A314" s="38" t="str">
        <f>F314&amp;C314</f>
        <v>C04240049906</v>
      </c>
      <c r="B314" s="38" t="str">
        <f>IF(J314&gt;=SUMIFS(E:E,C:C,C314),"Good to go","Short in Qty")</f>
        <v>Good to go</v>
      </c>
      <c r="C314" s="40">
        <v>40049906</v>
      </c>
      <c r="D314" s="40" t="s">
        <v>587</v>
      </c>
      <c r="E314" s="66">
        <v>147</v>
      </c>
      <c r="F314" s="38" t="s">
        <v>10</v>
      </c>
      <c r="G314" s="40" t="s">
        <v>467</v>
      </c>
      <c r="H314" s="38" t="s">
        <v>594</v>
      </c>
      <c r="I314" s="38" t="s">
        <v>595</v>
      </c>
      <c r="J314" s="38">
        <f>IFERROR(VLOOKUP(C:C,'[1]S&amp;S'!$B:$F,5,0),)</f>
        <v>697</v>
      </c>
      <c r="K314" s="38">
        <f>IFERROR(VLOOKUP(A:A,[1]APO!$A:$F,6,0),)</f>
        <v>0</v>
      </c>
      <c r="L314" s="38">
        <f>IFERROR(VLOOKUP(C:C,'[1]TOTAL APO'!$A:$B,2,0),)</f>
        <v>0</v>
      </c>
      <c r="M314" s="38">
        <f>IFERROR(VLOOKUP(A:A,[1]Short!$A:$Q,17,0),)</f>
        <v>0</v>
      </c>
      <c r="N314" s="38">
        <f>IFERROR(VLOOKUP(C:C,[1]GIT!$B:$D,3,0),)</f>
        <v>200</v>
      </c>
      <c r="O314" s="38">
        <f>IFERROR(VLOOKUP(A:A,[2]Sheet1!$A:$B,2,0),)</f>
        <v>147</v>
      </c>
      <c r="P314" s="38">
        <f>IFERROR(VLOOKUP(A:A,[2]Sheet1!$A:$B,2,0),)</f>
        <v>147</v>
      </c>
      <c r="Q314" s="38">
        <f t="shared" si="4"/>
        <v>0</v>
      </c>
      <c r="R314" s="38"/>
      <c r="S314" s="38"/>
    </row>
    <row r="315" spans="1:19" hidden="1" x14ac:dyDescent="0.25">
      <c r="A315" s="38" t="str">
        <f>F315&amp;C315</f>
        <v>C04440063021</v>
      </c>
      <c r="B315" s="38" t="str">
        <f>IF(J315&gt;=SUMIFS(E:E,C:C,C315),"Good to go","Short in Qty")</f>
        <v>Good to go</v>
      </c>
      <c r="C315" s="40">
        <v>40063021</v>
      </c>
      <c r="D315" s="40" t="s">
        <v>266</v>
      </c>
      <c r="E315" s="67">
        <v>100</v>
      </c>
      <c r="F315" s="38" t="s">
        <v>191</v>
      </c>
      <c r="G315" s="40" t="s">
        <v>467</v>
      </c>
      <c r="H315" s="38" t="s">
        <v>9</v>
      </c>
      <c r="I315" s="38" t="s">
        <v>530</v>
      </c>
      <c r="J315" s="38">
        <f>IFERROR(VLOOKUP(C:C,'[1]S&amp;S'!$B:$F,5,0),)</f>
        <v>1707</v>
      </c>
      <c r="K315" s="38">
        <f>IFERROR(VLOOKUP(A:A,[1]APO!$A:$F,6,0),)</f>
        <v>0</v>
      </c>
      <c r="L315" s="38">
        <f>IFERROR(VLOOKUP(C:C,'[1]TOTAL APO'!$A:$B,2,0),)</f>
        <v>0</v>
      </c>
      <c r="M315" s="38">
        <f>IFERROR(VLOOKUP(A:A,[1]Short!$A:$Q,17,0),)</f>
        <v>0</v>
      </c>
      <c r="N315" s="38">
        <f>IFERROR(VLOOKUP(C:C,[1]GIT!$B:$D,3,0),)</f>
        <v>1500</v>
      </c>
      <c r="O315" s="38">
        <f>IFERROR(VLOOKUP(A:A,[2]Sheet1!$A:$B,2,0),)</f>
        <v>100</v>
      </c>
      <c r="P315" s="38">
        <f>IFERROR(VLOOKUP(A:A,[2]Sheet1!$A:$B,2,0),)</f>
        <v>100</v>
      </c>
      <c r="Q315" s="38">
        <f t="shared" si="4"/>
        <v>0</v>
      </c>
      <c r="R315" s="38"/>
      <c r="S315" s="38"/>
    </row>
    <row r="316" spans="1:19" hidden="1" x14ac:dyDescent="0.25">
      <c r="A316" s="38" t="str">
        <f>F316&amp;C316</f>
        <v>C04840063021</v>
      </c>
      <c r="B316" s="38" t="str">
        <f>IF(J316&gt;=SUMIFS(E:E,C:C,C316),"Good to go","Short in Qty")</f>
        <v>Good to go</v>
      </c>
      <c r="C316" s="40">
        <v>40063021</v>
      </c>
      <c r="D316" s="40" t="s">
        <v>266</v>
      </c>
      <c r="E316" s="67">
        <v>200</v>
      </c>
      <c r="F316" s="38" t="s">
        <v>8</v>
      </c>
      <c r="G316" s="40" t="s">
        <v>467</v>
      </c>
      <c r="H316" s="38" t="s">
        <v>9</v>
      </c>
      <c r="I316" s="38" t="s">
        <v>530</v>
      </c>
      <c r="J316" s="38">
        <f>IFERROR(VLOOKUP(C:C,'[1]S&amp;S'!$B:$F,5,0),)</f>
        <v>1707</v>
      </c>
      <c r="K316" s="38">
        <f>IFERROR(VLOOKUP(A:A,[1]APO!$A:$F,6,0),)</f>
        <v>0</v>
      </c>
      <c r="L316" s="38">
        <f>IFERROR(VLOOKUP(C:C,'[1]TOTAL APO'!$A:$B,2,0),)</f>
        <v>0</v>
      </c>
      <c r="M316" s="38">
        <f>IFERROR(VLOOKUP(A:A,[1]Short!$A:$Q,17,0),)</f>
        <v>0</v>
      </c>
      <c r="N316" s="38">
        <f>IFERROR(VLOOKUP(C:C,[1]GIT!$B:$D,3,0),)</f>
        <v>1500</v>
      </c>
      <c r="O316" s="38">
        <f>IFERROR(VLOOKUP(A:A,[2]Sheet1!$A:$B,2,0),)</f>
        <v>200</v>
      </c>
      <c r="P316" s="38">
        <f>IFERROR(VLOOKUP(A:A,[2]Sheet1!$A:$B,2,0),)</f>
        <v>200</v>
      </c>
      <c r="Q316" s="38">
        <f t="shared" si="4"/>
        <v>0</v>
      </c>
      <c r="R316" s="38"/>
      <c r="S316" s="38"/>
    </row>
    <row r="317" spans="1:19" x14ac:dyDescent="0.25">
      <c r="A317" s="38" t="str">
        <f>F317&amp;C317</f>
        <v>C04440063026</v>
      </c>
      <c r="B317" s="38" t="str">
        <f>IF(J317&gt;=SUMIFS(E:E,C:C,C317),"Good to go","Short in Qty")</f>
        <v>Good to go</v>
      </c>
      <c r="C317" s="40">
        <v>40063026</v>
      </c>
      <c r="D317" s="40" t="s">
        <v>231</v>
      </c>
      <c r="E317" s="66">
        <v>1</v>
      </c>
      <c r="F317" s="38" t="s">
        <v>191</v>
      </c>
      <c r="G317" s="40"/>
      <c r="H317" s="38" t="s">
        <v>9</v>
      </c>
      <c r="I317" s="38" t="s">
        <v>530</v>
      </c>
      <c r="J317" s="38">
        <f>IFERROR(VLOOKUP(C:C,'[1]S&amp;S'!$B:$F,5,0),)</f>
        <v>1398</v>
      </c>
      <c r="K317" s="38">
        <f>IFERROR(VLOOKUP(A:A,[1]APO!$A:$F,6,0),)</f>
        <v>0</v>
      </c>
      <c r="L317" s="38">
        <f>IFERROR(VLOOKUP(C:C,'[1]TOTAL APO'!$A:$B,2,0),)</f>
        <v>0</v>
      </c>
      <c r="M317" s="38">
        <f>IFERROR(VLOOKUP(A:A,[1]Short!$A:$Q,17,0),)</f>
        <v>0</v>
      </c>
      <c r="N317" s="38">
        <f>IFERROR(VLOOKUP(C:C,[1]GIT!$B:$D,3,0),)</f>
        <v>0</v>
      </c>
      <c r="O317" s="38">
        <f>IFERROR(VLOOKUP(A:A,[2]Sheet1!$A:$B,2,0),)</f>
        <v>0</v>
      </c>
      <c r="P317" s="38">
        <f>IFERROR(VLOOKUP(A:A,[2]Sheet1!$A:$B,2,0),)</f>
        <v>0</v>
      </c>
      <c r="Q317" s="38">
        <f t="shared" si="4"/>
        <v>1</v>
      </c>
      <c r="R317" s="38"/>
      <c r="S317" s="38"/>
    </row>
    <row r="318" spans="1:19" x14ac:dyDescent="0.25">
      <c r="A318" s="38" t="str">
        <f>F318&amp;C318</f>
        <v>C04740063026</v>
      </c>
      <c r="B318" s="38" t="str">
        <f>IF(J318&gt;=SUMIFS(E:E,C:C,C318),"Good to go","Short in Qty")</f>
        <v>Good to go</v>
      </c>
      <c r="C318" s="40">
        <v>40063026</v>
      </c>
      <c r="D318" s="40" t="s">
        <v>231</v>
      </c>
      <c r="E318" s="66">
        <v>1</v>
      </c>
      <c r="F318" s="38" t="s">
        <v>192</v>
      </c>
      <c r="G318" s="40"/>
      <c r="H318" s="38" t="s">
        <v>9</v>
      </c>
      <c r="I318" s="38" t="s">
        <v>530</v>
      </c>
      <c r="J318" s="38">
        <f>IFERROR(VLOOKUP(C:C,'[1]S&amp;S'!$B:$F,5,0),)</f>
        <v>1398</v>
      </c>
      <c r="K318" s="38">
        <f>IFERROR(VLOOKUP(A:A,[1]APO!$A:$F,6,0),)</f>
        <v>0</v>
      </c>
      <c r="L318" s="38">
        <f>IFERROR(VLOOKUP(C:C,'[1]TOTAL APO'!$A:$B,2,0),)</f>
        <v>0</v>
      </c>
      <c r="M318" s="38">
        <f>IFERROR(VLOOKUP(A:A,[1]Short!$A:$Q,17,0),)</f>
        <v>0</v>
      </c>
      <c r="N318" s="38">
        <f>IFERROR(VLOOKUP(C:C,[1]GIT!$B:$D,3,0),)</f>
        <v>0</v>
      </c>
      <c r="O318" s="38">
        <f>IFERROR(VLOOKUP(A:A,[2]Sheet1!$A:$B,2,0),)</f>
        <v>0</v>
      </c>
      <c r="P318" s="38">
        <f>IFERROR(VLOOKUP(A:A,[2]Sheet1!$A:$B,2,0),)</f>
        <v>0</v>
      </c>
      <c r="Q318" s="38">
        <f t="shared" si="4"/>
        <v>1</v>
      </c>
      <c r="R318" s="38"/>
      <c r="S318" s="38"/>
    </row>
    <row r="319" spans="1:19" x14ac:dyDescent="0.25">
      <c r="A319" s="38" t="str">
        <f>F319&amp;C319</f>
        <v>C04340063421</v>
      </c>
      <c r="B319" s="38" t="str">
        <f>IF(J319&gt;=SUMIFS(E:E,C:C,C319),"Good to go","Short in Qty")</f>
        <v>Good to go</v>
      </c>
      <c r="C319" s="40">
        <v>40063421</v>
      </c>
      <c r="D319" s="40" t="s">
        <v>351</v>
      </c>
      <c r="E319" s="67">
        <v>100</v>
      </c>
      <c r="F319" s="38" t="s">
        <v>11</v>
      </c>
      <c r="G319" s="40" t="s">
        <v>467</v>
      </c>
      <c r="H319" s="38" t="s">
        <v>9</v>
      </c>
      <c r="I319" s="38" t="s">
        <v>530</v>
      </c>
      <c r="J319" s="38">
        <f>IFERROR(VLOOKUP(C:C,'[1]S&amp;S'!$B:$F,5,0),)</f>
        <v>305</v>
      </c>
      <c r="K319" s="38">
        <f>IFERROR(VLOOKUP(A:A,[1]APO!$A:$F,6,0),)</f>
        <v>0</v>
      </c>
      <c r="L319" s="38">
        <f>IFERROR(VLOOKUP(C:C,'[1]TOTAL APO'!$A:$B,2,0),)</f>
        <v>0</v>
      </c>
      <c r="M319" s="38">
        <f>IFERROR(VLOOKUP(A:A,[1]Short!$A:$Q,17,0),)</f>
        <v>0</v>
      </c>
      <c r="N319" s="38">
        <f>IFERROR(VLOOKUP(C:C,[1]GIT!$B:$D,3,0),)</f>
        <v>300</v>
      </c>
      <c r="O319" s="38">
        <f>IFERROR(VLOOKUP(A:A,[2]Sheet1!$A:$B,2,0),)</f>
        <v>0</v>
      </c>
      <c r="P319" s="38">
        <f>IFERROR(VLOOKUP(A:A,[2]Sheet1!$A:$B,2,0),)</f>
        <v>0</v>
      </c>
      <c r="Q319" s="38">
        <f t="shared" si="4"/>
        <v>100</v>
      </c>
      <c r="R319" s="38"/>
      <c r="S319" s="38"/>
    </row>
    <row r="320" spans="1:19" x14ac:dyDescent="0.25">
      <c r="A320" s="38" t="str">
        <f>F320&amp;C320</f>
        <v>C04440063421</v>
      </c>
      <c r="B320" s="38" t="str">
        <f>IF(J320&gt;=SUMIFS(E:E,C:C,C320),"Good to go","Short in Qty")</f>
        <v>Good to go</v>
      </c>
      <c r="C320" s="40">
        <v>40063421</v>
      </c>
      <c r="D320" s="40" t="s">
        <v>351</v>
      </c>
      <c r="E320" s="67">
        <v>100</v>
      </c>
      <c r="F320" s="38" t="s">
        <v>191</v>
      </c>
      <c r="G320" s="40" t="s">
        <v>467</v>
      </c>
      <c r="H320" s="38" t="s">
        <v>9</v>
      </c>
      <c r="I320" s="38" t="s">
        <v>530</v>
      </c>
      <c r="J320" s="38">
        <f>IFERROR(VLOOKUP(C:C,'[1]S&amp;S'!$B:$F,5,0),)</f>
        <v>305</v>
      </c>
      <c r="K320" s="38">
        <f>IFERROR(VLOOKUP(A:A,[1]APO!$A:$F,6,0),)</f>
        <v>0</v>
      </c>
      <c r="L320" s="38">
        <f>IFERROR(VLOOKUP(C:C,'[1]TOTAL APO'!$A:$B,2,0),)</f>
        <v>0</v>
      </c>
      <c r="M320" s="38">
        <f>IFERROR(VLOOKUP(A:A,[1]Short!$A:$Q,17,0),)</f>
        <v>0</v>
      </c>
      <c r="N320" s="38">
        <f>IFERROR(VLOOKUP(C:C,[1]GIT!$B:$D,3,0),)</f>
        <v>300</v>
      </c>
      <c r="O320" s="38">
        <f>IFERROR(VLOOKUP(A:A,[2]Sheet1!$A:$B,2,0),)</f>
        <v>0</v>
      </c>
      <c r="P320" s="38">
        <f>IFERROR(VLOOKUP(A:A,[2]Sheet1!$A:$B,2,0),)</f>
        <v>0</v>
      </c>
      <c r="Q320" s="38">
        <f t="shared" si="4"/>
        <v>100</v>
      </c>
      <c r="R320" s="38"/>
      <c r="S320" s="38"/>
    </row>
    <row r="321" spans="1:19" hidden="1" x14ac:dyDescent="0.25">
      <c r="A321" s="38" t="str">
        <f>F321&amp;C321</f>
        <v>C04840059465</v>
      </c>
      <c r="B321" s="38" t="str">
        <f>IF(J321&gt;=SUMIFS(E:E,C:C,C321),"Good to go","Short in Qty")</f>
        <v>Short in Qty</v>
      </c>
      <c r="C321" s="40">
        <v>40059465</v>
      </c>
      <c r="D321" s="40" t="s">
        <v>555</v>
      </c>
      <c r="E321" s="66">
        <v>4</v>
      </c>
      <c r="F321" s="38" t="s">
        <v>8</v>
      </c>
      <c r="G321" s="40" t="s">
        <v>596</v>
      </c>
      <c r="H321" s="38" t="s">
        <v>594</v>
      </c>
      <c r="I321" s="38" t="s">
        <v>595</v>
      </c>
      <c r="J321" s="38">
        <f>IFERROR(VLOOKUP(C:C,'[1]S&amp;S'!$B:$F,5,0),)</f>
        <v>0</v>
      </c>
      <c r="K321" s="38">
        <f>IFERROR(VLOOKUP(A:A,[1]APO!$A:$F,6,0),)</f>
        <v>0</v>
      </c>
      <c r="L321" s="38">
        <f>IFERROR(VLOOKUP(C:C,'[1]TOTAL APO'!$A:$B,2,0),)</f>
        <v>0</v>
      </c>
      <c r="M321" s="38">
        <f>IFERROR(VLOOKUP(A:A,[1]Short!$A:$Q,17,0),)</f>
        <v>0</v>
      </c>
      <c r="N321" s="38">
        <f>IFERROR(VLOOKUP(C:C,[1]GIT!$B:$D,3,0),)</f>
        <v>0</v>
      </c>
      <c r="O321" s="38">
        <f>IFERROR(VLOOKUP(A:A,[2]Sheet1!$A:$B,2,0),)</f>
        <v>0</v>
      </c>
      <c r="P321" s="38">
        <f>IFERROR(VLOOKUP(A:A,[2]Sheet1!$A:$B,2,0),)</f>
        <v>0</v>
      </c>
      <c r="Q321" s="38">
        <f t="shared" si="4"/>
        <v>4</v>
      </c>
      <c r="R321" s="38"/>
      <c r="S321" s="38"/>
    </row>
    <row r="322" spans="1:19" hidden="1" x14ac:dyDescent="0.25">
      <c r="A322" s="38" t="str">
        <f>F322&amp;C322</f>
        <v>C11140059465</v>
      </c>
      <c r="B322" s="38" t="str">
        <f>IF(J322&gt;=SUMIFS(E:E,C:C,C322),"Good to go","Short in Qty")</f>
        <v>Short in Qty</v>
      </c>
      <c r="C322" s="40">
        <v>40059465</v>
      </c>
      <c r="D322" s="40" t="s">
        <v>555</v>
      </c>
      <c r="E322" s="66">
        <v>4</v>
      </c>
      <c r="F322" s="38" t="s">
        <v>16</v>
      </c>
      <c r="G322" s="40" t="s">
        <v>596</v>
      </c>
      <c r="H322" s="38" t="s">
        <v>594</v>
      </c>
      <c r="I322" s="38" t="s">
        <v>595</v>
      </c>
      <c r="J322" s="38">
        <f>IFERROR(VLOOKUP(C:C,'[1]S&amp;S'!$B:$F,5,0),)</f>
        <v>0</v>
      </c>
      <c r="K322" s="38">
        <f>IFERROR(VLOOKUP(A:A,[1]APO!$A:$F,6,0),)</f>
        <v>0</v>
      </c>
      <c r="L322" s="38">
        <f>IFERROR(VLOOKUP(C:C,'[1]TOTAL APO'!$A:$B,2,0),)</f>
        <v>0</v>
      </c>
      <c r="M322" s="38">
        <f>IFERROR(VLOOKUP(A:A,[1]Short!$A:$Q,17,0),)</f>
        <v>0</v>
      </c>
      <c r="N322" s="38">
        <f>IFERROR(VLOOKUP(C:C,[1]GIT!$B:$D,3,0),)</f>
        <v>0</v>
      </c>
      <c r="O322" s="38">
        <f>IFERROR(VLOOKUP(A:A,[2]Sheet1!$A:$B,2,0),)</f>
        <v>0</v>
      </c>
      <c r="P322" s="38">
        <f>IFERROR(VLOOKUP(A:A,[2]Sheet1!$A:$B,2,0),)</f>
        <v>0</v>
      </c>
      <c r="Q322" s="38">
        <f t="shared" si="4"/>
        <v>4</v>
      </c>
      <c r="R322" s="38"/>
      <c r="S322" s="38"/>
    </row>
    <row r="323" spans="1:19" hidden="1" x14ac:dyDescent="0.25">
      <c r="A323" s="38" t="str">
        <f>F323&amp;C323</f>
        <v>C04240059567</v>
      </c>
      <c r="B323" s="38" t="str">
        <f>IF(J323&gt;=SUMIFS(E:E,C:C,C323),"Good to go","Short in Qty")</f>
        <v>Short in Qty</v>
      </c>
      <c r="C323" s="40">
        <v>40059567</v>
      </c>
      <c r="D323" s="40" t="s">
        <v>586</v>
      </c>
      <c r="E323" s="66">
        <v>15</v>
      </c>
      <c r="F323" s="38" t="s">
        <v>10</v>
      </c>
      <c r="G323" s="40" t="s">
        <v>596</v>
      </c>
      <c r="H323" s="38" t="s">
        <v>594</v>
      </c>
      <c r="I323" s="38" t="s">
        <v>595</v>
      </c>
      <c r="J323" s="38">
        <f>IFERROR(VLOOKUP(C:C,'[1]S&amp;S'!$B:$F,5,0),)</f>
        <v>0</v>
      </c>
      <c r="K323" s="38">
        <f>IFERROR(VLOOKUP(A:A,[1]APO!$A:$F,6,0),)</f>
        <v>0</v>
      </c>
      <c r="L323" s="38">
        <f>IFERROR(VLOOKUP(C:C,'[1]TOTAL APO'!$A:$B,2,0),)</f>
        <v>0</v>
      </c>
      <c r="M323" s="38">
        <f>IFERROR(VLOOKUP(A:A,[1]Short!$A:$Q,17,0),)</f>
        <v>0</v>
      </c>
      <c r="N323" s="38">
        <f>IFERROR(VLOOKUP(C:C,[1]GIT!$B:$D,3,0),)</f>
        <v>0</v>
      </c>
      <c r="O323" s="38">
        <f>IFERROR(VLOOKUP(A:A,[2]Sheet1!$A:$B,2,0),)</f>
        <v>0</v>
      </c>
      <c r="P323" s="38">
        <f>IFERROR(VLOOKUP(A:A,[2]Sheet1!$A:$B,2,0),)</f>
        <v>0</v>
      </c>
      <c r="Q323" s="38">
        <f t="shared" ref="Q323:Q386" si="5">+E323-P323</f>
        <v>15</v>
      </c>
      <c r="R323" s="38"/>
      <c r="S323" s="38"/>
    </row>
    <row r="324" spans="1:19" hidden="1" x14ac:dyDescent="0.25">
      <c r="A324" s="38" t="str">
        <f>F324&amp;C324</f>
        <v>C04340059593</v>
      </c>
      <c r="B324" s="38" t="str">
        <f>IF(J324&gt;=SUMIFS(E:E,C:C,C324),"Good to go","Short in Qty")</f>
        <v>Short in Qty</v>
      </c>
      <c r="C324" s="40">
        <v>40059593</v>
      </c>
      <c r="D324" s="40" t="s">
        <v>539</v>
      </c>
      <c r="E324" s="66">
        <v>30</v>
      </c>
      <c r="F324" s="38" t="s">
        <v>11</v>
      </c>
      <c r="G324" s="40" t="s">
        <v>269</v>
      </c>
      <c r="H324" s="38" t="s">
        <v>594</v>
      </c>
      <c r="I324" s="38" t="s">
        <v>595</v>
      </c>
      <c r="J324" s="38">
        <f>IFERROR(VLOOKUP(C:C,'[1]S&amp;S'!$B:$F,5,0),)</f>
        <v>0</v>
      </c>
      <c r="K324" s="38">
        <f>IFERROR(VLOOKUP(A:A,[1]APO!$A:$F,6,0),)</f>
        <v>0</v>
      </c>
      <c r="L324" s="38">
        <f>IFERROR(VLOOKUP(C:C,'[1]TOTAL APO'!$A:$B,2,0),)</f>
        <v>0</v>
      </c>
      <c r="M324" s="38">
        <f>IFERROR(VLOOKUP(A:A,[1]Short!$A:$Q,17,0),)</f>
        <v>0</v>
      </c>
      <c r="N324" s="38">
        <f>IFERROR(VLOOKUP(C:C,[1]GIT!$B:$D,3,0),)</f>
        <v>0</v>
      </c>
      <c r="O324" s="38">
        <f>IFERROR(VLOOKUP(A:A,[2]Sheet1!$A:$B,2,0),)</f>
        <v>0</v>
      </c>
      <c r="P324" s="38">
        <f>IFERROR(VLOOKUP(A:A,[2]Sheet1!$A:$B,2,0),)</f>
        <v>0</v>
      </c>
      <c r="Q324" s="38">
        <f t="shared" si="5"/>
        <v>30</v>
      </c>
      <c r="R324" s="38">
        <v>1</v>
      </c>
      <c r="S324" s="38"/>
    </row>
    <row r="325" spans="1:19" hidden="1" x14ac:dyDescent="0.25">
      <c r="A325" s="38" t="str">
        <f>F325&amp;C325</f>
        <v>C04240063168</v>
      </c>
      <c r="B325" s="38" t="str">
        <f>IF(J325&gt;=SUMIFS(E:E,C:C,C325),"Good to go","Short in Qty")</f>
        <v>Good to go</v>
      </c>
      <c r="C325" s="40">
        <v>40063168</v>
      </c>
      <c r="D325" s="40" t="s">
        <v>277</v>
      </c>
      <c r="E325" s="66">
        <v>10</v>
      </c>
      <c r="F325" s="38" t="s">
        <v>10</v>
      </c>
      <c r="G325" s="40" t="s">
        <v>467</v>
      </c>
      <c r="H325" s="38" t="s">
        <v>9</v>
      </c>
      <c r="I325" s="38" t="s">
        <v>530</v>
      </c>
      <c r="J325" s="38">
        <f>IFERROR(VLOOKUP(C:C,'[1]S&amp;S'!$B:$F,5,0),)</f>
        <v>539</v>
      </c>
      <c r="K325" s="38">
        <f>IFERROR(VLOOKUP(A:A,[1]APO!$A:$F,6,0),)</f>
        <v>0</v>
      </c>
      <c r="L325" s="38">
        <f>IFERROR(VLOOKUP(C:C,'[1]TOTAL APO'!$A:$B,2,0),)</f>
        <v>0</v>
      </c>
      <c r="M325" s="38">
        <f>IFERROR(VLOOKUP(A:A,[1]Short!$A:$Q,17,0),)</f>
        <v>0</v>
      </c>
      <c r="N325" s="38">
        <f>IFERROR(VLOOKUP(C:C,[1]GIT!$B:$D,3,0),)</f>
        <v>0</v>
      </c>
      <c r="O325" s="38">
        <f>IFERROR(VLOOKUP(A:A,[2]Sheet1!$A:$B,2,0),)</f>
        <v>10</v>
      </c>
      <c r="P325" s="38">
        <f>IFERROR(VLOOKUP(A:A,[2]Sheet1!$A:$B,2,0),)</f>
        <v>10</v>
      </c>
      <c r="Q325" s="38">
        <f t="shared" si="5"/>
        <v>0</v>
      </c>
      <c r="R325" s="38"/>
      <c r="S325" s="38"/>
    </row>
    <row r="326" spans="1:19" x14ac:dyDescent="0.25">
      <c r="A326" s="38" t="str">
        <f>F326&amp;C326</f>
        <v>C04340063752</v>
      </c>
      <c r="B326" s="38" t="str">
        <f>IF(J326&gt;=SUMIFS(E:E,C:C,C326),"Good to go","Short in Qty")</f>
        <v>Good to go</v>
      </c>
      <c r="C326" s="40">
        <v>40063752</v>
      </c>
      <c r="D326" s="40" t="s">
        <v>514</v>
      </c>
      <c r="E326" s="66">
        <v>12</v>
      </c>
      <c r="F326" s="38" t="s">
        <v>11</v>
      </c>
      <c r="G326" s="40" t="s">
        <v>467</v>
      </c>
      <c r="H326" s="38" t="s">
        <v>9</v>
      </c>
      <c r="I326" s="38" t="s">
        <v>530</v>
      </c>
      <c r="J326" s="38">
        <f>IFERROR(VLOOKUP(C:C,'[1]S&amp;S'!$B:$F,5,0),)</f>
        <v>115</v>
      </c>
      <c r="K326" s="38">
        <f>IFERROR(VLOOKUP(A:A,[1]APO!$A:$F,6,0),)</f>
        <v>0</v>
      </c>
      <c r="L326" s="38">
        <f>IFERROR(VLOOKUP(C:C,'[1]TOTAL APO'!$A:$B,2,0),)</f>
        <v>0</v>
      </c>
      <c r="M326" s="38">
        <f>IFERROR(VLOOKUP(A:A,[1]Short!$A:$Q,17,0),)</f>
        <v>0</v>
      </c>
      <c r="N326" s="38">
        <f>IFERROR(VLOOKUP(C:C,[1]GIT!$B:$D,3,0),)</f>
        <v>0</v>
      </c>
      <c r="O326" s="38">
        <f>IFERROR(VLOOKUP(A:A,[2]Sheet1!$A:$B,2,0),)</f>
        <v>0</v>
      </c>
      <c r="P326" s="38">
        <f>IFERROR(VLOOKUP(A:A,[2]Sheet1!$A:$B,2,0),)</f>
        <v>0</v>
      </c>
      <c r="Q326" s="38">
        <f t="shared" si="5"/>
        <v>12</v>
      </c>
      <c r="R326" s="38"/>
      <c r="S326" s="38"/>
    </row>
    <row r="327" spans="1:19" x14ac:dyDescent="0.25">
      <c r="A327" s="38" t="str">
        <f>F327&amp;C327</f>
        <v>C04440063752</v>
      </c>
      <c r="B327" s="38" t="str">
        <f>IF(J327&gt;=SUMIFS(E:E,C:C,C327),"Good to go","Short in Qty")</f>
        <v>Good to go</v>
      </c>
      <c r="C327" s="40">
        <v>40063752</v>
      </c>
      <c r="D327" s="40" t="s">
        <v>514</v>
      </c>
      <c r="E327" s="66">
        <v>1</v>
      </c>
      <c r="F327" s="38" t="s">
        <v>191</v>
      </c>
      <c r="G327" s="40"/>
      <c r="H327" s="38" t="s">
        <v>9</v>
      </c>
      <c r="I327" s="38" t="s">
        <v>530</v>
      </c>
      <c r="J327" s="38">
        <f>IFERROR(VLOOKUP(C:C,'[1]S&amp;S'!$B:$F,5,0),)</f>
        <v>115</v>
      </c>
      <c r="K327" s="38">
        <f>IFERROR(VLOOKUP(A:A,[1]APO!$A:$F,6,0),)</f>
        <v>0</v>
      </c>
      <c r="L327" s="38">
        <f>IFERROR(VLOOKUP(C:C,'[1]TOTAL APO'!$A:$B,2,0),)</f>
        <v>0</v>
      </c>
      <c r="M327" s="38">
        <f>IFERROR(VLOOKUP(A:A,[1]Short!$A:$Q,17,0),)</f>
        <v>0</v>
      </c>
      <c r="N327" s="38">
        <f>IFERROR(VLOOKUP(C:C,[1]GIT!$B:$D,3,0),)</f>
        <v>0</v>
      </c>
      <c r="O327" s="38">
        <f>IFERROR(VLOOKUP(A:A,[2]Sheet1!$A:$B,2,0),)</f>
        <v>0</v>
      </c>
      <c r="P327" s="38">
        <f>IFERROR(VLOOKUP(A:A,[2]Sheet1!$A:$B,2,0),)</f>
        <v>0</v>
      </c>
      <c r="Q327" s="38">
        <f t="shared" si="5"/>
        <v>1</v>
      </c>
      <c r="R327" s="38"/>
      <c r="S327" s="38"/>
    </row>
    <row r="328" spans="1:19" x14ac:dyDescent="0.25">
      <c r="A328" s="38" t="str">
        <f>F328&amp;C328</f>
        <v>C04640063752</v>
      </c>
      <c r="B328" s="38" t="str">
        <f>IF(J328&gt;=SUMIFS(E:E,C:C,C328),"Good to go","Short in Qty")</f>
        <v>Good to go</v>
      </c>
      <c r="C328" s="40">
        <v>40063752</v>
      </c>
      <c r="D328" s="40" t="s">
        <v>514</v>
      </c>
      <c r="E328" s="66">
        <v>1</v>
      </c>
      <c r="F328" s="38" t="s">
        <v>13</v>
      </c>
      <c r="G328" s="40"/>
      <c r="H328" s="38" t="s">
        <v>9</v>
      </c>
      <c r="I328" s="38" t="s">
        <v>530</v>
      </c>
      <c r="J328" s="38">
        <f>IFERROR(VLOOKUP(C:C,'[1]S&amp;S'!$B:$F,5,0),)</f>
        <v>115</v>
      </c>
      <c r="K328" s="38">
        <f>IFERROR(VLOOKUP(A:A,[1]APO!$A:$F,6,0),)</f>
        <v>0</v>
      </c>
      <c r="L328" s="38">
        <f>IFERROR(VLOOKUP(C:C,'[1]TOTAL APO'!$A:$B,2,0),)</f>
        <v>0</v>
      </c>
      <c r="M328" s="38">
        <f>IFERROR(VLOOKUP(A:A,[1]Short!$A:$Q,17,0),)</f>
        <v>0</v>
      </c>
      <c r="N328" s="38">
        <f>IFERROR(VLOOKUP(C:C,[1]GIT!$B:$D,3,0),)</f>
        <v>0</v>
      </c>
      <c r="O328" s="38">
        <f>IFERROR(VLOOKUP(A:A,[2]Sheet1!$A:$B,2,0),)</f>
        <v>0</v>
      </c>
      <c r="P328" s="38">
        <f>IFERROR(VLOOKUP(A:A,[2]Sheet1!$A:$B,2,0),)</f>
        <v>0</v>
      </c>
      <c r="Q328" s="38">
        <f t="shared" si="5"/>
        <v>1</v>
      </c>
      <c r="R328" s="38"/>
      <c r="S328" s="38"/>
    </row>
    <row r="329" spans="1:19" x14ac:dyDescent="0.25">
      <c r="A329" s="38" t="str">
        <f>F329&amp;C329</f>
        <v>C04740063752</v>
      </c>
      <c r="B329" s="38" t="str">
        <f>IF(J329&gt;=SUMIFS(E:E,C:C,C329),"Good to go","Short in Qty")</f>
        <v>Good to go</v>
      </c>
      <c r="C329" s="40">
        <v>40063752</v>
      </c>
      <c r="D329" s="40" t="s">
        <v>514</v>
      </c>
      <c r="E329" s="66">
        <v>2</v>
      </c>
      <c r="F329" s="38" t="s">
        <v>192</v>
      </c>
      <c r="G329" s="40"/>
      <c r="H329" s="38" t="s">
        <v>9</v>
      </c>
      <c r="I329" s="38" t="s">
        <v>530</v>
      </c>
      <c r="J329" s="38">
        <f>IFERROR(VLOOKUP(C:C,'[1]S&amp;S'!$B:$F,5,0),)</f>
        <v>115</v>
      </c>
      <c r="K329" s="38">
        <f>IFERROR(VLOOKUP(A:A,[1]APO!$A:$F,6,0),)</f>
        <v>0</v>
      </c>
      <c r="L329" s="38">
        <f>IFERROR(VLOOKUP(C:C,'[1]TOTAL APO'!$A:$B,2,0),)</f>
        <v>0</v>
      </c>
      <c r="M329" s="38">
        <f>IFERROR(VLOOKUP(A:A,[1]Short!$A:$Q,17,0),)</f>
        <v>0</v>
      </c>
      <c r="N329" s="38">
        <f>IFERROR(VLOOKUP(C:C,[1]GIT!$B:$D,3,0),)</f>
        <v>0</v>
      </c>
      <c r="O329" s="38">
        <f>IFERROR(VLOOKUP(A:A,[2]Sheet1!$A:$B,2,0),)</f>
        <v>0</v>
      </c>
      <c r="P329" s="38">
        <f>IFERROR(VLOOKUP(A:A,[2]Sheet1!$A:$B,2,0),)</f>
        <v>0</v>
      </c>
      <c r="Q329" s="38">
        <f t="shared" si="5"/>
        <v>2</v>
      </c>
      <c r="R329" s="38"/>
      <c r="S329" s="38"/>
    </row>
    <row r="330" spans="1:19" hidden="1" x14ac:dyDescent="0.25">
      <c r="A330" s="38" t="str">
        <f>F330&amp;C330</f>
        <v>C04840064105</v>
      </c>
      <c r="B330" s="38" t="str">
        <f>IF(J330&gt;=SUMIFS(E:E,C:C,C330),"Good to go","Short in Qty")</f>
        <v>Good to go</v>
      </c>
      <c r="C330" s="40">
        <v>40064105</v>
      </c>
      <c r="D330" s="40" t="s">
        <v>545</v>
      </c>
      <c r="E330" s="66">
        <v>9</v>
      </c>
      <c r="F330" s="38" t="s">
        <v>8</v>
      </c>
      <c r="G330" s="40" t="s">
        <v>467</v>
      </c>
      <c r="H330" s="38" t="s">
        <v>594</v>
      </c>
      <c r="I330" s="38" t="s">
        <v>595</v>
      </c>
      <c r="J330" s="38">
        <f>IFERROR(VLOOKUP(C:C,'[1]S&amp;S'!$B:$F,5,0),)</f>
        <v>18</v>
      </c>
      <c r="K330" s="38">
        <f>IFERROR(VLOOKUP(A:A,[1]APO!$A:$F,6,0),)</f>
        <v>0</v>
      </c>
      <c r="L330" s="38">
        <f>IFERROR(VLOOKUP(C:C,'[1]TOTAL APO'!$A:$B,2,0),)</f>
        <v>0</v>
      </c>
      <c r="M330" s="38">
        <f>IFERROR(VLOOKUP(A:A,[1]Short!$A:$Q,17,0),)</f>
        <v>0</v>
      </c>
      <c r="N330" s="38">
        <f>IFERROR(VLOOKUP(C:C,[1]GIT!$B:$D,3,0),)</f>
        <v>0</v>
      </c>
      <c r="O330" s="38">
        <f>IFERROR(VLOOKUP(A:A,[2]Sheet1!$A:$B,2,0),)</f>
        <v>9</v>
      </c>
      <c r="P330" s="38">
        <f>IFERROR(VLOOKUP(A:A,[2]Sheet1!$A:$B,2,0),)</f>
        <v>9</v>
      </c>
      <c r="Q330" s="38">
        <f t="shared" si="5"/>
        <v>0</v>
      </c>
      <c r="R330" s="38"/>
      <c r="S330" s="38"/>
    </row>
    <row r="331" spans="1:19" hidden="1" x14ac:dyDescent="0.25">
      <c r="A331" s="38" t="str">
        <f>F331&amp;C331</f>
        <v>C04240064885</v>
      </c>
      <c r="B331" s="38" t="str">
        <f>IF(J331&gt;=SUMIFS(E:E,C:C,C331),"Good to go","Short in Qty")</f>
        <v>Good to go</v>
      </c>
      <c r="C331" s="40">
        <v>40064885</v>
      </c>
      <c r="D331" s="40" t="s">
        <v>279</v>
      </c>
      <c r="E331" s="66">
        <v>1</v>
      </c>
      <c r="F331" s="38" t="s">
        <v>10</v>
      </c>
      <c r="G331" s="40" t="s">
        <v>467</v>
      </c>
      <c r="H331" s="38" t="s">
        <v>9</v>
      </c>
      <c r="I331" s="38" t="s">
        <v>530</v>
      </c>
      <c r="J331" s="38">
        <f>IFERROR(VLOOKUP(C:C,'[1]S&amp;S'!$B:$F,5,0),)</f>
        <v>489</v>
      </c>
      <c r="K331" s="38">
        <f>IFERROR(VLOOKUP(A:A,[1]APO!$A:$F,6,0),)</f>
        <v>0</v>
      </c>
      <c r="L331" s="38">
        <f>IFERROR(VLOOKUP(C:C,'[1]TOTAL APO'!$A:$B,2,0),)</f>
        <v>0</v>
      </c>
      <c r="M331" s="38">
        <f>IFERROR(VLOOKUP(A:A,[1]Short!$A:$Q,17,0),)</f>
        <v>0</v>
      </c>
      <c r="N331" s="38">
        <f>IFERROR(VLOOKUP(C:C,[1]GIT!$B:$D,3,0),)</f>
        <v>0</v>
      </c>
      <c r="O331" s="38">
        <f>IFERROR(VLOOKUP(A:A,[2]Sheet1!$A:$B,2,0),)</f>
        <v>1</v>
      </c>
      <c r="P331" s="38">
        <f>IFERROR(VLOOKUP(A:A,[2]Sheet1!$A:$B,2,0),)</f>
        <v>1</v>
      </c>
      <c r="Q331" s="38">
        <f t="shared" si="5"/>
        <v>0</v>
      </c>
      <c r="R331" s="38"/>
      <c r="S331" s="38"/>
    </row>
    <row r="332" spans="1:19" hidden="1" x14ac:dyDescent="0.25">
      <c r="A332" s="38" t="str">
        <f>F332&amp;C332</f>
        <v>C04240064881</v>
      </c>
      <c r="B332" s="38" t="str">
        <f>IF(J332&gt;=SUMIFS(E:E,C:C,C332),"Good to go","Short in Qty")</f>
        <v>Good to go</v>
      </c>
      <c r="C332" s="40">
        <v>40064881</v>
      </c>
      <c r="D332" s="40" t="s">
        <v>281</v>
      </c>
      <c r="E332" s="66">
        <v>11</v>
      </c>
      <c r="F332" s="38" t="s">
        <v>10</v>
      </c>
      <c r="G332" s="40" t="s">
        <v>467</v>
      </c>
      <c r="H332" s="38" t="s">
        <v>9</v>
      </c>
      <c r="I332" s="38" t="s">
        <v>530</v>
      </c>
      <c r="J332" s="38">
        <f>IFERROR(VLOOKUP(C:C,'[1]S&amp;S'!$B:$F,5,0),)</f>
        <v>95</v>
      </c>
      <c r="K332" s="38">
        <f>IFERROR(VLOOKUP(A:A,[1]APO!$A:$F,6,0),)</f>
        <v>0</v>
      </c>
      <c r="L332" s="38">
        <f>IFERROR(VLOOKUP(C:C,'[1]TOTAL APO'!$A:$B,2,0),)</f>
        <v>0</v>
      </c>
      <c r="M332" s="38">
        <f>IFERROR(VLOOKUP(A:A,[1]Short!$A:$Q,17,0),)</f>
        <v>0</v>
      </c>
      <c r="N332" s="38">
        <f>IFERROR(VLOOKUP(C:C,[1]GIT!$B:$D,3,0),)</f>
        <v>0</v>
      </c>
      <c r="O332" s="38">
        <f>IFERROR(VLOOKUP(A:A,[2]Sheet1!$A:$B,2,0),)</f>
        <v>11</v>
      </c>
      <c r="P332" s="38">
        <f>IFERROR(VLOOKUP(A:A,[2]Sheet1!$A:$B,2,0),)</f>
        <v>11</v>
      </c>
      <c r="Q332" s="38">
        <f t="shared" si="5"/>
        <v>0</v>
      </c>
      <c r="R332" s="38"/>
      <c r="S332" s="38"/>
    </row>
    <row r="333" spans="1:19" hidden="1" x14ac:dyDescent="0.25">
      <c r="A333" s="38" t="str">
        <f>F333&amp;C333</f>
        <v>C04340063699</v>
      </c>
      <c r="B333" s="38" t="str">
        <f>IF(J333&gt;=SUMIFS(E:E,C:C,C333),"Good to go","Short in Qty")</f>
        <v>Good to go</v>
      </c>
      <c r="C333" s="40">
        <v>40063699</v>
      </c>
      <c r="D333" s="40" t="s">
        <v>515</v>
      </c>
      <c r="E333" s="66">
        <v>1</v>
      </c>
      <c r="F333" s="38" t="s">
        <v>11</v>
      </c>
      <c r="G333" s="40" t="s">
        <v>467</v>
      </c>
      <c r="H333" s="38" t="s">
        <v>9</v>
      </c>
      <c r="I333" s="38" t="s">
        <v>530</v>
      </c>
      <c r="J333" s="38">
        <f>IFERROR(VLOOKUP(C:C,'[1]S&amp;S'!$B:$F,5,0),)</f>
        <v>10473.125</v>
      </c>
      <c r="K333" s="38">
        <f>IFERROR(VLOOKUP(A:A,[1]APO!$A:$F,6,0),)</f>
        <v>0</v>
      </c>
      <c r="L333" s="38">
        <f>IFERROR(VLOOKUP(C:C,'[1]TOTAL APO'!$A:$B,2,0),)</f>
        <v>0</v>
      </c>
      <c r="M333" s="38">
        <f>IFERROR(VLOOKUP(A:A,[1]Short!$A:$Q,17,0),)</f>
        <v>0</v>
      </c>
      <c r="N333" s="38">
        <f>IFERROR(VLOOKUP(C:C,[1]GIT!$B:$D,3,0),)</f>
        <v>0</v>
      </c>
      <c r="O333" s="38">
        <f>IFERROR(VLOOKUP(A:A,[2]Sheet1!$A:$B,2,0),)</f>
        <v>1</v>
      </c>
      <c r="P333" s="38">
        <f>IFERROR(VLOOKUP(A:A,[2]Sheet1!$A:$B,2,0),)</f>
        <v>1</v>
      </c>
      <c r="Q333" s="38">
        <f t="shared" si="5"/>
        <v>0</v>
      </c>
      <c r="R333" s="38"/>
      <c r="S333" s="38"/>
    </row>
    <row r="334" spans="1:19" hidden="1" x14ac:dyDescent="0.25">
      <c r="A334" s="38" t="str">
        <f>F334&amp;C334</f>
        <v>C04240065346</v>
      </c>
      <c r="B334" s="38" t="str">
        <f>IF(J334&gt;=SUMIFS(E:E,C:C,C334),"Good to go","Short in Qty")</f>
        <v>Good to go</v>
      </c>
      <c r="C334" s="40">
        <v>40065346</v>
      </c>
      <c r="D334" s="40" t="s">
        <v>569</v>
      </c>
      <c r="E334" s="66">
        <v>20</v>
      </c>
      <c r="F334" s="38" t="s">
        <v>10</v>
      </c>
      <c r="G334" s="40" t="s">
        <v>467</v>
      </c>
      <c r="H334" s="38" t="s">
        <v>594</v>
      </c>
      <c r="I334" s="38" t="s">
        <v>595</v>
      </c>
      <c r="J334" s="38">
        <f>IFERROR(VLOOKUP(C:C,'[1]S&amp;S'!$B:$F,5,0),)</f>
        <v>61</v>
      </c>
      <c r="K334" s="38">
        <f>IFERROR(VLOOKUP(A:A,[1]APO!$A:$F,6,0),)</f>
        <v>0</v>
      </c>
      <c r="L334" s="38">
        <f>IFERROR(VLOOKUP(C:C,'[1]TOTAL APO'!$A:$B,2,0),)</f>
        <v>0</v>
      </c>
      <c r="M334" s="38">
        <f>IFERROR(VLOOKUP(A:A,[1]Short!$A:$Q,17,0),)</f>
        <v>0</v>
      </c>
      <c r="N334" s="38">
        <f>IFERROR(VLOOKUP(C:C,[1]GIT!$B:$D,3,0),)</f>
        <v>0</v>
      </c>
      <c r="O334" s="38">
        <f>IFERROR(VLOOKUP(A:A,[2]Sheet1!$A:$B,2,0),)</f>
        <v>20</v>
      </c>
      <c r="P334" s="38">
        <f>IFERROR(VLOOKUP(A:A,[2]Sheet1!$A:$B,2,0),)</f>
        <v>20</v>
      </c>
      <c r="Q334" s="38">
        <f t="shared" si="5"/>
        <v>0</v>
      </c>
      <c r="R334" s="38"/>
      <c r="S334" s="38"/>
    </row>
    <row r="335" spans="1:19" x14ac:dyDescent="0.25">
      <c r="A335" s="38" t="str">
        <f>F335&amp;C335</f>
        <v>C04640063747</v>
      </c>
      <c r="B335" s="38" t="str">
        <f>IF(J335&gt;=SUMIFS(E:E,C:C,C335),"Good to go","Short in Qty")</f>
        <v>Good to go</v>
      </c>
      <c r="C335" s="40">
        <v>40063747</v>
      </c>
      <c r="D335" s="40" t="s">
        <v>246</v>
      </c>
      <c r="E335" s="66">
        <v>4</v>
      </c>
      <c r="F335" s="38" t="s">
        <v>13</v>
      </c>
      <c r="G335" s="40"/>
      <c r="H335" s="38" t="s">
        <v>9</v>
      </c>
      <c r="I335" s="38" t="s">
        <v>530</v>
      </c>
      <c r="J335" s="38">
        <f>IFERROR(VLOOKUP(C:C,'[1]S&amp;S'!$B:$F,5,0),)</f>
        <v>4797</v>
      </c>
      <c r="K335" s="38">
        <f>IFERROR(VLOOKUP(A:A,[1]APO!$A:$F,6,0),)</f>
        <v>0</v>
      </c>
      <c r="L335" s="38">
        <f>IFERROR(VLOOKUP(C:C,'[1]TOTAL APO'!$A:$B,2,0),)</f>
        <v>0</v>
      </c>
      <c r="M335" s="38">
        <f>IFERROR(VLOOKUP(A:A,[1]Short!$A:$Q,17,0),)</f>
        <v>0</v>
      </c>
      <c r="N335" s="38">
        <f>IFERROR(VLOOKUP(C:C,[1]GIT!$B:$D,3,0),)</f>
        <v>0</v>
      </c>
      <c r="O335" s="38">
        <f>IFERROR(VLOOKUP(A:A,[2]Sheet1!$A:$B,2,0),)</f>
        <v>0</v>
      </c>
      <c r="P335" s="38">
        <f>IFERROR(VLOOKUP(A:A,[2]Sheet1!$A:$B,2,0),)</f>
        <v>0</v>
      </c>
      <c r="Q335" s="38">
        <f t="shared" si="5"/>
        <v>4</v>
      </c>
      <c r="R335" s="38"/>
      <c r="S335" s="38"/>
    </row>
    <row r="336" spans="1:19" hidden="1" x14ac:dyDescent="0.25">
      <c r="A336" s="38" t="str">
        <f>F336&amp;C336</f>
        <v>C10240059605</v>
      </c>
      <c r="B336" s="38" t="str">
        <f>IF(J336&gt;=SUMIFS(E:E,C:C,C336),"Good to go","Short in Qty")</f>
        <v>Good to go</v>
      </c>
      <c r="C336" s="40">
        <v>40059605</v>
      </c>
      <c r="D336" s="40" t="s">
        <v>355</v>
      </c>
      <c r="E336" s="66">
        <v>200</v>
      </c>
      <c r="F336" s="38" t="s">
        <v>226</v>
      </c>
      <c r="G336" s="40" t="s">
        <v>467</v>
      </c>
      <c r="H336" s="38" t="s">
        <v>356</v>
      </c>
      <c r="I336" s="38" t="s">
        <v>391</v>
      </c>
      <c r="J336" s="38">
        <f>IFERROR(VLOOKUP(C:C,'[1]S&amp;S'!$B:$F,5,0),)</f>
        <v>200</v>
      </c>
      <c r="K336" s="38">
        <f>IFERROR(VLOOKUP(A:A,[1]APO!$A:$F,6,0),)</f>
        <v>0</v>
      </c>
      <c r="L336" s="38">
        <f>IFERROR(VLOOKUP(C:C,'[1]TOTAL APO'!$A:$B,2,0),)</f>
        <v>0</v>
      </c>
      <c r="M336" s="38">
        <f>IFERROR(VLOOKUP(A:A,[1]Short!$A:$Q,17,0),)</f>
        <v>0</v>
      </c>
      <c r="N336" s="38">
        <f>IFERROR(VLOOKUP(C:C,[1]GIT!$B:$D,3,0),)</f>
        <v>0</v>
      </c>
      <c r="O336" s="38">
        <f>IFERROR(VLOOKUP(A:A,[2]Sheet1!$A:$B,2,0),)</f>
        <v>200</v>
      </c>
      <c r="P336" s="38">
        <f>IFERROR(VLOOKUP(A:A,[2]Sheet1!$A:$B,2,0),)</f>
        <v>200</v>
      </c>
      <c r="Q336" s="38">
        <f t="shared" si="5"/>
        <v>0</v>
      </c>
      <c r="R336" s="38"/>
      <c r="S336" s="38"/>
    </row>
    <row r="337" spans="1:19" hidden="1" x14ac:dyDescent="0.25">
      <c r="A337" s="38" t="str">
        <f>F337&amp;C337</f>
        <v>C04240065256</v>
      </c>
      <c r="B337" s="38" t="str">
        <f>IF(J337&gt;=SUMIFS(E:E,C:C,C337),"Good to go","Short in Qty")</f>
        <v>Good to go</v>
      </c>
      <c r="C337" s="40">
        <v>40065256</v>
      </c>
      <c r="D337" s="40" t="s">
        <v>285</v>
      </c>
      <c r="E337" s="66">
        <v>11</v>
      </c>
      <c r="F337" s="38" t="s">
        <v>10</v>
      </c>
      <c r="G337" s="40" t="s">
        <v>467</v>
      </c>
      <c r="H337" s="38" t="s">
        <v>9</v>
      </c>
      <c r="I337" s="38" t="s">
        <v>530</v>
      </c>
      <c r="J337" s="38">
        <f>IFERROR(VLOOKUP(C:C,'[1]S&amp;S'!$B:$F,5,0),)</f>
        <v>49</v>
      </c>
      <c r="K337" s="38">
        <f>IFERROR(VLOOKUP(A:A,[1]APO!$A:$F,6,0),)</f>
        <v>0</v>
      </c>
      <c r="L337" s="38">
        <f>IFERROR(VLOOKUP(C:C,'[1]TOTAL APO'!$A:$B,2,0),)</f>
        <v>0</v>
      </c>
      <c r="M337" s="38">
        <f>IFERROR(VLOOKUP(A:A,[1]Short!$A:$Q,17,0),)</f>
        <v>0</v>
      </c>
      <c r="N337" s="38">
        <f>IFERROR(VLOOKUP(C:C,[1]GIT!$B:$D,3,0),)</f>
        <v>0</v>
      </c>
      <c r="O337" s="38">
        <f>IFERROR(VLOOKUP(A:A,[2]Sheet1!$A:$B,2,0),)</f>
        <v>11</v>
      </c>
      <c r="P337" s="38">
        <f>IFERROR(VLOOKUP(A:A,[2]Sheet1!$A:$B,2,0),)</f>
        <v>11</v>
      </c>
      <c r="Q337" s="38">
        <f t="shared" si="5"/>
        <v>0</v>
      </c>
      <c r="R337" s="38"/>
      <c r="S337" s="38"/>
    </row>
    <row r="338" spans="1:19" x14ac:dyDescent="0.25">
      <c r="A338" s="38" t="str">
        <f>F338&amp;C338</f>
        <v>C04740063794</v>
      </c>
      <c r="B338" s="38" t="str">
        <f>IF(J338&gt;=SUMIFS(E:E,C:C,C338),"Good to go","Short in Qty")</f>
        <v>Good to go</v>
      </c>
      <c r="C338" s="40">
        <v>40063794</v>
      </c>
      <c r="D338" s="40" t="s">
        <v>249</v>
      </c>
      <c r="E338" s="66">
        <v>1</v>
      </c>
      <c r="F338" s="38" t="s">
        <v>192</v>
      </c>
      <c r="G338" s="40"/>
      <c r="H338" s="38" t="s">
        <v>9</v>
      </c>
      <c r="I338" s="38" t="s">
        <v>530</v>
      </c>
      <c r="J338" s="38">
        <f>IFERROR(VLOOKUP(C:C,'[1]S&amp;S'!$B:$F,5,0),)</f>
        <v>12.0416666666667</v>
      </c>
      <c r="K338" s="38">
        <f>IFERROR(VLOOKUP(A:A,[1]APO!$A:$F,6,0),)</f>
        <v>0</v>
      </c>
      <c r="L338" s="38">
        <f>IFERROR(VLOOKUP(C:C,'[1]TOTAL APO'!$A:$B,2,0),)</f>
        <v>0</v>
      </c>
      <c r="M338" s="38">
        <f>IFERROR(VLOOKUP(A:A,[1]Short!$A:$Q,17,0),)</f>
        <v>0</v>
      </c>
      <c r="N338" s="38">
        <f>IFERROR(VLOOKUP(C:C,[1]GIT!$B:$D,3,0),)</f>
        <v>0</v>
      </c>
      <c r="O338" s="38">
        <f>IFERROR(VLOOKUP(A:A,[2]Sheet1!$A:$B,2,0),)</f>
        <v>0</v>
      </c>
      <c r="P338" s="38">
        <f>IFERROR(VLOOKUP(A:A,[2]Sheet1!$A:$B,2,0),)</f>
        <v>0</v>
      </c>
      <c r="Q338" s="38">
        <f t="shared" si="5"/>
        <v>1</v>
      </c>
      <c r="R338" s="38"/>
      <c r="S338" s="38"/>
    </row>
    <row r="339" spans="1:19" hidden="1" x14ac:dyDescent="0.25">
      <c r="A339" s="38" t="str">
        <f>F339&amp;C339</f>
        <v>C04240065338</v>
      </c>
      <c r="B339" s="38" t="str">
        <f>IF(J339&gt;=SUMIFS(E:E,C:C,C339),"Good to go","Short in Qty")</f>
        <v>Good to go</v>
      </c>
      <c r="C339" s="40">
        <v>40065338</v>
      </c>
      <c r="D339" s="40" t="s">
        <v>520</v>
      </c>
      <c r="E339" s="66">
        <v>300</v>
      </c>
      <c r="F339" s="38" t="s">
        <v>10</v>
      </c>
      <c r="G339" s="40" t="s">
        <v>467</v>
      </c>
      <c r="H339" s="38" t="s">
        <v>9</v>
      </c>
      <c r="I339" s="38" t="s">
        <v>530</v>
      </c>
      <c r="J339" s="38">
        <f>IFERROR(VLOOKUP(C:C,'[1]S&amp;S'!$B:$F,5,0),)</f>
        <v>2550</v>
      </c>
      <c r="K339" s="38">
        <f>IFERROR(VLOOKUP(A:A,[1]APO!$A:$F,6,0),)</f>
        <v>0</v>
      </c>
      <c r="L339" s="38">
        <f>IFERROR(VLOOKUP(C:C,'[1]TOTAL APO'!$A:$B,2,0),)</f>
        <v>0</v>
      </c>
      <c r="M339" s="38">
        <f>IFERROR(VLOOKUP(A:A,[1]Short!$A:$Q,17,0),)</f>
        <v>0</v>
      </c>
      <c r="N339" s="38">
        <f>IFERROR(VLOOKUP(C:C,[1]GIT!$B:$D,3,0),)</f>
        <v>0</v>
      </c>
      <c r="O339" s="38">
        <f>IFERROR(VLOOKUP(A:A,[2]Sheet1!$A:$B,2,0),)</f>
        <v>300</v>
      </c>
      <c r="P339" s="38">
        <f>IFERROR(VLOOKUP(A:A,[2]Sheet1!$A:$B,2,0),)</f>
        <v>300</v>
      </c>
      <c r="Q339" s="38">
        <f t="shared" si="5"/>
        <v>0</v>
      </c>
      <c r="R339" s="38"/>
      <c r="S339" s="38"/>
    </row>
    <row r="340" spans="1:19" x14ac:dyDescent="0.25">
      <c r="A340" s="38" t="str">
        <f>F340&amp;C340</f>
        <v>C04740063688</v>
      </c>
      <c r="B340" s="38" t="str">
        <f>IF(J340&gt;=SUMIFS(E:E,C:C,C340),"Good to go","Short in Qty")</f>
        <v>Good to go</v>
      </c>
      <c r="C340" s="40">
        <v>40063688</v>
      </c>
      <c r="D340" s="40" t="s">
        <v>243</v>
      </c>
      <c r="E340" s="66">
        <v>6</v>
      </c>
      <c r="F340" s="38" t="s">
        <v>192</v>
      </c>
      <c r="G340" s="40"/>
      <c r="H340" s="38" t="s">
        <v>9</v>
      </c>
      <c r="I340" s="38" t="s">
        <v>530</v>
      </c>
      <c r="J340" s="38">
        <f>IFERROR(VLOOKUP(C:C,'[1]S&amp;S'!$B:$F,5,0),)</f>
        <v>8824</v>
      </c>
      <c r="K340" s="38">
        <f>IFERROR(VLOOKUP(A:A,[1]APO!$A:$F,6,0),)</f>
        <v>0</v>
      </c>
      <c r="L340" s="38">
        <f>IFERROR(VLOOKUP(C:C,'[1]TOTAL APO'!$A:$B,2,0),)</f>
        <v>0</v>
      </c>
      <c r="M340" s="38">
        <f>IFERROR(VLOOKUP(A:A,[1]Short!$A:$Q,17,0),)</f>
        <v>0</v>
      </c>
      <c r="N340" s="38">
        <f>IFERROR(VLOOKUP(C:C,[1]GIT!$B:$D,3,0),)</f>
        <v>0</v>
      </c>
      <c r="O340" s="38">
        <f>IFERROR(VLOOKUP(A:A,[2]Sheet1!$A:$B,2,0),)</f>
        <v>0</v>
      </c>
      <c r="P340" s="38">
        <f>IFERROR(VLOOKUP(A:A,[2]Sheet1!$A:$B,2,0),)</f>
        <v>0</v>
      </c>
      <c r="Q340" s="38">
        <f t="shared" si="5"/>
        <v>6</v>
      </c>
      <c r="R340" s="38"/>
      <c r="S340" s="38"/>
    </row>
    <row r="341" spans="1:19" x14ac:dyDescent="0.25">
      <c r="A341" s="38" t="str">
        <f>F341&amp;C341</f>
        <v>KT0240059677</v>
      </c>
      <c r="B341" s="38" t="str">
        <f>IF(J341&gt;=SUMIFS(E:E,C:C,C341),"Good to go","Short in Qty")</f>
        <v>Good to go</v>
      </c>
      <c r="C341" s="40">
        <v>40059677</v>
      </c>
      <c r="D341" s="40" t="s">
        <v>283</v>
      </c>
      <c r="E341" s="66">
        <v>616</v>
      </c>
      <c r="F341" s="38" t="s">
        <v>202</v>
      </c>
      <c r="G341" s="40"/>
      <c r="H341" s="38" t="s">
        <v>203</v>
      </c>
      <c r="I341" s="38" t="s">
        <v>368</v>
      </c>
      <c r="J341" s="38">
        <f>IFERROR(VLOOKUP(C:C,'[1]S&amp;S'!$B:$F,5,0),)</f>
        <v>616.041333333333</v>
      </c>
      <c r="K341" s="38">
        <f>IFERROR(VLOOKUP(A:A,[1]APO!$A:$F,6,0),)</f>
        <v>0</v>
      </c>
      <c r="L341" s="38">
        <f>IFERROR(VLOOKUP(C:C,'[1]TOTAL APO'!$A:$B,2,0),)</f>
        <v>0</v>
      </c>
      <c r="M341" s="38">
        <f>IFERROR(VLOOKUP(A:A,[1]Short!$A:$Q,17,0),)</f>
        <v>0</v>
      </c>
      <c r="N341" s="38">
        <f>IFERROR(VLOOKUP(C:C,[1]GIT!$B:$D,3,0),)</f>
        <v>0</v>
      </c>
      <c r="O341" s="38">
        <f>IFERROR(VLOOKUP(A:A,[2]Sheet1!$A:$B,2,0),)</f>
        <v>0</v>
      </c>
      <c r="P341" s="38">
        <f>IFERROR(VLOOKUP(A:A,[2]Sheet1!$A:$B,2,0),)</f>
        <v>0</v>
      </c>
      <c r="Q341" s="38">
        <f t="shared" si="5"/>
        <v>616</v>
      </c>
      <c r="R341" s="38"/>
      <c r="S341" s="38"/>
    </row>
    <row r="342" spans="1:19" hidden="1" x14ac:dyDescent="0.25">
      <c r="A342" s="38" t="str">
        <f>F342&amp;C342</f>
        <v>C04240060030</v>
      </c>
      <c r="B342" s="38" t="str">
        <f>IF(J342&gt;=SUMIFS(E:E,C:C,C342),"Good to go","Short in Qty")</f>
        <v>Good to go</v>
      </c>
      <c r="C342" s="40">
        <v>40060030</v>
      </c>
      <c r="D342" s="40" t="s">
        <v>462</v>
      </c>
      <c r="E342" s="66">
        <v>135</v>
      </c>
      <c r="F342" s="38" t="s">
        <v>10</v>
      </c>
      <c r="G342" s="40" t="s">
        <v>467</v>
      </c>
      <c r="H342" s="38" t="s">
        <v>84</v>
      </c>
      <c r="I342" s="38" t="s">
        <v>620</v>
      </c>
      <c r="J342" s="38">
        <f>IFERROR(VLOOKUP(C:C,'[1]S&amp;S'!$B:$F,5,0),)</f>
        <v>2065</v>
      </c>
      <c r="K342" s="38">
        <f>IFERROR(VLOOKUP(A:A,[1]APO!$A:$F,6,0),)</f>
        <v>0</v>
      </c>
      <c r="L342" s="38">
        <f>IFERROR(VLOOKUP(C:C,'[1]TOTAL APO'!$A:$B,2,0),)</f>
        <v>0</v>
      </c>
      <c r="M342" s="38">
        <f>IFERROR(VLOOKUP(A:A,[1]Short!$A:$Q,17,0),)</f>
        <v>0</v>
      </c>
      <c r="N342" s="38">
        <f>IFERROR(VLOOKUP(C:C,[1]GIT!$B:$D,3,0),)</f>
        <v>0</v>
      </c>
      <c r="O342" s="38">
        <f>IFERROR(VLOOKUP(A:A,[2]Sheet1!$A:$B,2,0),)</f>
        <v>135</v>
      </c>
      <c r="P342" s="38">
        <f>IFERROR(VLOOKUP(A:A,[2]Sheet1!$A:$B,2,0),)</f>
        <v>135</v>
      </c>
      <c r="Q342" s="38">
        <f t="shared" si="5"/>
        <v>0</v>
      </c>
      <c r="R342" s="38"/>
      <c r="S342" s="38"/>
    </row>
    <row r="343" spans="1:19" hidden="1" x14ac:dyDescent="0.25">
      <c r="A343" s="38" t="str">
        <f>F343&amp;C343</f>
        <v>C04340050877</v>
      </c>
      <c r="B343" s="38" t="str">
        <f>IF(J343&gt;=SUMIFS(E:E,C:C,C343),"Good to go","Short in Qty")</f>
        <v>Good to go</v>
      </c>
      <c r="C343" s="40">
        <v>40050877</v>
      </c>
      <c r="D343" s="40" t="s">
        <v>297</v>
      </c>
      <c r="E343" s="66">
        <v>17</v>
      </c>
      <c r="F343" s="38" t="s">
        <v>11</v>
      </c>
      <c r="G343" s="40" t="s">
        <v>467</v>
      </c>
      <c r="H343" s="38" t="s">
        <v>84</v>
      </c>
      <c r="I343" s="38" t="s">
        <v>620</v>
      </c>
      <c r="J343" s="38">
        <f>IFERROR(VLOOKUP(C:C,'[1]S&amp;S'!$B:$F,5,0),)</f>
        <v>34</v>
      </c>
      <c r="K343" s="38">
        <f>IFERROR(VLOOKUP(A:A,[1]APO!$A:$F,6,0),)</f>
        <v>0</v>
      </c>
      <c r="L343" s="38">
        <f>IFERROR(VLOOKUP(C:C,'[1]TOTAL APO'!$A:$B,2,0),)</f>
        <v>0</v>
      </c>
      <c r="M343" s="38">
        <f>IFERROR(VLOOKUP(A:A,[1]Short!$A:$Q,17,0),)</f>
        <v>0</v>
      </c>
      <c r="N343" s="38">
        <f>IFERROR(VLOOKUP(C:C,[1]GIT!$B:$D,3,0),)</f>
        <v>0</v>
      </c>
      <c r="O343" s="38">
        <f>IFERROR(VLOOKUP(A:A,[2]Sheet1!$A:$B,2,0),)</f>
        <v>17</v>
      </c>
      <c r="P343" s="38">
        <f>IFERROR(VLOOKUP(A:A,[2]Sheet1!$A:$B,2,0),)</f>
        <v>17</v>
      </c>
      <c r="Q343" s="38">
        <f t="shared" si="5"/>
        <v>0</v>
      </c>
      <c r="R343" s="38"/>
      <c r="S343" s="38"/>
    </row>
    <row r="344" spans="1:19" hidden="1" x14ac:dyDescent="0.25">
      <c r="A344" s="38" t="str">
        <f>F344&amp;C344</f>
        <v>C04740060030</v>
      </c>
      <c r="B344" s="38" t="str">
        <f>IF(J344&gt;=SUMIFS(E:E,C:C,C344),"Good to go","Short in Qty")</f>
        <v>Good to go</v>
      </c>
      <c r="C344" s="40">
        <v>40060030</v>
      </c>
      <c r="D344" s="40" t="s">
        <v>462</v>
      </c>
      <c r="E344" s="66">
        <v>10</v>
      </c>
      <c r="F344" s="38" t="s">
        <v>192</v>
      </c>
      <c r="G344" s="40"/>
      <c r="H344" s="38" t="s">
        <v>84</v>
      </c>
      <c r="I344" s="38" t="s">
        <v>620</v>
      </c>
      <c r="J344" s="38">
        <f>IFERROR(VLOOKUP(C:C,'[1]S&amp;S'!$B:$F,5,0),)</f>
        <v>2065</v>
      </c>
      <c r="K344" s="38">
        <f>IFERROR(VLOOKUP(A:A,[1]APO!$A:$F,6,0),)</f>
        <v>0</v>
      </c>
      <c r="L344" s="38">
        <f>IFERROR(VLOOKUP(C:C,'[1]TOTAL APO'!$A:$B,2,0),)</f>
        <v>0</v>
      </c>
      <c r="M344" s="38">
        <f>IFERROR(VLOOKUP(A:A,[1]Short!$A:$Q,17,0),)</f>
        <v>0</v>
      </c>
      <c r="N344" s="38">
        <f>IFERROR(VLOOKUP(C:C,[1]GIT!$B:$D,3,0),)</f>
        <v>0</v>
      </c>
      <c r="O344" s="38">
        <f>IFERROR(VLOOKUP(A:A,[2]Sheet1!$A:$B,2,0),)</f>
        <v>0</v>
      </c>
      <c r="P344" s="38">
        <f>IFERROR(VLOOKUP(A:A,[2]Sheet1!$A:$B,2,0),)</f>
        <v>0</v>
      </c>
      <c r="Q344" s="38">
        <f t="shared" si="5"/>
        <v>10</v>
      </c>
      <c r="R344" s="38"/>
      <c r="S344" s="38"/>
    </row>
    <row r="345" spans="1:19" hidden="1" x14ac:dyDescent="0.25">
      <c r="A345" s="38" t="str">
        <f>F345&amp;C345</f>
        <v>C13140060030</v>
      </c>
      <c r="B345" s="38" t="str">
        <f>IF(J345&gt;=SUMIFS(E:E,C:C,C345),"Good to go","Short in Qty")</f>
        <v>Good to go</v>
      </c>
      <c r="C345" s="40">
        <v>40060030</v>
      </c>
      <c r="D345" s="40" t="s">
        <v>462</v>
      </c>
      <c r="E345" s="66">
        <v>400</v>
      </c>
      <c r="F345" s="38" t="s">
        <v>17</v>
      </c>
      <c r="G345" s="40" t="s">
        <v>467</v>
      </c>
      <c r="H345" s="38" t="s">
        <v>84</v>
      </c>
      <c r="I345" s="38" t="s">
        <v>620</v>
      </c>
      <c r="J345" s="38">
        <f>IFERROR(VLOOKUP(C:C,'[1]S&amp;S'!$B:$F,5,0),)</f>
        <v>2065</v>
      </c>
      <c r="K345" s="38">
        <f>IFERROR(VLOOKUP(A:A,[1]APO!$A:$F,6,0),)</f>
        <v>0</v>
      </c>
      <c r="L345" s="38">
        <f>IFERROR(VLOOKUP(C:C,'[1]TOTAL APO'!$A:$B,2,0),)</f>
        <v>0</v>
      </c>
      <c r="M345" s="38">
        <f>IFERROR(VLOOKUP(A:A,[1]Short!$A:$Q,17,0),)</f>
        <v>0</v>
      </c>
      <c r="N345" s="38">
        <f>IFERROR(VLOOKUP(C:C,[1]GIT!$B:$D,3,0),)</f>
        <v>0</v>
      </c>
      <c r="O345" s="38">
        <f>IFERROR(VLOOKUP(A:A,[2]Sheet1!$A:$B,2,0),)</f>
        <v>400</v>
      </c>
      <c r="P345" s="38">
        <f>IFERROR(VLOOKUP(A:A,[2]Sheet1!$A:$B,2,0),)</f>
        <v>400</v>
      </c>
      <c r="Q345" s="38">
        <f t="shared" si="5"/>
        <v>0</v>
      </c>
      <c r="R345" s="38"/>
      <c r="S345" s="38"/>
    </row>
    <row r="346" spans="1:19" x14ac:dyDescent="0.25">
      <c r="A346" s="38" t="str">
        <f>F346&amp;C346</f>
        <v>C04640050411</v>
      </c>
      <c r="B346" s="38" t="str">
        <f>IF(J346&gt;=SUMIFS(E:E,C:C,C346),"Good to go","Short in Qty")</f>
        <v>Good to go</v>
      </c>
      <c r="C346" s="40">
        <v>40050411</v>
      </c>
      <c r="D346" s="40" t="s">
        <v>296</v>
      </c>
      <c r="E346" s="66">
        <v>3</v>
      </c>
      <c r="F346" s="38" t="s">
        <v>13</v>
      </c>
      <c r="G346" s="40"/>
      <c r="H346" s="38" t="s">
        <v>9</v>
      </c>
      <c r="I346" s="38" t="s">
        <v>530</v>
      </c>
      <c r="J346" s="38">
        <f>IFERROR(VLOOKUP(C:C,'[1]S&amp;S'!$B:$F,5,0),)</f>
        <v>994.00633333333303</v>
      </c>
      <c r="K346" s="38">
        <f>IFERROR(VLOOKUP(A:A,[1]APO!$A:$F,6,0),)</f>
        <v>0</v>
      </c>
      <c r="L346" s="38">
        <f>IFERROR(VLOOKUP(C:C,'[1]TOTAL APO'!$A:$B,2,0),)</f>
        <v>0</v>
      </c>
      <c r="M346" s="38">
        <f>IFERROR(VLOOKUP(A:A,[1]Short!$A:$Q,17,0),)</f>
        <v>0</v>
      </c>
      <c r="N346" s="38">
        <f>IFERROR(VLOOKUP(C:C,[1]GIT!$B:$D,3,0),)</f>
        <v>0</v>
      </c>
      <c r="O346" s="38">
        <f>IFERROR(VLOOKUP(A:A,[2]Sheet1!$A:$B,2,0),)</f>
        <v>0</v>
      </c>
      <c r="P346" s="38">
        <f>IFERROR(VLOOKUP(A:A,[2]Sheet1!$A:$B,2,0),)</f>
        <v>0</v>
      </c>
      <c r="Q346" s="38">
        <f t="shared" si="5"/>
        <v>3</v>
      </c>
      <c r="R346" s="38"/>
      <c r="S346" s="38"/>
    </row>
    <row r="347" spans="1:19" hidden="1" x14ac:dyDescent="0.25">
      <c r="A347" s="38" t="str">
        <f>F347&amp;C347</f>
        <v>C04440041820</v>
      </c>
      <c r="B347" s="38" t="str">
        <f>IF(J347&gt;=SUMIFS(E:E,C:C,C347),"Good to go","Short in Qty")</f>
        <v>Good to go</v>
      </c>
      <c r="C347" s="40">
        <v>40041820</v>
      </c>
      <c r="D347" s="40" t="s">
        <v>525</v>
      </c>
      <c r="E347" s="66">
        <v>1</v>
      </c>
      <c r="F347" s="38" t="s">
        <v>191</v>
      </c>
      <c r="G347" s="40" t="s">
        <v>467</v>
      </c>
      <c r="H347" s="38" t="s">
        <v>84</v>
      </c>
      <c r="I347" s="38" t="s">
        <v>620</v>
      </c>
      <c r="J347" s="38">
        <f>IFERROR(VLOOKUP(C:C,'[1]S&amp;S'!$B:$F,5,0),)</f>
        <v>245</v>
      </c>
      <c r="K347" s="38">
        <f>IFERROR(VLOOKUP(A:A,[1]APO!$A:$F,6,0),)</f>
        <v>0</v>
      </c>
      <c r="L347" s="38">
        <f>IFERROR(VLOOKUP(C:C,'[1]TOTAL APO'!$A:$B,2,0),)</f>
        <v>0</v>
      </c>
      <c r="M347" s="38">
        <f>IFERROR(VLOOKUP(A:A,[1]Short!$A:$Q,17,0),)</f>
        <v>0</v>
      </c>
      <c r="N347" s="38">
        <f>IFERROR(VLOOKUP(C:C,[1]GIT!$B:$D,3,0),)</f>
        <v>0</v>
      </c>
      <c r="O347" s="38">
        <f>IFERROR(VLOOKUP(A:A,[2]Sheet1!$A:$B,2,0),)</f>
        <v>1</v>
      </c>
      <c r="P347" s="38">
        <f>IFERROR(VLOOKUP(A:A,[2]Sheet1!$A:$B,2,0),)</f>
        <v>1</v>
      </c>
      <c r="Q347" s="38">
        <f t="shared" si="5"/>
        <v>0</v>
      </c>
      <c r="R347" s="38"/>
      <c r="S347" s="38"/>
    </row>
    <row r="348" spans="1:19" x14ac:dyDescent="0.25">
      <c r="A348" s="38" t="str">
        <f>F348&amp;C348</f>
        <v>C04640064913</v>
      </c>
      <c r="B348" s="38" t="str">
        <f>IF(J348&gt;=SUMIFS(E:E,C:C,C348),"Good to go","Short in Qty")</f>
        <v>Good to go</v>
      </c>
      <c r="C348" s="40">
        <v>40064913</v>
      </c>
      <c r="D348" s="40" t="s">
        <v>303</v>
      </c>
      <c r="E348" s="66">
        <v>22</v>
      </c>
      <c r="F348" s="38" t="s">
        <v>13</v>
      </c>
      <c r="G348" s="40"/>
      <c r="H348" s="38" t="s">
        <v>9</v>
      </c>
      <c r="I348" s="38" t="s">
        <v>530</v>
      </c>
      <c r="J348" s="38">
        <f>IFERROR(VLOOKUP(C:C,'[1]S&amp;S'!$B:$F,5,0),)</f>
        <v>665</v>
      </c>
      <c r="K348" s="38">
        <f>IFERROR(VLOOKUP(A:A,[1]APO!$A:$F,6,0),)</f>
        <v>0</v>
      </c>
      <c r="L348" s="38">
        <f>IFERROR(VLOOKUP(C:C,'[1]TOTAL APO'!$A:$B,2,0),)</f>
        <v>0</v>
      </c>
      <c r="M348" s="38">
        <f>IFERROR(VLOOKUP(A:A,[1]Short!$A:$Q,17,0),)</f>
        <v>0</v>
      </c>
      <c r="N348" s="38">
        <f>IFERROR(VLOOKUP(C:C,[1]GIT!$B:$D,3,0),)</f>
        <v>0</v>
      </c>
      <c r="O348" s="38">
        <f>IFERROR(VLOOKUP(A:A,[2]Sheet1!$A:$B,2,0),)</f>
        <v>0</v>
      </c>
      <c r="P348" s="38">
        <f>IFERROR(VLOOKUP(A:A,[2]Sheet1!$A:$B,2,0),)</f>
        <v>0</v>
      </c>
      <c r="Q348" s="38">
        <f t="shared" si="5"/>
        <v>22</v>
      </c>
      <c r="R348" s="38"/>
      <c r="S348" s="38"/>
    </row>
    <row r="349" spans="1:19" hidden="1" x14ac:dyDescent="0.25">
      <c r="A349" s="38" t="str">
        <f>F349&amp;C349</f>
        <v>C11140060030</v>
      </c>
      <c r="B349" s="38" t="str">
        <f>IF(J349&gt;=SUMIFS(E:E,C:C,C349),"Good to go","Short in Qty")</f>
        <v>Good to go</v>
      </c>
      <c r="C349" s="40">
        <v>40060030</v>
      </c>
      <c r="D349" s="40" t="s">
        <v>462</v>
      </c>
      <c r="E349" s="66">
        <v>200</v>
      </c>
      <c r="F349" s="38" t="s">
        <v>16</v>
      </c>
      <c r="G349" s="40" t="s">
        <v>467</v>
      </c>
      <c r="H349" s="38" t="s">
        <v>84</v>
      </c>
      <c r="I349" s="38" t="s">
        <v>620</v>
      </c>
      <c r="J349" s="38">
        <f>IFERROR(VLOOKUP(C:C,'[1]S&amp;S'!$B:$F,5,0),)</f>
        <v>2065</v>
      </c>
      <c r="K349" s="38">
        <f>IFERROR(VLOOKUP(A:A,[1]APO!$A:$F,6,0),)</f>
        <v>0</v>
      </c>
      <c r="L349" s="38">
        <f>IFERROR(VLOOKUP(C:C,'[1]TOTAL APO'!$A:$B,2,0),)</f>
        <v>0</v>
      </c>
      <c r="M349" s="38">
        <f>IFERROR(VLOOKUP(A:A,[1]Short!$A:$Q,17,0),)</f>
        <v>0</v>
      </c>
      <c r="N349" s="38">
        <f>IFERROR(VLOOKUP(C:C,[1]GIT!$B:$D,3,0),)</f>
        <v>0</v>
      </c>
      <c r="O349" s="38">
        <f>IFERROR(VLOOKUP(A:A,[2]Sheet1!$A:$B,2,0),)</f>
        <v>200</v>
      </c>
      <c r="P349" s="38">
        <f>IFERROR(VLOOKUP(A:A,[2]Sheet1!$A:$B,2,0),)</f>
        <v>200</v>
      </c>
      <c r="Q349" s="38">
        <f t="shared" si="5"/>
        <v>0</v>
      </c>
      <c r="R349" s="38"/>
      <c r="S349" s="38"/>
    </row>
    <row r="350" spans="1:19" hidden="1" x14ac:dyDescent="0.25">
      <c r="A350" s="38" t="str">
        <f>F350&amp;C350</f>
        <v>C04640060030</v>
      </c>
      <c r="B350" s="38" t="str">
        <f>IF(J350&gt;=SUMIFS(E:E,C:C,C350),"Good to go","Short in Qty")</f>
        <v>Good to go</v>
      </c>
      <c r="C350" s="40">
        <v>40060030</v>
      </c>
      <c r="D350" s="40" t="s">
        <v>462</v>
      </c>
      <c r="E350" s="66">
        <v>20</v>
      </c>
      <c r="F350" s="38" t="s">
        <v>13</v>
      </c>
      <c r="G350" s="40"/>
      <c r="H350" s="38" t="s">
        <v>84</v>
      </c>
      <c r="I350" s="38" t="s">
        <v>620</v>
      </c>
      <c r="J350" s="38">
        <f>IFERROR(VLOOKUP(C:C,'[1]S&amp;S'!$B:$F,5,0),)</f>
        <v>2065</v>
      </c>
      <c r="K350" s="38">
        <f>IFERROR(VLOOKUP(A:A,[1]APO!$A:$F,6,0),)</f>
        <v>0</v>
      </c>
      <c r="L350" s="38">
        <f>IFERROR(VLOOKUP(C:C,'[1]TOTAL APO'!$A:$B,2,0),)</f>
        <v>0</v>
      </c>
      <c r="M350" s="38">
        <f>IFERROR(VLOOKUP(A:A,[1]Short!$A:$Q,17,0),)</f>
        <v>0</v>
      </c>
      <c r="N350" s="38">
        <f>IFERROR(VLOOKUP(C:C,[1]GIT!$B:$D,3,0),)</f>
        <v>0</v>
      </c>
      <c r="O350" s="38">
        <f>IFERROR(VLOOKUP(A:A,[2]Sheet1!$A:$B,2,0),)</f>
        <v>0</v>
      </c>
      <c r="P350" s="38">
        <f>IFERROR(VLOOKUP(A:A,[2]Sheet1!$A:$B,2,0),)</f>
        <v>0</v>
      </c>
      <c r="Q350" s="38">
        <f t="shared" si="5"/>
        <v>20</v>
      </c>
      <c r="R350" s="38"/>
      <c r="S350" s="38"/>
    </row>
    <row r="351" spans="1:19" hidden="1" x14ac:dyDescent="0.25">
      <c r="A351" s="38" t="str">
        <f>F351&amp;C351</f>
        <v>C04240062017</v>
      </c>
      <c r="B351" s="38" t="str">
        <f>IF(J351&gt;=SUMIFS(E:E,C:C,C351),"Good to go","Short in Qty")</f>
        <v>Good to go</v>
      </c>
      <c r="C351" s="40">
        <v>40062017</v>
      </c>
      <c r="D351" s="40" t="s">
        <v>307</v>
      </c>
      <c r="E351" s="66">
        <v>4</v>
      </c>
      <c r="F351" s="38" t="s">
        <v>10</v>
      </c>
      <c r="G351" s="40" t="s">
        <v>467</v>
      </c>
      <c r="H351" s="38" t="s">
        <v>9</v>
      </c>
      <c r="I351" s="38" t="s">
        <v>530</v>
      </c>
      <c r="J351" s="38">
        <f>IFERROR(VLOOKUP(C:C,'[1]S&amp;S'!$B:$F,5,0),)</f>
        <v>52.5</v>
      </c>
      <c r="K351" s="38">
        <f>IFERROR(VLOOKUP(A:A,[1]APO!$A:$F,6,0),)</f>
        <v>0</v>
      </c>
      <c r="L351" s="38">
        <f>IFERROR(VLOOKUP(C:C,'[1]TOTAL APO'!$A:$B,2,0),)</f>
        <v>0</v>
      </c>
      <c r="M351" s="38">
        <f>IFERROR(VLOOKUP(A:A,[1]Short!$A:$Q,17,0),)</f>
        <v>0</v>
      </c>
      <c r="N351" s="38">
        <f>IFERROR(VLOOKUP(C:C,[1]GIT!$B:$D,3,0),)</f>
        <v>0</v>
      </c>
      <c r="O351" s="38">
        <f>IFERROR(VLOOKUP(A:A,[2]Sheet1!$A:$B,2,0),)</f>
        <v>4</v>
      </c>
      <c r="P351" s="38">
        <f>IFERROR(VLOOKUP(A:A,[2]Sheet1!$A:$B,2,0),)</f>
        <v>4</v>
      </c>
      <c r="Q351" s="38">
        <f t="shared" si="5"/>
        <v>0</v>
      </c>
      <c r="R351" s="38"/>
      <c r="S351" s="38"/>
    </row>
    <row r="352" spans="1:19" x14ac:dyDescent="0.25">
      <c r="A352" s="38" t="str">
        <f>F352&amp;C352</f>
        <v>C04840065002</v>
      </c>
      <c r="B352" s="38" t="str">
        <f>IF(J352&gt;=SUMIFS(E:E,C:C,C352),"Good to go","Short in Qty")</f>
        <v>Good to go</v>
      </c>
      <c r="C352" s="40">
        <v>40065002</v>
      </c>
      <c r="D352" s="40" t="s">
        <v>291</v>
      </c>
      <c r="E352" s="66">
        <v>95</v>
      </c>
      <c r="F352" s="38" t="s">
        <v>8</v>
      </c>
      <c r="G352" s="40"/>
      <c r="H352" s="38" t="s">
        <v>9</v>
      </c>
      <c r="I352" s="38" t="s">
        <v>530</v>
      </c>
      <c r="J352" s="38">
        <f>IFERROR(VLOOKUP(C:C,'[1]S&amp;S'!$B:$F,5,0),)</f>
        <v>377</v>
      </c>
      <c r="K352" s="38">
        <f>IFERROR(VLOOKUP(A:A,[1]APO!$A:$F,6,0),)</f>
        <v>0</v>
      </c>
      <c r="L352" s="38">
        <f>IFERROR(VLOOKUP(C:C,'[1]TOTAL APO'!$A:$B,2,0),)</f>
        <v>0</v>
      </c>
      <c r="M352" s="38">
        <f>IFERROR(VLOOKUP(A:A,[1]Short!$A:$Q,17,0),)</f>
        <v>0</v>
      </c>
      <c r="N352" s="38">
        <f>IFERROR(VLOOKUP(C:C,[1]GIT!$B:$D,3,0),)</f>
        <v>360</v>
      </c>
      <c r="O352" s="38">
        <f>IFERROR(VLOOKUP(A:A,[2]Sheet1!$A:$B,2,0),)</f>
        <v>0</v>
      </c>
      <c r="P352" s="38">
        <f>IFERROR(VLOOKUP(A:A,[2]Sheet1!$A:$B,2,0),)</f>
        <v>0</v>
      </c>
      <c r="Q352" s="38">
        <f t="shared" si="5"/>
        <v>95</v>
      </c>
      <c r="R352" s="38"/>
      <c r="S352" s="38"/>
    </row>
    <row r="353" spans="1:19" hidden="1" x14ac:dyDescent="0.25">
      <c r="A353" s="38" t="str">
        <f>F353&amp;C353</f>
        <v>C13140064913</v>
      </c>
      <c r="B353" s="38" t="str">
        <f>IF(J353&gt;=SUMIFS(E:E,C:C,C353),"Good to go","Short in Qty")</f>
        <v>Good to go</v>
      </c>
      <c r="C353" s="40">
        <v>40064913</v>
      </c>
      <c r="D353" s="40" t="s">
        <v>303</v>
      </c>
      <c r="E353" s="66">
        <v>289</v>
      </c>
      <c r="F353" s="38" t="s">
        <v>17</v>
      </c>
      <c r="G353" s="40" t="s">
        <v>467</v>
      </c>
      <c r="H353" s="38" t="s">
        <v>9</v>
      </c>
      <c r="I353" s="38" t="s">
        <v>530</v>
      </c>
      <c r="J353" s="38">
        <f>IFERROR(VLOOKUP(C:C,'[1]S&amp;S'!$B:$F,5,0),)</f>
        <v>665</v>
      </c>
      <c r="K353" s="38">
        <f>IFERROR(VLOOKUP(A:A,[1]APO!$A:$F,6,0),)</f>
        <v>0</v>
      </c>
      <c r="L353" s="38">
        <f>IFERROR(VLOOKUP(C:C,'[1]TOTAL APO'!$A:$B,2,0),)</f>
        <v>0</v>
      </c>
      <c r="M353" s="38">
        <f>IFERROR(VLOOKUP(A:A,[1]Short!$A:$Q,17,0),)</f>
        <v>0</v>
      </c>
      <c r="N353" s="38">
        <f>IFERROR(VLOOKUP(C:C,[1]GIT!$B:$D,3,0),)</f>
        <v>0</v>
      </c>
      <c r="O353" s="38">
        <f>IFERROR(VLOOKUP(A:A,[2]Sheet1!$A:$B,2,0),)</f>
        <v>289</v>
      </c>
      <c r="P353" s="38">
        <f>IFERROR(VLOOKUP(A:A,[2]Sheet1!$A:$B,2,0),)</f>
        <v>289</v>
      </c>
      <c r="Q353" s="38">
        <f t="shared" si="5"/>
        <v>0</v>
      </c>
      <c r="R353" s="38"/>
      <c r="S353" s="38"/>
    </row>
    <row r="354" spans="1:19" x14ac:dyDescent="0.25">
      <c r="A354" s="38" t="str">
        <f>F354&amp;C354</f>
        <v>C04440065002</v>
      </c>
      <c r="B354" s="38" t="str">
        <f>IF(J354&gt;=SUMIFS(E:E,C:C,C354),"Good to go","Short in Qty")</f>
        <v>Good to go</v>
      </c>
      <c r="C354" s="40">
        <v>40065002</v>
      </c>
      <c r="D354" s="40" t="s">
        <v>291</v>
      </c>
      <c r="E354" s="66">
        <v>124</v>
      </c>
      <c r="F354" s="38" t="s">
        <v>191</v>
      </c>
      <c r="G354" s="40"/>
      <c r="H354" s="38" t="s">
        <v>9</v>
      </c>
      <c r="I354" s="38" t="s">
        <v>530</v>
      </c>
      <c r="J354" s="38">
        <f>IFERROR(VLOOKUP(C:C,'[1]S&amp;S'!$B:$F,5,0),)</f>
        <v>377</v>
      </c>
      <c r="K354" s="38">
        <f>IFERROR(VLOOKUP(A:A,[1]APO!$A:$F,6,0),)</f>
        <v>0</v>
      </c>
      <c r="L354" s="38">
        <f>IFERROR(VLOOKUP(C:C,'[1]TOTAL APO'!$A:$B,2,0),)</f>
        <v>0</v>
      </c>
      <c r="M354" s="38">
        <f>IFERROR(VLOOKUP(A:A,[1]Short!$A:$Q,17,0),)</f>
        <v>0</v>
      </c>
      <c r="N354" s="38">
        <f>IFERROR(VLOOKUP(C:C,[1]GIT!$B:$D,3,0),)</f>
        <v>360</v>
      </c>
      <c r="O354" s="38">
        <f>IFERROR(VLOOKUP(A:A,[2]Sheet1!$A:$B,2,0),)</f>
        <v>0</v>
      </c>
      <c r="P354" s="38">
        <f>IFERROR(VLOOKUP(A:A,[2]Sheet1!$A:$B,2,0),)</f>
        <v>0</v>
      </c>
      <c r="Q354" s="38">
        <f t="shared" si="5"/>
        <v>124</v>
      </c>
      <c r="R354" s="38"/>
      <c r="S354" s="38"/>
    </row>
    <row r="355" spans="1:19" x14ac:dyDescent="0.25">
      <c r="A355" s="38" t="str">
        <f>F355&amp;C355</f>
        <v>C04640065002</v>
      </c>
      <c r="B355" s="38" t="str">
        <f>IF(J355&gt;=SUMIFS(E:E,C:C,C355),"Good to go","Short in Qty")</f>
        <v>Good to go</v>
      </c>
      <c r="C355" s="40">
        <v>40065002</v>
      </c>
      <c r="D355" s="40" t="s">
        <v>291</v>
      </c>
      <c r="E355" s="66">
        <v>10</v>
      </c>
      <c r="F355" s="38" t="s">
        <v>13</v>
      </c>
      <c r="G355" s="40"/>
      <c r="H355" s="38" t="s">
        <v>9</v>
      </c>
      <c r="I355" s="38" t="s">
        <v>530</v>
      </c>
      <c r="J355" s="38">
        <f>IFERROR(VLOOKUP(C:C,'[1]S&amp;S'!$B:$F,5,0),)</f>
        <v>377</v>
      </c>
      <c r="K355" s="38">
        <f>IFERROR(VLOOKUP(A:A,[1]APO!$A:$F,6,0),)</f>
        <v>0</v>
      </c>
      <c r="L355" s="38">
        <f>IFERROR(VLOOKUP(C:C,'[1]TOTAL APO'!$A:$B,2,0),)</f>
        <v>0</v>
      </c>
      <c r="M355" s="38">
        <f>IFERROR(VLOOKUP(A:A,[1]Short!$A:$Q,17,0),)</f>
        <v>0</v>
      </c>
      <c r="N355" s="38">
        <f>IFERROR(VLOOKUP(C:C,[1]GIT!$B:$D,3,0),)</f>
        <v>360</v>
      </c>
      <c r="O355" s="38">
        <f>IFERROR(VLOOKUP(A:A,[2]Sheet1!$A:$B,2,0),)</f>
        <v>0</v>
      </c>
      <c r="P355" s="38">
        <f>IFERROR(VLOOKUP(A:A,[2]Sheet1!$A:$B,2,0),)</f>
        <v>0</v>
      </c>
      <c r="Q355" s="38">
        <f t="shared" si="5"/>
        <v>10</v>
      </c>
      <c r="R355" s="38"/>
      <c r="S355" s="38"/>
    </row>
    <row r="356" spans="1:19" x14ac:dyDescent="0.25">
      <c r="A356" s="38" t="str">
        <f>F356&amp;C356</f>
        <v>C04740065002</v>
      </c>
      <c r="B356" s="38" t="str">
        <f>IF(J356&gt;=SUMIFS(E:E,C:C,C356),"Good to go","Short in Qty")</f>
        <v>Good to go</v>
      </c>
      <c r="C356" s="40">
        <v>40065002</v>
      </c>
      <c r="D356" s="40" t="s">
        <v>291</v>
      </c>
      <c r="E356" s="66">
        <v>42</v>
      </c>
      <c r="F356" s="38" t="s">
        <v>192</v>
      </c>
      <c r="G356" s="40"/>
      <c r="H356" s="38" t="s">
        <v>9</v>
      </c>
      <c r="I356" s="38" t="s">
        <v>530</v>
      </c>
      <c r="J356" s="38">
        <f>IFERROR(VLOOKUP(C:C,'[1]S&amp;S'!$B:$F,5,0),)</f>
        <v>377</v>
      </c>
      <c r="K356" s="38">
        <f>IFERROR(VLOOKUP(A:A,[1]APO!$A:$F,6,0),)</f>
        <v>0</v>
      </c>
      <c r="L356" s="38">
        <f>IFERROR(VLOOKUP(C:C,'[1]TOTAL APO'!$A:$B,2,0),)</f>
        <v>0</v>
      </c>
      <c r="M356" s="38">
        <f>IFERROR(VLOOKUP(A:A,[1]Short!$A:$Q,17,0),)</f>
        <v>0</v>
      </c>
      <c r="N356" s="38">
        <f>IFERROR(VLOOKUP(C:C,[1]GIT!$B:$D,3,0),)</f>
        <v>360</v>
      </c>
      <c r="O356" s="38">
        <f>IFERROR(VLOOKUP(A:A,[2]Sheet1!$A:$B,2,0),)</f>
        <v>0</v>
      </c>
      <c r="P356" s="38">
        <f>IFERROR(VLOOKUP(A:A,[2]Sheet1!$A:$B,2,0),)</f>
        <v>0</v>
      </c>
      <c r="Q356" s="38">
        <f t="shared" si="5"/>
        <v>42</v>
      </c>
      <c r="R356" s="38"/>
      <c r="S356" s="38"/>
    </row>
    <row r="357" spans="1:19" hidden="1" x14ac:dyDescent="0.25">
      <c r="A357" s="38" t="str">
        <f>F357&amp;C357</f>
        <v>C04240041820</v>
      </c>
      <c r="B357" s="38" t="str">
        <f>IF(J357&gt;=SUMIFS(E:E,C:C,C357),"Good to go","Short in Qty")</f>
        <v>Good to go</v>
      </c>
      <c r="C357" s="40">
        <v>40041820</v>
      </c>
      <c r="D357" s="40" t="s">
        <v>525</v>
      </c>
      <c r="E357" s="66">
        <v>6</v>
      </c>
      <c r="F357" s="38" t="s">
        <v>10</v>
      </c>
      <c r="G357" s="40" t="s">
        <v>467</v>
      </c>
      <c r="H357" s="38" t="s">
        <v>9</v>
      </c>
      <c r="I357" s="38" t="s">
        <v>530</v>
      </c>
      <c r="J357" s="38">
        <f>IFERROR(VLOOKUP(C:C,'[1]S&amp;S'!$B:$F,5,0),)</f>
        <v>245</v>
      </c>
      <c r="K357" s="38">
        <f>IFERROR(VLOOKUP(A:A,[1]APO!$A:$F,6,0),)</f>
        <v>0</v>
      </c>
      <c r="L357" s="38">
        <f>IFERROR(VLOOKUP(C:C,'[1]TOTAL APO'!$A:$B,2,0),)</f>
        <v>0</v>
      </c>
      <c r="M357" s="38">
        <f>IFERROR(VLOOKUP(A:A,[1]Short!$A:$Q,17,0),)</f>
        <v>0</v>
      </c>
      <c r="N357" s="38">
        <f>IFERROR(VLOOKUP(C:C,[1]GIT!$B:$D,3,0),)</f>
        <v>0</v>
      </c>
      <c r="O357" s="38">
        <f>IFERROR(VLOOKUP(A:A,[2]Sheet1!$A:$B,2,0),)</f>
        <v>6</v>
      </c>
      <c r="P357" s="38">
        <f>IFERROR(VLOOKUP(A:A,[2]Sheet1!$A:$B,2,0),)</f>
        <v>6</v>
      </c>
      <c r="Q357" s="38">
        <f t="shared" si="5"/>
        <v>0</v>
      </c>
      <c r="R357" s="38"/>
      <c r="S357" s="38"/>
    </row>
    <row r="358" spans="1:19" hidden="1" x14ac:dyDescent="0.25">
      <c r="A358" s="38" t="str">
        <f>F358&amp;C358</f>
        <v>C04240064472</v>
      </c>
      <c r="B358" s="38" t="str">
        <f>IF(J358&gt;=SUMIFS(E:E,C:C,C358),"Good to go","Short in Qty")</f>
        <v>Good to go</v>
      </c>
      <c r="C358" s="40">
        <v>40064472</v>
      </c>
      <c r="D358" s="40" t="s">
        <v>560</v>
      </c>
      <c r="E358" s="66">
        <v>30</v>
      </c>
      <c r="F358" s="38" t="s">
        <v>10</v>
      </c>
      <c r="G358" s="40" t="s">
        <v>467</v>
      </c>
      <c r="H358" s="38" t="s">
        <v>594</v>
      </c>
      <c r="I358" s="38" t="s">
        <v>595</v>
      </c>
      <c r="J358" s="38">
        <f>IFERROR(VLOOKUP(C:C,'[1]S&amp;S'!$B:$F,5,0),)</f>
        <v>130</v>
      </c>
      <c r="K358" s="38">
        <f>IFERROR(VLOOKUP(A:A,[1]APO!$A:$F,6,0),)</f>
        <v>0</v>
      </c>
      <c r="L358" s="38">
        <f>IFERROR(VLOOKUP(C:C,'[1]TOTAL APO'!$A:$B,2,0),)</f>
        <v>0</v>
      </c>
      <c r="M358" s="38">
        <f>IFERROR(VLOOKUP(A:A,[1]Short!$A:$Q,17,0),)</f>
        <v>0</v>
      </c>
      <c r="N358" s="38">
        <f>IFERROR(VLOOKUP(C:C,[1]GIT!$B:$D,3,0),)</f>
        <v>130</v>
      </c>
      <c r="O358" s="38">
        <f>IFERROR(VLOOKUP(A:A,[2]Sheet1!$A:$B,2,0),)</f>
        <v>30</v>
      </c>
      <c r="P358" s="38">
        <f>IFERROR(VLOOKUP(A:A,[2]Sheet1!$A:$B,2,0),)</f>
        <v>30</v>
      </c>
      <c r="Q358" s="38">
        <f t="shared" si="5"/>
        <v>0</v>
      </c>
      <c r="R358" s="38"/>
      <c r="S358" s="38"/>
    </row>
    <row r="359" spans="1:19" hidden="1" x14ac:dyDescent="0.25">
      <c r="A359" s="38" t="str">
        <f>F359&amp;C359</f>
        <v>C04240065000</v>
      </c>
      <c r="B359" s="38" t="str">
        <f>IF(J359&gt;=SUMIFS(E:E,C:C,C359),"Good to go","Short in Qty")</f>
        <v>Good to go</v>
      </c>
      <c r="C359" s="40">
        <v>40065000</v>
      </c>
      <c r="D359" s="40" t="s">
        <v>519</v>
      </c>
      <c r="E359" s="66">
        <v>18</v>
      </c>
      <c r="F359" s="38" t="s">
        <v>10</v>
      </c>
      <c r="G359" s="40" t="s">
        <v>467</v>
      </c>
      <c r="H359" s="38" t="s">
        <v>9</v>
      </c>
      <c r="I359" s="38" t="s">
        <v>530</v>
      </c>
      <c r="J359" s="38">
        <f>IFERROR(VLOOKUP(C:C,'[1]S&amp;S'!$B:$F,5,0),)</f>
        <v>825</v>
      </c>
      <c r="K359" s="38">
        <f>IFERROR(VLOOKUP(A:A,[1]APO!$A:$F,6,0),)</f>
        <v>0</v>
      </c>
      <c r="L359" s="38">
        <f>IFERROR(VLOOKUP(C:C,'[1]TOTAL APO'!$A:$B,2,0),)</f>
        <v>0</v>
      </c>
      <c r="M359" s="38">
        <f>IFERROR(VLOOKUP(A:A,[1]Short!$A:$Q,17,0),)</f>
        <v>0</v>
      </c>
      <c r="N359" s="38">
        <f>IFERROR(VLOOKUP(C:C,[1]GIT!$B:$D,3,0),)</f>
        <v>0</v>
      </c>
      <c r="O359" s="38">
        <f>IFERROR(VLOOKUP(A:A,[2]Sheet1!$A:$B,2,0),)</f>
        <v>18</v>
      </c>
      <c r="P359" s="38">
        <f>IFERROR(VLOOKUP(A:A,[2]Sheet1!$A:$B,2,0),)</f>
        <v>18</v>
      </c>
      <c r="Q359" s="38">
        <f t="shared" si="5"/>
        <v>0</v>
      </c>
      <c r="R359" s="38"/>
      <c r="S359" s="38"/>
    </row>
    <row r="360" spans="1:19" hidden="1" x14ac:dyDescent="0.25">
      <c r="A360" s="38" t="str">
        <f>F360&amp;C360</f>
        <v>C11140060535</v>
      </c>
      <c r="B360" s="38" t="str">
        <f>IF(J360&gt;=SUMIFS(E:E,C:C,C360),"Good to go","Short in Qty")</f>
        <v>Good to go</v>
      </c>
      <c r="C360" s="40">
        <v>40060535</v>
      </c>
      <c r="D360" s="40" t="s">
        <v>221</v>
      </c>
      <c r="E360" s="66">
        <v>2</v>
      </c>
      <c r="F360" s="38" t="s">
        <v>16</v>
      </c>
      <c r="G360" s="40" t="s">
        <v>467</v>
      </c>
      <c r="H360" s="38" t="s">
        <v>84</v>
      </c>
      <c r="I360" s="38" t="s">
        <v>620</v>
      </c>
      <c r="J360" s="38">
        <f>IFERROR(VLOOKUP(C:C,'[1]S&amp;S'!$B:$F,5,0),)</f>
        <v>198</v>
      </c>
      <c r="K360" s="38">
        <f>IFERROR(VLOOKUP(A:A,[1]APO!$A:$F,6,0),)</f>
        <v>0</v>
      </c>
      <c r="L360" s="38">
        <f>IFERROR(VLOOKUP(C:C,'[1]TOTAL APO'!$A:$B,2,0),)</f>
        <v>0</v>
      </c>
      <c r="M360" s="38">
        <f>IFERROR(VLOOKUP(A:A,[1]Short!$A:$Q,17,0),)</f>
        <v>0</v>
      </c>
      <c r="N360" s="38">
        <f>IFERROR(VLOOKUP(C:C,[1]GIT!$B:$D,3,0),)</f>
        <v>46</v>
      </c>
      <c r="O360" s="38">
        <f>IFERROR(VLOOKUP(A:A,[2]Sheet1!$A:$B,2,0),)</f>
        <v>2</v>
      </c>
      <c r="P360" s="38">
        <f>IFERROR(VLOOKUP(A:A,[2]Sheet1!$A:$B,2,0),)</f>
        <v>2</v>
      </c>
      <c r="Q360" s="38">
        <f t="shared" si="5"/>
        <v>0</v>
      </c>
      <c r="R360" s="38"/>
      <c r="S360" s="38"/>
    </row>
    <row r="361" spans="1:19" hidden="1" x14ac:dyDescent="0.25">
      <c r="A361" s="38" t="str">
        <f>F361&amp;C361</f>
        <v>C04840065374</v>
      </c>
      <c r="B361" s="38" t="str">
        <f>IF(J361&gt;=SUMIFS(E:E,C:C,C361),"Good to go","Short in Qty")</f>
        <v>Good to go</v>
      </c>
      <c r="C361" s="40">
        <v>40065374</v>
      </c>
      <c r="D361" s="40" t="s">
        <v>505</v>
      </c>
      <c r="E361" s="66">
        <v>47</v>
      </c>
      <c r="F361" s="38" t="s">
        <v>8</v>
      </c>
      <c r="G361" s="40" t="s">
        <v>467</v>
      </c>
      <c r="H361" s="38" t="s">
        <v>9</v>
      </c>
      <c r="I361" s="38" t="s">
        <v>530</v>
      </c>
      <c r="J361" s="38">
        <f>IFERROR(VLOOKUP(C:C,'[1]S&amp;S'!$B:$F,5,0),)</f>
        <v>692</v>
      </c>
      <c r="K361" s="38">
        <f>IFERROR(VLOOKUP(A:A,[1]APO!$A:$F,6,0),)</f>
        <v>0</v>
      </c>
      <c r="L361" s="38">
        <f>IFERROR(VLOOKUP(C:C,'[1]TOTAL APO'!$A:$B,2,0),)</f>
        <v>0</v>
      </c>
      <c r="M361" s="38">
        <f>IFERROR(VLOOKUP(A:A,[1]Short!$A:$Q,17,0),)</f>
        <v>0</v>
      </c>
      <c r="N361" s="38">
        <f>IFERROR(VLOOKUP(C:C,[1]GIT!$B:$D,3,0),)</f>
        <v>0</v>
      </c>
      <c r="O361" s="38">
        <f>IFERROR(VLOOKUP(A:A,[2]Sheet1!$A:$B,2,0),)</f>
        <v>47</v>
      </c>
      <c r="P361" s="38">
        <f>IFERROR(VLOOKUP(A:A,[2]Sheet1!$A:$B,2,0),)</f>
        <v>47</v>
      </c>
      <c r="Q361" s="38">
        <f t="shared" si="5"/>
        <v>0</v>
      </c>
      <c r="R361" s="38"/>
      <c r="S361" s="38"/>
    </row>
    <row r="362" spans="1:19" hidden="1" x14ac:dyDescent="0.25">
      <c r="A362" s="38" t="str">
        <f>F362&amp;C362</f>
        <v>C04840060030</v>
      </c>
      <c r="B362" s="38" t="str">
        <f>IF(J362&gt;=SUMIFS(E:E,C:C,C362),"Good to go","Short in Qty")</f>
        <v>Good to go</v>
      </c>
      <c r="C362" s="40">
        <v>40060030</v>
      </c>
      <c r="D362" s="40" t="s">
        <v>462</v>
      </c>
      <c r="E362" s="66">
        <v>100</v>
      </c>
      <c r="F362" s="38" t="s">
        <v>8</v>
      </c>
      <c r="G362" s="40" t="s">
        <v>467</v>
      </c>
      <c r="H362" s="38" t="s">
        <v>84</v>
      </c>
      <c r="I362" s="38" t="s">
        <v>620</v>
      </c>
      <c r="J362" s="38">
        <f>IFERROR(VLOOKUP(C:C,'[1]S&amp;S'!$B:$F,5,0),)</f>
        <v>2065</v>
      </c>
      <c r="K362" s="38">
        <f>IFERROR(VLOOKUP(A:A,[1]APO!$A:$F,6,0),)</f>
        <v>0</v>
      </c>
      <c r="L362" s="38">
        <f>IFERROR(VLOOKUP(C:C,'[1]TOTAL APO'!$A:$B,2,0),)</f>
        <v>0</v>
      </c>
      <c r="M362" s="38">
        <f>IFERROR(VLOOKUP(A:A,[1]Short!$A:$Q,17,0),)</f>
        <v>0</v>
      </c>
      <c r="N362" s="38">
        <f>IFERROR(VLOOKUP(C:C,[1]GIT!$B:$D,3,0),)</f>
        <v>0</v>
      </c>
      <c r="O362" s="38">
        <f>IFERROR(VLOOKUP(A:A,[2]Sheet1!$A:$B,2,0),)</f>
        <v>100</v>
      </c>
      <c r="P362" s="38">
        <f>IFERROR(VLOOKUP(A:A,[2]Sheet1!$A:$B,2,0),)</f>
        <v>100</v>
      </c>
      <c r="Q362" s="38">
        <f t="shared" si="5"/>
        <v>0</v>
      </c>
      <c r="R362" s="38"/>
      <c r="S362" s="38"/>
    </row>
    <row r="363" spans="1:19" hidden="1" x14ac:dyDescent="0.25">
      <c r="A363" s="38" t="str">
        <f>F363&amp;C363</f>
        <v>C04640065039</v>
      </c>
      <c r="B363" s="38" t="str">
        <f>IF(J363&gt;=SUMIFS(E:E,C:C,C363),"Good to go","Short in Qty")</f>
        <v>Good to go</v>
      </c>
      <c r="C363" s="40">
        <v>40065039</v>
      </c>
      <c r="D363" s="40" t="s">
        <v>478</v>
      </c>
      <c r="E363" s="66">
        <v>15</v>
      </c>
      <c r="F363" s="38" t="s">
        <v>13</v>
      </c>
      <c r="G363" s="40" t="s">
        <v>467</v>
      </c>
      <c r="H363" s="38" t="s">
        <v>479</v>
      </c>
      <c r="I363" s="38" t="s">
        <v>480</v>
      </c>
      <c r="J363" s="38">
        <f>IFERROR(VLOOKUP(C:C,'[1]S&amp;S'!$B:$F,5,0),)</f>
        <v>674</v>
      </c>
      <c r="K363" s="38">
        <f>IFERROR(VLOOKUP(A:A,[1]APO!$A:$F,6,0),)</f>
        <v>0</v>
      </c>
      <c r="L363" s="38">
        <f>IFERROR(VLOOKUP(C:C,'[1]TOTAL APO'!$A:$B,2,0),)</f>
        <v>0</v>
      </c>
      <c r="M363" s="38">
        <f>IFERROR(VLOOKUP(A:A,[1]Short!$A:$Q,17,0),)</f>
        <v>0</v>
      </c>
      <c r="N363" s="38">
        <f>IFERROR(VLOOKUP(C:C,[1]GIT!$B:$D,3,0),)</f>
        <v>674</v>
      </c>
      <c r="O363" s="38">
        <f>IFERROR(VLOOKUP(A:A,[2]Sheet1!$A:$B,2,0),)</f>
        <v>15</v>
      </c>
      <c r="P363" s="38">
        <f>IFERROR(VLOOKUP(A:A,[2]Sheet1!$A:$B,2,0),)</f>
        <v>15</v>
      </c>
      <c r="Q363" s="38">
        <f t="shared" si="5"/>
        <v>0</v>
      </c>
      <c r="R363" s="38"/>
      <c r="S363" s="38"/>
    </row>
    <row r="364" spans="1:19" hidden="1" x14ac:dyDescent="0.25">
      <c r="A364" s="38" t="str">
        <f>F364&amp;C364</f>
        <v>C04240062018</v>
      </c>
      <c r="B364" s="38" t="str">
        <f>IF(J364&gt;=SUMIFS(E:E,C:C,C364),"Good to go","Short in Qty")</f>
        <v>Good to go</v>
      </c>
      <c r="C364" s="40">
        <v>40062018</v>
      </c>
      <c r="D364" s="40" t="s">
        <v>272</v>
      </c>
      <c r="E364" s="66">
        <v>71</v>
      </c>
      <c r="F364" s="38" t="s">
        <v>10</v>
      </c>
      <c r="G364" s="40" t="s">
        <v>467</v>
      </c>
      <c r="H364" s="38" t="s">
        <v>9</v>
      </c>
      <c r="I364" s="38" t="s">
        <v>530</v>
      </c>
      <c r="J364" s="38">
        <f>IFERROR(VLOOKUP(C:C,'[1]S&amp;S'!$B:$F,5,0),)</f>
        <v>260</v>
      </c>
      <c r="K364" s="38">
        <f>IFERROR(VLOOKUP(A:A,[1]APO!$A:$F,6,0),)</f>
        <v>0</v>
      </c>
      <c r="L364" s="38">
        <f>IFERROR(VLOOKUP(C:C,'[1]TOTAL APO'!$A:$B,2,0),)</f>
        <v>0</v>
      </c>
      <c r="M364" s="38">
        <f>IFERROR(VLOOKUP(A:A,[1]Short!$A:$Q,17,0),)</f>
        <v>0</v>
      </c>
      <c r="N364" s="38">
        <f>IFERROR(VLOOKUP(C:C,[1]GIT!$B:$D,3,0),)</f>
        <v>0</v>
      </c>
      <c r="O364" s="38">
        <f>IFERROR(VLOOKUP(A:A,[2]Sheet1!$A:$B,2,0),)</f>
        <v>71</v>
      </c>
      <c r="P364" s="38">
        <f>IFERROR(VLOOKUP(A:A,[2]Sheet1!$A:$B,2,0),)</f>
        <v>71</v>
      </c>
      <c r="Q364" s="38">
        <f t="shared" si="5"/>
        <v>0</v>
      </c>
      <c r="R364" s="38"/>
      <c r="S364" s="38"/>
    </row>
    <row r="365" spans="1:19" hidden="1" x14ac:dyDescent="0.25">
      <c r="A365" s="38" t="str">
        <f>F365&amp;C365</f>
        <v>C04340065338</v>
      </c>
      <c r="B365" s="38" t="str">
        <f>IF(J365&gt;=SUMIFS(E:E,C:C,C365),"Good to go","Short in Qty")</f>
        <v>Good to go</v>
      </c>
      <c r="C365" s="40">
        <v>40065338</v>
      </c>
      <c r="D365" s="40" t="s">
        <v>520</v>
      </c>
      <c r="E365" s="67">
        <v>250</v>
      </c>
      <c r="F365" s="38" t="s">
        <v>11</v>
      </c>
      <c r="G365" s="40" t="s">
        <v>467</v>
      </c>
      <c r="H365" s="38" t="s">
        <v>9</v>
      </c>
      <c r="I365" s="38" t="s">
        <v>530</v>
      </c>
      <c r="J365" s="38">
        <f>IFERROR(VLOOKUP(C:C,'[1]S&amp;S'!$B:$F,5,0),)</f>
        <v>2550</v>
      </c>
      <c r="K365" s="38">
        <f>IFERROR(VLOOKUP(A:A,[1]APO!$A:$F,6,0),)</f>
        <v>0</v>
      </c>
      <c r="L365" s="38">
        <f>IFERROR(VLOOKUP(C:C,'[1]TOTAL APO'!$A:$B,2,0),)</f>
        <v>0</v>
      </c>
      <c r="M365" s="38">
        <f>IFERROR(VLOOKUP(A:A,[1]Short!$A:$Q,17,0),)</f>
        <v>0</v>
      </c>
      <c r="N365" s="38">
        <f>IFERROR(VLOOKUP(C:C,[1]GIT!$B:$D,3,0),)</f>
        <v>0</v>
      </c>
      <c r="O365" s="38">
        <f>IFERROR(VLOOKUP(A:A,[2]Sheet1!$A:$B,2,0),)</f>
        <v>250</v>
      </c>
      <c r="P365" s="38">
        <f>IFERROR(VLOOKUP(A:A,[2]Sheet1!$A:$B,2,0),)</f>
        <v>250</v>
      </c>
      <c r="Q365" s="38">
        <f t="shared" si="5"/>
        <v>0</v>
      </c>
      <c r="R365" s="38"/>
      <c r="S365" s="38"/>
    </row>
    <row r="366" spans="1:19" x14ac:dyDescent="0.25">
      <c r="A366" s="38" t="str">
        <f>F366&amp;C366</f>
        <v>C04440065338</v>
      </c>
      <c r="B366" s="38" t="str">
        <f>IF(J366&gt;=SUMIFS(E:E,C:C,C366),"Good to go","Short in Qty")</f>
        <v>Good to go</v>
      </c>
      <c r="C366" s="40">
        <v>40065338</v>
      </c>
      <c r="D366" s="40" t="s">
        <v>520</v>
      </c>
      <c r="E366" s="66">
        <v>38</v>
      </c>
      <c r="F366" s="38" t="s">
        <v>191</v>
      </c>
      <c r="G366" s="40"/>
      <c r="H366" s="38" t="s">
        <v>9</v>
      </c>
      <c r="I366" s="38" t="s">
        <v>530</v>
      </c>
      <c r="J366" s="38">
        <f>IFERROR(VLOOKUP(C:C,'[1]S&amp;S'!$B:$F,5,0),)</f>
        <v>2550</v>
      </c>
      <c r="K366" s="38">
        <f>IFERROR(VLOOKUP(A:A,[1]APO!$A:$F,6,0),)</f>
        <v>0</v>
      </c>
      <c r="L366" s="38">
        <f>IFERROR(VLOOKUP(C:C,'[1]TOTAL APO'!$A:$B,2,0),)</f>
        <v>0</v>
      </c>
      <c r="M366" s="38">
        <f>IFERROR(VLOOKUP(A:A,[1]Short!$A:$Q,17,0),)</f>
        <v>0</v>
      </c>
      <c r="N366" s="38">
        <f>IFERROR(VLOOKUP(C:C,[1]GIT!$B:$D,3,0),)</f>
        <v>0</v>
      </c>
      <c r="O366" s="38">
        <f>IFERROR(VLOOKUP(A:A,[2]Sheet1!$A:$B,2,0),)</f>
        <v>0</v>
      </c>
      <c r="P366" s="38">
        <f>IFERROR(VLOOKUP(A:A,[2]Sheet1!$A:$B,2,0),)</f>
        <v>0</v>
      </c>
      <c r="Q366" s="38">
        <f t="shared" si="5"/>
        <v>38</v>
      </c>
      <c r="R366" s="38"/>
      <c r="S366" s="38"/>
    </row>
    <row r="367" spans="1:19" x14ac:dyDescent="0.25">
      <c r="A367" s="38" t="str">
        <f>F367&amp;C367</f>
        <v>C04640061000</v>
      </c>
      <c r="B367" s="38" t="str">
        <f>IF(J367&gt;=SUMIFS(E:E,C:C,C367),"Good to go","Short in Qty")</f>
        <v>Good to go</v>
      </c>
      <c r="C367" s="40">
        <v>40061000</v>
      </c>
      <c r="D367" s="40" t="s">
        <v>273</v>
      </c>
      <c r="E367" s="66">
        <v>17</v>
      </c>
      <c r="F367" s="38" t="s">
        <v>13</v>
      </c>
      <c r="G367" s="40">
        <v>1</v>
      </c>
      <c r="H367" s="38" t="s">
        <v>9</v>
      </c>
      <c r="I367" s="38" t="s">
        <v>530</v>
      </c>
      <c r="J367" s="38">
        <f>IFERROR(VLOOKUP(C:C,'[1]S&amp;S'!$B:$F,5,0),)</f>
        <v>54</v>
      </c>
      <c r="K367" s="38">
        <f>IFERROR(VLOOKUP(A:A,[1]APO!$A:$F,6,0),)</f>
        <v>0</v>
      </c>
      <c r="L367" s="38">
        <f>IFERROR(VLOOKUP(C:C,'[1]TOTAL APO'!$A:$B,2,0),)</f>
        <v>0</v>
      </c>
      <c r="M367" s="38">
        <f>IFERROR(VLOOKUP(A:A,[1]Short!$A:$Q,17,0),)</f>
        <v>0</v>
      </c>
      <c r="N367" s="38">
        <f>IFERROR(VLOOKUP(C:C,[1]GIT!$B:$D,3,0),)</f>
        <v>20</v>
      </c>
      <c r="O367" s="38">
        <f>IFERROR(VLOOKUP(A:A,[2]Sheet1!$A:$B,2,0),)</f>
        <v>0</v>
      </c>
      <c r="P367" s="38">
        <f>IFERROR(VLOOKUP(A:A,[2]Sheet1!$A:$B,2,0),)</f>
        <v>0</v>
      </c>
      <c r="Q367" s="38">
        <f t="shared" si="5"/>
        <v>17</v>
      </c>
      <c r="R367" s="38"/>
      <c r="S367" s="38"/>
    </row>
    <row r="368" spans="1:19" x14ac:dyDescent="0.25">
      <c r="A368" s="38" t="str">
        <f>F368&amp;C368</f>
        <v>C04440065335</v>
      </c>
      <c r="B368" s="38" t="str">
        <f>IF(J368&gt;=SUMIFS(E:E,C:C,C368),"Good to go","Short in Qty")</f>
        <v>Good to go</v>
      </c>
      <c r="C368" s="40">
        <v>40065335</v>
      </c>
      <c r="D368" s="40" t="s">
        <v>284</v>
      </c>
      <c r="E368" s="66">
        <v>2</v>
      </c>
      <c r="F368" s="38" t="s">
        <v>191</v>
      </c>
      <c r="G368" s="40"/>
      <c r="H368" s="38" t="s">
        <v>9</v>
      </c>
      <c r="I368" s="38" t="s">
        <v>530</v>
      </c>
      <c r="J368" s="38">
        <f>IFERROR(VLOOKUP(C:C,'[1]S&amp;S'!$B:$F,5,0),)</f>
        <v>34</v>
      </c>
      <c r="K368" s="38">
        <f>IFERROR(VLOOKUP(A:A,[1]APO!$A:$F,6,0),)</f>
        <v>0</v>
      </c>
      <c r="L368" s="38">
        <f>IFERROR(VLOOKUP(C:C,'[1]TOTAL APO'!$A:$B,2,0),)</f>
        <v>0</v>
      </c>
      <c r="M368" s="38">
        <f>IFERROR(VLOOKUP(A:A,[1]Short!$A:$Q,17,0),)</f>
        <v>0</v>
      </c>
      <c r="N368" s="38">
        <f>IFERROR(VLOOKUP(C:C,[1]GIT!$B:$D,3,0),)</f>
        <v>0</v>
      </c>
      <c r="O368" s="38">
        <f>IFERROR(VLOOKUP(A:A,[2]Sheet1!$A:$B,2,0),)</f>
        <v>0</v>
      </c>
      <c r="P368" s="38">
        <f>IFERROR(VLOOKUP(A:A,[2]Sheet1!$A:$B,2,0),)</f>
        <v>0</v>
      </c>
      <c r="Q368" s="38">
        <f t="shared" si="5"/>
        <v>2</v>
      </c>
      <c r="R368" s="38"/>
      <c r="S368" s="38"/>
    </row>
    <row r="369" spans="1:19" hidden="1" x14ac:dyDescent="0.25">
      <c r="A369" s="38" t="str">
        <f>F369&amp;C369</f>
        <v>C04840063476</v>
      </c>
      <c r="B369" s="38" t="str">
        <f>IF(J369&gt;=SUMIFS(E:E,C:C,C369),"Good to go","Short in Qty")</f>
        <v>Good to go</v>
      </c>
      <c r="C369" s="40">
        <v>40063476</v>
      </c>
      <c r="D369" s="40" t="s">
        <v>453</v>
      </c>
      <c r="E369" s="66">
        <v>10</v>
      </c>
      <c r="F369" s="38" t="s">
        <v>8</v>
      </c>
      <c r="G369" s="73" t="s">
        <v>467</v>
      </c>
      <c r="H369" s="38" t="s">
        <v>84</v>
      </c>
      <c r="I369" s="38" t="s">
        <v>620</v>
      </c>
      <c r="J369" s="38">
        <f>IFERROR(VLOOKUP(C:C,'[1]S&amp;S'!$B:$F,5,0),)</f>
        <v>30</v>
      </c>
      <c r="K369" s="38">
        <f>IFERROR(VLOOKUP(A:A,[1]APO!$A:$F,6,0),)</f>
        <v>0</v>
      </c>
      <c r="L369" s="38">
        <f>IFERROR(VLOOKUP(C:C,'[1]TOTAL APO'!$A:$B,2,0),)</f>
        <v>0</v>
      </c>
      <c r="M369" s="38">
        <f>IFERROR(VLOOKUP(A:A,[1]Short!$A:$Q,17,0),)</f>
        <v>0</v>
      </c>
      <c r="N369" s="38">
        <f>IFERROR(VLOOKUP(C:C,[1]GIT!$B:$D,3,0),)</f>
        <v>0</v>
      </c>
      <c r="O369" s="38">
        <f>IFERROR(VLOOKUP(A:A,[2]Sheet1!$A:$B,2,0),)</f>
        <v>10</v>
      </c>
      <c r="P369" s="38">
        <f>IFERROR(VLOOKUP(A:A,[2]Sheet1!$A:$B,2,0),)</f>
        <v>10</v>
      </c>
      <c r="Q369" s="38">
        <f t="shared" si="5"/>
        <v>0</v>
      </c>
      <c r="R369" s="38"/>
      <c r="S369" s="38"/>
    </row>
    <row r="370" spans="1:19" hidden="1" x14ac:dyDescent="0.25">
      <c r="A370" s="38" t="str">
        <f>F370&amp;C370</f>
        <v>C04240050877</v>
      </c>
      <c r="B370" s="38" t="str">
        <f>IF(J370&gt;=SUMIFS(E:E,C:C,C370),"Good to go","Short in Qty")</f>
        <v>Good to go</v>
      </c>
      <c r="C370" s="40">
        <v>40050877</v>
      </c>
      <c r="D370" s="40" t="s">
        <v>297</v>
      </c>
      <c r="E370" s="66">
        <v>2</v>
      </c>
      <c r="F370" s="38" t="s">
        <v>10</v>
      </c>
      <c r="G370" s="40" t="s">
        <v>467</v>
      </c>
      <c r="H370" s="38" t="s">
        <v>9</v>
      </c>
      <c r="I370" s="38" t="s">
        <v>530</v>
      </c>
      <c r="J370" s="38">
        <f>IFERROR(VLOOKUP(C:C,'[1]S&amp;S'!$B:$F,5,0),)</f>
        <v>34</v>
      </c>
      <c r="K370" s="38">
        <f>IFERROR(VLOOKUP(A:A,[1]APO!$A:$F,6,0),)</f>
        <v>0</v>
      </c>
      <c r="L370" s="38">
        <f>IFERROR(VLOOKUP(C:C,'[1]TOTAL APO'!$A:$B,2,0),)</f>
        <v>0</v>
      </c>
      <c r="M370" s="38">
        <f>IFERROR(VLOOKUP(A:A,[1]Short!$A:$Q,17,0),)</f>
        <v>0</v>
      </c>
      <c r="N370" s="38">
        <f>IFERROR(VLOOKUP(C:C,[1]GIT!$B:$D,3,0),)</f>
        <v>0</v>
      </c>
      <c r="O370" s="38">
        <f>IFERROR(VLOOKUP(A:A,[2]Sheet1!$A:$B,2,0),)</f>
        <v>2</v>
      </c>
      <c r="P370" s="38">
        <f>IFERROR(VLOOKUP(A:A,[2]Sheet1!$A:$B,2,0),)</f>
        <v>2</v>
      </c>
      <c r="Q370" s="38">
        <f t="shared" si="5"/>
        <v>0</v>
      </c>
      <c r="R370" s="38"/>
      <c r="S370" s="38"/>
    </row>
    <row r="371" spans="1:19" hidden="1" x14ac:dyDescent="0.25">
      <c r="A371" s="38" t="str">
        <f>F371&amp;C371</f>
        <v>C04340056914</v>
      </c>
      <c r="B371" s="38" t="str">
        <f>IF(J371&gt;=SUMIFS(E:E,C:C,C371),"Good to go","Short in Qty")</f>
        <v>Good to go</v>
      </c>
      <c r="C371" s="40">
        <v>40056914</v>
      </c>
      <c r="D371" s="40" t="s">
        <v>607</v>
      </c>
      <c r="E371" s="66">
        <v>3</v>
      </c>
      <c r="F371" s="38" t="s">
        <v>11</v>
      </c>
      <c r="G371" s="40" t="s">
        <v>467</v>
      </c>
      <c r="H371" s="38" t="s">
        <v>84</v>
      </c>
      <c r="I371" s="38" t="s">
        <v>620</v>
      </c>
      <c r="J371" s="38">
        <f>IFERROR(VLOOKUP(C:C,'[1]S&amp;S'!$B:$F,5,0),)</f>
        <v>3</v>
      </c>
      <c r="K371" s="38">
        <f>IFERROR(VLOOKUP(A:A,[1]APO!$A:$F,6,0),)</f>
        <v>0</v>
      </c>
      <c r="L371" s="38">
        <f>IFERROR(VLOOKUP(C:C,'[1]TOTAL APO'!$A:$B,2,0),)</f>
        <v>0</v>
      </c>
      <c r="M371" s="38">
        <f>IFERROR(VLOOKUP(A:A,[1]Short!$A:$Q,17,0),)</f>
        <v>0</v>
      </c>
      <c r="N371" s="38">
        <f>IFERROR(VLOOKUP(C:C,[1]GIT!$B:$D,3,0),)</f>
        <v>0</v>
      </c>
      <c r="O371" s="38">
        <f>IFERROR(VLOOKUP(A:A,[2]Sheet1!$A:$B,2,0),)</f>
        <v>0</v>
      </c>
      <c r="P371" s="38">
        <f>IFERROR(VLOOKUP(A:A,[2]Sheet1!$A:$B,2,0),)</f>
        <v>0</v>
      </c>
      <c r="Q371" s="38">
        <f t="shared" si="5"/>
        <v>3</v>
      </c>
      <c r="R371" s="38"/>
      <c r="S371" s="38"/>
    </row>
    <row r="372" spans="1:19" x14ac:dyDescent="0.25">
      <c r="A372" s="38" t="str">
        <f>F372&amp;C372</f>
        <v>C04640064685</v>
      </c>
      <c r="B372" s="38" t="str">
        <f>IF(J372&gt;=SUMIFS(E:E,C:C,C372),"Good to go","Short in Qty")</f>
        <v>Good to go</v>
      </c>
      <c r="C372" s="40">
        <v>40064685</v>
      </c>
      <c r="D372" s="40" t="s">
        <v>301</v>
      </c>
      <c r="E372" s="66">
        <v>60</v>
      </c>
      <c r="F372" s="38" t="s">
        <v>13</v>
      </c>
      <c r="G372" s="40"/>
      <c r="H372" s="38" t="s">
        <v>9</v>
      </c>
      <c r="I372" s="38" t="s">
        <v>530</v>
      </c>
      <c r="J372" s="38">
        <f>IFERROR(VLOOKUP(C:C,'[1]S&amp;S'!$B:$F,5,0),)</f>
        <v>850.73288888888897</v>
      </c>
      <c r="K372" s="38">
        <f>IFERROR(VLOOKUP(A:A,[1]APO!$A:$F,6,0),)</f>
        <v>0</v>
      </c>
      <c r="L372" s="38">
        <f>IFERROR(VLOOKUP(C:C,'[1]TOTAL APO'!$A:$B,2,0),)</f>
        <v>0</v>
      </c>
      <c r="M372" s="38">
        <f>IFERROR(VLOOKUP(A:A,[1]Short!$A:$Q,17,0),)</f>
        <v>0</v>
      </c>
      <c r="N372" s="38">
        <f>IFERROR(VLOOKUP(C:C,[1]GIT!$B:$D,3,0),)</f>
        <v>0</v>
      </c>
      <c r="O372" s="38">
        <f>IFERROR(VLOOKUP(A:A,[2]Sheet1!$A:$B,2,0),)</f>
        <v>0</v>
      </c>
      <c r="P372" s="38">
        <f>IFERROR(VLOOKUP(A:A,[2]Sheet1!$A:$B,2,0),)</f>
        <v>0</v>
      </c>
      <c r="Q372" s="38">
        <f t="shared" si="5"/>
        <v>60</v>
      </c>
      <c r="R372" s="38"/>
      <c r="S372" s="38"/>
    </row>
    <row r="373" spans="1:19" x14ac:dyDescent="0.25">
      <c r="A373" s="38" t="str">
        <f>F373&amp;C373</f>
        <v>C11140062339</v>
      </c>
      <c r="B373" s="38" t="str">
        <f>IF(J373&gt;=SUMIFS(E:E,C:C,C373),"Good to go","Short in Qty")</f>
        <v>Good to go</v>
      </c>
      <c r="C373" s="40">
        <v>40062339</v>
      </c>
      <c r="D373" s="40" t="s">
        <v>454</v>
      </c>
      <c r="E373" s="68">
        <v>20</v>
      </c>
      <c r="F373" s="38" t="s">
        <v>16</v>
      </c>
      <c r="G373" s="40"/>
      <c r="H373" s="38" t="s">
        <v>248</v>
      </c>
      <c r="I373" s="38" t="s">
        <v>457</v>
      </c>
      <c r="J373" s="38">
        <f>IFERROR(VLOOKUP(C:C,'[1]S&amp;S'!$B:$F,5,0),)</f>
        <v>478</v>
      </c>
      <c r="K373" s="38">
        <f>IFERROR(VLOOKUP(A:A,[1]APO!$A:$F,6,0),)</f>
        <v>0</v>
      </c>
      <c r="L373" s="38">
        <f>IFERROR(VLOOKUP(C:C,'[1]TOTAL APO'!$A:$B,2,0),)</f>
        <v>0</v>
      </c>
      <c r="M373" s="38">
        <f>IFERROR(VLOOKUP(A:A,[1]Short!$A:$Q,17,0),)</f>
        <v>0</v>
      </c>
      <c r="N373" s="38">
        <f>IFERROR(VLOOKUP(C:C,[1]GIT!$B:$D,3,0),)</f>
        <v>65</v>
      </c>
      <c r="O373" s="38">
        <f>IFERROR(VLOOKUP(A:A,[2]Sheet1!$A:$B,2,0),)</f>
        <v>0</v>
      </c>
      <c r="P373" s="38">
        <f>IFERROR(VLOOKUP(A:A,[2]Sheet1!$A:$B,2,0),)</f>
        <v>0</v>
      </c>
      <c r="Q373" s="38">
        <f t="shared" si="5"/>
        <v>20</v>
      </c>
      <c r="R373" s="38"/>
      <c r="S373" s="38"/>
    </row>
    <row r="374" spans="1:19" hidden="1" x14ac:dyDescent="0.25">
      <c r="A374" s="38" t="str">
        <f>F374&amp;C374</f>
        <v>C04240064685</v>
      </c>
      <c r="B374" s="38" t="str">
        <f>IF(J374&gt;=SUMIFS(E:E,C:C,C374),"Good to go","Short in Qty")</f>
        <v>Good to go</v>
      </c>
      <c r="C374" s="40">
        <v>40064685</v>
      </c>
      <c r="D374" s="40" t="s">
        <v>301</v>
      </c>
      <c r="E374" s="66">
        <v>14</v>
      </c>
      <c r="F374" s="38" t="s">
        <v>10</v>
      </c>
      <c r="G374" s="40" t="s">
        <v>467</v>
      </c>
      <c r="H374" s="38" t="s">
        <v>9</v>
      </c>
      <c r="I374" s="38" t="s">
        <v>530</v>
      </c>
      <c r="J374" s="38">
        <f>IFERROR(VLOOKUP(C:C,'[1]S&amp;S'!$B:$F,5,0),)</f>
        <v>850.73288888888897</v>
      </c>
      <c r="K374" s="38">
        <f>IFERROR(VLOOKUP(A:A,[1]APO!$A:$F,6,0),)</f>
        <v>0</v>
      </c>
      <c r="L374" s="38">
        <f>IFERROR(VLOOKUP(C:C,'[1]TOTAL APO'!$A:$B,2,0),)</f>
        <v>0</v>
      </c>
      <c r="M374" s="38">
        <f>IFERROR(VLOOKUP(A:A,[1]Short!$A:$Q,17,0),)</f>
        <v>0</v>
      </c>
      <c r="N374" s="38">
        <f>IFERROR(VLOOKUP(C:C,[1]GIT!$B:$D,3,0),)</f>
        <v>0</v>
      </c>
      <c r="O374" s="38">
        <f>IFERROR(VLOOKUP(A:A,[2]Sheet1!$A:$B,2,0),)</f>
        <v>14</v>
      </c>
      <c r="P374" s="38">
        <f>IFERROR(VLOOKUP(A:A,[2]Sheet1!$A:$B,2,0),)</f>
        <v>14</v>
      </c>
      <c r="Q374" s="38">
        <f t="shared" si="5"/>
        <v>0</v>
      </c>
      <c r="R374" s="38"/>
      <c r="S374" s="38"/>
    </row>
    <row r="375" spans="1:19" hidden="1" x14ac:dyDescent="0.25">
      <c r="A375" s="38" t="str">
        <f>F375&amp;C375</f>
        <v>C04340064688</v>
      </c>
      <c r="B375" s="38" t="str">
        <f>IF(J375&gt;=SUMIFS(E:E,C:C,C375),"Good to go","Short in Qty")</f>
        <v>Good to go</v>
      </c>
      <c r="C375" s="40">
        <v>40064688</v>
      </c>
      <c r="D375" s="40" t="s">
        <v>521</v>
      </c>
      <c r="E375" s="66">
        <v>14</v>
      </c>
      <c r="F375" s="38" t="s">
        <v>11</v>
      </c>
      <c r="G375" s="40" t="s">
        <v>467</v>
      </c>
      <c r="H375" s="38" t="s">
        <v>9</v>
      </c>
      <c r="I375" s="38" t="s">
        <v>530</v>
      </c>
      <c r="J375" s="38">
        <f>IFERROR(VLOOKUP(C:C,'[1]S&amp;S'!$B:$F,5,0),)</f>
        <v>5564</v>
      </c>
      <c r="K375" s="38">
        <f>IFERROR(VLOOKUP(A:A,[1]APO!$A:$F,6,0),)</f>
        <v>0</v>
      </c>
      <c r="L375" s="38">
        <f>IFERROR(VLOOKUP(C:C,'[1]TOTAL APO'!$A:$B,2,0),)</f>
        <v>0</v>
      </c>
      <c r="M375" s="38">
        <f>IFERROR(VLOOKUP(A:A,[1]Short!$A:$Q,17,0),)</f>
        <v>0</v>
      </c>
      <c r="N375" s="38">
        <f>IFERROR(VLOOKUP(C:C,[1]GIT!$B:$D,3,0),)</f>
        <v>0</v>
      </c>
      <c r="O375" s="38">
        <f>IFERROR(VLOOKUP(A:A,[2]Sheet1!$A:$B,2,0),)</f>
        <v>14</v>
      </c>
      <c r="P375" s="38">
        <f>IFERROR(VLOOKUP(A:A,[2]Sheet1!$A:$B,2,0),)</f>
        <v>14</v>
      </c>
      <c r="Q375" s="38">
        <f t="shared" si="5"/>
        <v>0</v>
      </c>
      <c r="R375" s="38"/>
      <c r="S375" s="38"/>
    </row>
    <row r="376" spans="1:19" x14ac:dyDescent="0.25">
      <c r="A376" s="38" t="str">
        <f>F376&amp;C376</f>
        <v>C04640064688</v>
      </c>
      <c r="B376" s="38" t="str">
        <f>IF(J376&gt;=SUMIFS(E:E,C:C,C376),"Good to go","Short in Qty")</f>
        <v>Good to go</v>
      </c>
      <c r="C376" s="40">
        <v>40064688</v>
      </c>
      <c r="D376" s="40" t="s">
        <v>521</v>
      </c>
      <c r="E376" s="66">
        <v>41</v>
      </c>
      <c r="F376" s="38" t="s">
        <v>13</v>
      </c>
      <c r="G376" s="40"/>
      <c r="H376" s="38" t="s">
        <v>9</v>
      </c>
      <c r="I376" s="38" t="s">
        <v>530</v>
      </c>
      <c r="J376" s="38">
        <f>IFERROR(VLOOKUP(C:C,'[1]S&amp;S'!$B:$F,5,0),)</f>
        <v>5564</v>
      </c>
      <c r="K376" s="38">
        <f>IFERROR(VLOOKUP(A:A,[1]APO!$A:$F,6,0),)</f>
        <v>0</v>
      </c>
      <c r="L376" s="38">
        <f>IFERROR(VLOOKUP(C:C,'[1]TOTAL APO'!$A:$B,2,0),)</f>
        <v>0</v>
      </c>
      <c r="M376" s="38">
        <f>IFERROR(VLOOKUP(A:A,[1]Short!$A:$Q,17,0),)</f>
        <v>0</v>
      </c>
      <c r="N376" s="38">
        <f>IFERROR(VLOOKUP(C:C,[1]GIT!$B:$D,3,0),)</f>
        <v>0</v>
      </c>
      <c r="O376" s="38">
        <f>IFERROR(VLOOKUP(A:A,[2]Sheet1!$A:$B,2,0),)</f>
        <v>0</v>
      </c>
      <c r="P376" s="38">
        <f>IFERROR(VLOOKUP(A:A,[2]Sheet1!$A:$B,2,0),)</f>
        <v>0</v>
      </c>
      <c r="Q376" s="38">
        <f t="shared" si="5"/>
        <v>41</v>
      </c>
      <c r="R376" s="38"/>
      <c r="S376" s="38"/>
    </row>
    <row r="377" spans="1:19" hidden="1" x14ac:dyDescent="0.25">
      <c r="A377" s="38" t="str">
        <f>F377&amp;C377</f>
        <v>C13240060030</v>
      </c>
      <c r="B377" s="38" t="str">
        <f>IF(J377&gt;=SUMIFS(E:E,C:C,C377),"Good to go","Short in Qty")</f>
        <v>Good to go</v>
      </c>
      <c r="C377" s="40">
        <v>40060030</v>
      </c>
      <c r="D377" s="40" t="s">
        <v>462</v>
      </c>
      <c r="E377" s="66">
        <v>100</v>
      </c>
      <c r="F377" s="38" t="s">
        <v>18</v>
      </c>
      <c r="G377" s="40"/>
      <c r="H377" s="38" t="s">
        <v>84</v>
      </c>
      <c r="I377" s="38" t="s">
        <v>620</v>
      </c>
      <c r="J377" s="38">
        <f>IFERROR(VLOOKUP(C:C,'[1]S&amp;S'!$B:$F,5,0),)</f>
        <v>2065</v>
      </c>
      <c r="K377" s="38">
        <f>IFERROR(VLOOKUP(A:A,[1]APO!$A:$F,6,0),)</f>
        <v>0</v>
      </c>
      <c r="L377" s="38">
        <f>IFERROR(VLOOKUP(C:C,'[1]TOTAL APO'!$A:$B,2,0),)</f>
        <v>0</v>
      </c>
      <c r="M377" s="38">
        <f>IFERROR(VLOOKUP(A:A,[1]Short!$A:$Q,17,0),)</f>
        <v>0</v>
      </c>
      <c r="N377" s="38">
        <f>IFERROR(VLOOKUP(C:C,[1]GIT!$B:$D,3,0),)</f>
        <v>0</v>
      </c>
      <c r="O377" s="38">
        <f>IFERROR(VLOOKUP(A:A,[2]Sheet1!$A:$B,2,0),)</f>
        <v>0</v>
      </c>
      <c r="P377" s="38">
        <f>IFERROR(VLOOKUP(A:A,[2]Sheet1!$A:$B,2,0),)</f>
        <v>0</v>
      </c>
      <c r="Q377" s="38">
        <f t="shared" si="5"/>
        <v>100</v>
      </c>
      <c r="R377" s="38"/>
      <c r="S377" s="38"/>
    </row>
    <row r="378" spans="1:19" hidden="1" x14ac:dyDescent="0.25">
      <c r="A378" s="38" t="str">
        <f>F378&amp;C378</f>
        <v>C04440049729</v>
      </c>
      <c r="B378" s="38" t="str">
        <f>IF(J378&gt;=SUMIFS(E:E,C:C,C378),"Good to go","Short in Qty")</f>
        <v>Good to go</v>
      </c>
      <c r="C378" s="40">
        <v>40049729</v>
      </c>
      <c r="D378" s="40" t="s">
        <v>606</v>
      </c>
      <c r="E378" s="66">
        <v>65</v>
      </c>
      <c r="F378" s="38" t="s">
        <v>191</v>
      </c>
      <c r="G378" s="40" t="s">
        <v>467</v>
      </c>
      <c r="H378" s="38" t="s">
        <v>84</v>
      </c>
      <c r="I378" s="38" t="s">
        <v>620</v>
      </c>
      <c r="J378" s="38">
        <f>IFERROR(VLOOKUP(C:C,'[1]S&amp;S'!$B:$F,5,0),)</f>
        <v>1831</v>
      </c>
      <c r="K378" s="38">
        <f>IFERROR(VLOOKUP(A:A,[1]APO!$A:$F,6,0),)</f>
        <v>0</v>
      </c>
      <c r="L378" s="38">
        <f>IFERROR(VLOOKUP(C:C,'[1]TOTAL APO'!$A:$B,2,0),)</f>
        <v>0</v>
      </c>
      <c r="M378" s="38">
        <f>IFERROR(VLOOKUP(A:A,[1]Short!$A:$Q,17,0),)</f>
        <v>0</v>
      </c>
      <c r="N378" s="38">
        <f>IFERROR(VLOOKUP(C:C,[1]GIT!$B:$D,3,0),)</f>
        <v>0</v>
      </c>
      <c r="O378" s="38">
        <f>IFERROR(VLOOKUP(A:A,[2]Sheet1!$A:$B,2,0),)</f>
        <v>65</v>
      </c>
      <c r="P378" s="38">
        <f>IFERROR(VLOOKUP(A:A,[2]Sheet1!$A:$B,2,0),)</f>
        <v>65</v>
      </c>
      <c r="Q378" s="38">
        <f t="shared" si="5"/>
        <v>0</v>
      </c>
      <c r="R378" s="38"/>
      <c r="S378" s="38"/>
    </row>
    <row r="379" spans="1:19" hidden="1" x14ac:dyDescent="0.25">
      <c r="A379" s="38" t="str">
        <f>F379&amp;C379</f>
        <v>C04340060029</v>
      </c>
      <c r="B379" s="38" t="str">
        <f>IF(J379&gt;=SUMIFS(E:E,C:C,C379),"Good to go","Short in Qty")</f>
        <v>Good to go</v>
      </c>
      <c r="C379" s="40">
        <v>40060029</v>
      </c>
      <c r="D379" s="40" t="s">
        <v>508</v>
      </c>
      <c r="E379" s="66">
        <v>12</v>
      </c>
      <c r="F379" s="38" t="s">
        <v>11</v>
      </c>
      <c r="G379" s="40" t="s">
        <v>467</v>
      </c>
      <c r="H379" s="38" t="s">
        <v>84</v>
      </c>
      <c r="I379" s="38" t="s">
        <v>620</v>
      </c>
      <c r="J379" s="38">
        <f>IFERROR(VLOOKUP(C:C,'[1]S&amp;S'!$B:$F,5,0),)</f>
        <v>1528</v>
      </c>
      <c r="K379" s="38">
        <f>IFERROR(VLOOKUP(A:A,[1]APO!$A:$F,6,0),)</f>
        <v>0</v>
      </c>
      <c r="L379" s="38">
        <f>IFERROR(VLOOKUP(C:C,'[1]TOTAL APO'!$A:$B,2,0),)</f>
        <v>0</v>
      </c>
      <c r="M379" s="38">
        <f>IFERROR(VLOOKUP(A:A,[1]Short!$A:$Q,17,0),)</f>
        <v>0</v>
      </c>
      <c r="N379" s="38">
        <f>IFERROR(VLOOKUP(C:C,[1]GIT!$B:$D,3,0),)</f>
        <v>0</v>
      </c>
      <c r="O379" s="38">
        <f>IFERROR(VLOOKUP(A:A,[2]Sheet1!$A:$B,2,0),)</f>
        <v>12</v>
      </c>
      <c r="P379" s="38">
        <f>IFERROR(VLOOKUP(A:A,[2]Sheet1!$A:$B,2,0),)</f>
        <v>12</v>
      </c>
      <c r="Q379" s="38">
        <f t="shared" si="5"/>
        <v>0</v>
      </c>
      <c r="R379" s="38"/>
      <c r="S379" s="38"/>
    </row>
    <row r="380" spans="1:19" hidden="1" x14ac:dyDescent="0.25">
      <c r="A380" s="38" t="str">
        <f>F380&amp;C380</f>
        <v>C04240060034</v>
      </c>
      <c r="B380" s="38" t="str">
        <f>IF(J380&gt;=SUMIFS(E:E,C:C,C380),"Good to go","Short in Qty")</f>
        <v>Short in Qty</v>
      </c>
      <c r="C380" s="40">
        <v>40060034</v>
      </c>
      <c r="D380" s="40" t="s">
        <v>463</v>
      </c>
      <c r="E380" s="66">
        <v>79</v>
      </c>
      <c r="F380" s="38" t="s">
        <v>10</v>
      </c>
      <c r="G380" s="40" t="s">
        <v>467</v>
      </c>
      <c r="H380" s="38" t="s">
        <v>9</v>
      </c>
      <c r="I380" s="38" t="s">
        <v>530</v>
      </c>
      <c r="J380" s="38">
        <f>IFERROR(VLOOKUP(C:C,'[1]S&amp;S'!$B:$F,5,0),)</f>
        <v>679.33333333333303</v>
      </c>
      <c r="K380" s="38">
        <f>IFERROR(VLOOKUP(A:A,[1]APO!$A:$F,6,0),)</f>
        <v>0</v>
      </c>
      <c r="L380" s="38">
        <f>IFERROR(VLOOKUP(C:C,'[1]TOTAL APO'!$A:$B,2,0),)</f>
        <v>0</v>
      </c>
      <c r="M380" s="38">
        <f>IFERROR(VLOOKUP(A:A,[1]Short!$A:$Q,17,0),)</f>
        <v>0</v>
      </c>
      <c r="N380" s="38">
        <f>IFERROR(VLOOKUP(C:C,[1]GIT!$B:$D,3,0),)</f>
        <v>0</v>
      </c>
      <c r="O380" s="38">
        <f>IFERROR(VLOOKUP(A:A,[2]Sheet1!$A:$B,2,0),)</f>
        <v>79</v>
      </c>
      <c r="P380" s="38">
        <f>IFERROR(VLOOKUP(A:A,[2]Sheet1!$A:$B,2,0),)</f>
        <v>79</v>
      </c>
      <c r="Q380" s="38">
        <f t="shared" si="5"/>
        <v>0</v>
      </c>
      <c r="R380" s="38"/>
      <c r="S380" s="38"/>
    </row>
    <row r="381" spans="1:19" x14ac:dyDescent="0.25">
      <c r="A381" s="38" t="str">
        <f>F381&amp;C381</f>
        <v>C04840065338</v>
      </c>
      <c r="B381" s="38" t="str">
        <f>IF(J381&gt;=SUMIFS(E:E,C:C,C381),"Good to go","Short in Qty")</f>
        <v>Good to go</v>
      </c>
      <c r="C381" s="40">
        <v>40065338</v>
      </c>
      <c r="D381" s="40" t="s">
        <v>520</v>
      </c>
      <c r="E381" s="67">
        <v>100</v>
      </c>
      <c r="F381" s="38" t="s">
        <v>8</v>
      </c>
      <c r="G381" s="73">
        <v>7</v>
      </c>
      <c r="H381" s="38" t="s">
        <v>9</v>
      </c>
      <c r="I381" s="38" t="s">
        <v>530</v>
      </c>
      <c r="J381" s="38">
        <f>IFERROR(VLOOKUP(C:C,'[1]S&amp;S'!$B:$F,5,0),)</f>
        <v>2550</v>
      </c>
      <c r="K381" s="38">
        <f>IFERROR(VLOOKUP(A:A,[1]APO!$A:$F,6,0),)</f>
        <v>0</v>
      </c>
      <c r="L381" s="38">
        <f>IFERROR(VLOOKUP(C:C,'[1]TOTAL APO'!$A:$B,2,0),)</f>
        <v>0</v>
      </c>
      <c r="M381" s="38">
        <f>IFERROR(VLOOKUP(A:A,[1]Short!$A:$Q,17,0),)</f>
        <v>0</v>
      </c>
      <c r="N381" s="38">
        <f>IFERROR(VLOOKUP(C:C,[1]GIT!$B:$D,3,0),)</f>
        <v>0</v>
      </c>
      <c r="O381" s="38">
        <f>IFERROR(VLOOKUP(A:A,[2]Sheet1!$A:$B,2,0),)</f>
        <v>7</v>
      </c>
      <c r="P381" s="38">
        <f>IFERROR(VLOOKUP(A:A,[2]Sheet1!$A:$B,2,0),)</f>
        <v>7</v>
      </c>
      <c r="Q381" s="38">
        <f t="shared" si="5"/>
        <v>93</v>
      </c>
      <c r="R381" s="38"/>
      <c r="S381" s="38"/>
    </row>
    <row r="382" spans="1:19" x14ac:dyDescent="0.25">
      <c r="A382" s="38" t="str">
        <f>F382&amp;C382</f>
        <v>C04440065917</v>
      </c>
      <c r="B382" s="38" t="str">
        <f>IF(J382&gt;=SUMIFS(E:E,C:C,C382),"Good to go","Short in Qty")</f>
        <v>Short in Qty</v>
      </c>
      <c r="C382" s="40">
        <v>40065917</v>
      </c>
      <c r="D382" s="40" t="s">
        <v>290</v>
      </c>
      <c r="E382" s="67">
        <v>150</v>
      </c>
      <c r="F382" s="38" t="s">
        <v>191</v>
      </c>
      <c r="G382" s="40" t="s">
        <v>269</v>
      </c>
      <c r="H382" s="38" t="s">
        <v>9</v>
      </c>
      <c r="I382" s="38" t="s">
        <v>530</v>
      </c>
      <c r="J382" s="38">
        <f>IFERROR(VLOOKUP(C:C,'[1]S&amp;S'!$B:$F,5,0),)</f>
        <v>368</v>
      </c>
      <c r="K382" s="38">
        <f>IFERROR(VLOOKUP(A:A,[1]APO!$A:$F,6,0),)</f>
        <v>0</v>
      </c>
      <c r="L382" s="38">
        <f>IFERROR(VLOOKUP(C:C,'[1]TOTAL APO'!$A:$B,2,0),)</f>
        <v>0</v>
      </c>
      <c r="M382" s="38">
        <f>IFERROR(VLOOKUP(A:A,[1]Short!$A:$Q,17,0),)</f>
        <v>0</v>
      </c>
      <c r="N382" s="38">
        <f>IFERROR(VLOOKUP(C:C,[1]GIT!$B:$D,3,0),)</f>
        <v>0</v>
      </c>
      <c r="O382" s="38">
        <f>IFERROR(VLOOKUP(A:A,[2]Sheet1!$A:$B,2,0),)</f>
        <v>0</v>
      </c>
      <c r="P382" s="38">
        <f>IFERROR(VLOOKUP(A:A,[2]Sheet1!$A:$B,2,0),)</f>
        <v>0</v>
      </c>
      <c r="Q382" s="38">
        <f t="shared" si="5"/>
        <v>150</v>
      </c>
      <c r="R382" s="38"/>
      <c r="S382" s="38"/>
    </row>
    <row r="383" spans="1:19" hidden="1" x14ac:dyDescent="0.25">
      <c r="A383" s="38" t="str">
        <f>F383&amp;C383</f>
        <v>C04840063573</v>
      </c>
      <c r="B383" s="38" t="str">
        <f>IF(J383&gt;=SUMIFS(E:E,C:C,C383),"Good to go","Short in Qty")</f>
        <v>Good to go</v>
      </c>
      <c r="C383" s="40">
        <v>40063573</v>
      </c>
      <c r="D383" s="40" t="s">
        <v>619</v>
      </c>
      <c r="E383" s="66">
        <v>3</v>
      </c>
      <c r="F383" s="38" t="s">
        <v>8</v>
      </c>
      <c r="G383" s="73" t="s">
        <v>467</v>
      </c>
      <c r="H383" s="38" t="s">
        <v>84</v>
      </c>
      <c r="I383" s="38" t="s">
        <v>620</v>
      </c>
      <c r="J383" s="38">
        <f>IFERROR(VLOOKUP(C:C,'[1]S&amp;S'!$B:$F,5,0),)</f>
        <v>41</v>
      </c>
      <c r="K383" s="38">
        <f>IFERROR(VLOOKUP(A:A,[1]APO!$A:$F,6,0),)</f>
        <v>0</v>
      </c>
      <c r="L383" s="38">
        <f>IFERROR(VLOOKUP(C:C,'[1]TOTAL APO'!$A:$B,2,0),)</f>
        <v>0</v>
      </c>
      <c r="M383" s="38">
        <f>IFERROR(VLOOKUP(A:A,[1]Short!$A:$Q,17,0),)</f>
        <v>0</v>
      </c>
      <c r="N383" s="38">
        <f>IFERROR(VLOOKUP(C:C,[1]GIT!$B:$D,3,0),)</f>
        <v>0</v>
      </c>
      <c r="O383" s="38">
        <f>IFERROR(VLOOKUP(A:A,[2]Sheet1!$A:$B,2,0),)</f>
        <v>3</v>
      </c>
      <c r="P383" s="38">
        <f>IFERROR(VLOOKUP(A:A,[2]Sheet1!$A:$B,2,0),)</f>
        <v>3</v>
      </c>
      <c r="Q383" s="38">
        <f t="shared" si="5"/>
        <v>0</v>
      </c>
      <c r="R383" s="38"/>
      <c r="S383" s="38"/>
    </row>
    <row r="384" spans="1:19" hidden="1" x14ac:dyDescent="0.25">
      <c r="A384" s="38" t="str">
        <f>F384&amp;C384</f>
        <v>C04340060030</v>
      </c>
      <c r="B384" s="38" t="str">
        <f>IF(J384&gt;=SUMIFS(E:E,C:C,C384),"Good to go","Short in Qty")</f>
        <v>Good to go</v>
      </c>
      <c r="C384" s="40">
        <v>40060030</v>
      </c>
      <c r="D384" s="40" t="s">
        <v>462</v>
      </c>
      <c r="E384" s="66">
        <v>100</v>
      </c>
      <c r="F384" s="38" t="s">
        <v>11</v>
      </c>
      <c r="G384" s="40" t="s">
        <v>467</v>
      </c>
      <c r="H384" s="38" t="s">
        <v>84</v>
      </c>
      <c r="I384" s="38" t="s">
        <v>620</v>
      </c>
      <c r="J384" s="38">
        <f>IFERROR(VLOOKUP(C:C,'[1]S&amp;S'!$B:$F,5,0),)</f>
        <v>2065</v>
      </c>
      <c r="K384" s="38">
        <f>IFERROR(VLOOKUP(A:A,[1]APO!$A:$F,6,0),)</f>
        <v>0</v>
      </c>
      <c r="L384" s="38">
        <f>IFERROR(VLOOKUP(C:C,'[1]TOTAL APO'!$A:$B,2,0),)</f>
        <v>0</v>
      </c>
      <c r="M384" s="38">
        <f>IFERROR(VLOOKUP(A:A,[1]Short!$A:$Q,17,0),)</f>
        <v>0</v>
      </c>
      <c r="N384" s="38">
        <f>IFERROR(VLOOKUP(C:C,[1]GIT!$B:$D,3,0),)</f>
        <v>0</v>
      </c>
      <c r="O384" s="38">
        <f>IFERROR(VLOOKUP(A:A,[2]Sheet1!$A:$B,2,0),)</f>
        <v>100</v>
      </c>
      <c r="P384" s="38">
        <f>IFERROR(VLOOKUP(A:A,[2]Sheet1!$A:$B,2,0),)</f>
        <v>100</v>
      </c>
      <c r="Q384" s="38">
        <f t="shared" si="5"/>
        <v>0</v>
      </c>
      <c r="R384" s="38"/>
      <c r="S384" s="38"/>
    </row>
    <row r="385" spans="1:19" hidden="1" x14ac:dyDescent="0.25">
      <c r="A385" s="38" t="str">
        <f>F385&amp;C385</f>
        <v>C04240064688</v>
      </c>
      <c r="B385" s="38" t="str">
        <f>IF(J385&gt;=SUMIFS(E:E,C:C,C385),"Good to go","Short in Qty")</f>
        <v>Good to go</v>
      </c>
      <c r="C385" s="40">
        <v>40064688</v>
      </c>
      <c r="D385" s="40" t="s">
        <v>521</v>
      </c>
      <c r="E385" s="66">
        <v>154</v>
      </c>
      <c r="F385" s="38" t="s">
        <v>10</v>
      </c>
      <c r="G385" s="40" t="s">
        <v>467</v>
      </c>
      <c r="H385" s="38" t="s">
        <v>9</v>
      </c>
      <c r="I385" s="38" t="s">
        <v>530</v>
      </c>
      <c r="J385" s="38">
        <f>IFERROR(VLOOKUP(C:C,'[1]S&amp;S'!$B:$F,5,0),)</f>
        <v>5564</v>
      </c>
      <c r="K385" s="38">
        <f>IFERROR(VLOOKUP(A:A,[1]APO!$A:$F,6,0),)</f>
        <v>0</v>
      </c>
      <c r="L385" s="38">
        <f>IFERROR(VLOOKUP(C:C,'[1]TOTAL APO'!$A:$B,2,0),)</f>
        <v>0</v>
      </c>
      <c r="M385" s="38">
        <f>IFERROR(VLOOKUP(A:A,[1]Short!$A:$Q,17,0),)</f>
        <v>0</v>
      </c>
      <c r="N385" s="38">
        <f>IFERROR(VLOOKUP(C:C,[1]GIT!$B:$D,3,0),)</f>
        <v>0</v>
      </c>
      <c r="O385" s="38">
        <f>IFERROR(VLOOKUP(A:A,[2]Sheet1!$A:$B,2,0),)</f>
        <v>154</v>
      </c>
      <c r="P385" s="38">
        <f>IFERROR(VLOOKUP(A:A,[2]Sheet1!$A:$B,2,0),)</f>
        <v>154</v>
      </c>
      <c r="Q385" s="38">
        <f t="shared" si="5"/>
        <v>0</v>
      </c>
      <c r="R385" s="38"/>
      <c r="S385" s="38"/>
    </row>
    <row r="386" spans="1:19" hidden="1" x14ac:dyDescent="0.25">
      <c r="A386" s="38" t="str">
        <f>F386&amp;C386</f>
        <v>C04340065274</v>
      </c>
      <c r="B386" s="38" t="str">
        <f>IF(J386&gt;=SUMIFS(E:E,C:C,C386),"Good to go","Short in Qty")</f>
        <v>Good to go</v>
      </c>
      <c r="C386" s="40">
        <v>40065274</v>
      </c>
      <c r="D386" s="40" t="s">
        <v>288</v>
      </c>
      <c r="E386" s="66">
        <v>53</v>
      </c>
      <c r="F386" s="38" t="s">
        <v>11</v>
      </c>
      <c r="G386" s="40" t="s">
        <v>467</v>
      </c>
      <c r="H386" s="38" t="s">
        <v>9</v>
      </c>
      <c r="I386" s="38" t="s">
        <v>530</v>
      </c>
      <c r="J386" s="38">
        <f>IFERROR(VLOOKUP(C:C,'[1]S&amp;S'!$B:$F,5,0),)</f>
        <v>313</v>
      </c>
      <c r="K386" s="38">
        <f>IFERROR(VLOOKUP(A:A,[1]APO!$A:$F,6,0),)</f>
        <v>0</v>
      </c>
      <c r="L386" s="38">
        <f>IFERROR(VLOOKUP(C:C,'[1]TOTAL APO'!$A:$B,2,0),)</f>
        <v>0</v>
      </c>
      <c r="M386" s="38">
        <f>IFERROR(VLOOKUP(A:A,[1]Short!$A:$Q,17,0),)</f>
        <v>0</v>
      </c>
      <c r="N386" s="38">
        <f>IFERROR(VLOOKUP(C:C,[1]GIT!$B:$D,3,0),)</f>
        <v>0</v>
      </c>
      <c r="O386" s="38">
        <f>IFERROR(VLOOKUP(A:A,[2]Sheet1!$A:$B,2,0),)</f>
        <v>53</v>
      </c>
      <c r="P386" s="38">
        <f>IFERROR(VLOOKUP(A:A,[2]Sheet1!$A:$B,2,0),)</f>
        <v>53</v>
      </c>
      <c r="Q386" s="38">
        <f t="shared" si="5"/>
        <v>0</v>
      </c>
      <c r="R386" s="38"/>
      <c r="S386" s="38"/>
    </row>
    <row r="387" spans="1:19" x14ac:dyDescent="0.25">
      <c r="A387" s="38" t="str">
        <f>F387&amp;C387</f>
        <v>C04640065273</v>
      </c>
      <c r="B387" s="38" t="str">
        <f>IF(J387&gt;=SUMIFS(E:E,C:C,C387),"Good to go","Short in Qty")</f>
        <v>Good to go</v>
      </c>
      <c r="C387" s="40">
        <v>40065273</v>
      </c>
      <c r="D387" s="40" t="s">
        <v>262</v>
      </c>
      <c r="E387" s="66">
        <v>13</v>
      </c>
      <c r="F387" s="38" t="s">
        <v>13</v>
      </c>
      <c r="G387" s="40"/>
      <c r="H387" s="38" t="s">
        <v>9</v>
      </c>
      <c r="I387" s="38" t="s">
        <v>530</v>
      </c>
      <c r="J387" s="38">
        <f>IFERROR(VLOOKUP(C:C,'[1]S&amp;S'!$B:$F,5,0),)</f>
        <v>138</v>
      </c>
      <c r="K387" s="38">
        <f>IFERROR(VLOOKUP(A:A,[1]APO!$A:$F,6,0),)</f>
        <v>0</v>
      </c>
      <c r="L387" s="38">
        <f>IFERROR(VLOOKUP(C:C,'[1]TOTAL APO'!$A:$B,2,0),)</f>
        <v>0</v>
      </c>
      <c r="M387" s="38">
        <f>IFERROR(VLOOKUP(A:A,[1]Short!$A:$Q,17,0),)</f>
        <v>0</v>
      </c>
      <c r="N387" s="38">
        <f>IFERROR(VLOOKUP(C:C,[1]GIT!$B:$D,3,0),)</f>
        <v>0</v>
      </c>
      <c r="O387" s="38">
        <f>IFERROR(VLOOKUP(A:A,[2]Sheet1!$A:$B,2,0),)</f>
        <v>0</v>
      </c>
      <c r="P387" s="38">
        <f>IFERROR(VLOOKUP(A:A,[2]Sheet1!$A:$B,2,0),)</f>
        <v>0</v>
      </c>
      <c r="Q387" s="38">
        <f t="shared" ref="Q387:Q450" si="6">+E387-P387</f>
        <v>13</v>
      </c>
      <c r="R387" s="38"/>
      <c r="S387" s="38"/>
    </row>
    <row r="388" spans="1:19" hidden="1" x14ac:dyDescent="0.25">
      <c r="A388" s="38" t="str">
        <f>F388&amp;C388</f>
        <v>C04240064913</v>
      </c>
      <c r="B388" s="38" t="str">
        <f>IF(J388&gt;=SUMIFS(E:E,C:C,C388),"Good to go","Short in Qty")</f>
        <v>Good to go</v>
      </c>
      <c r="C388" s="40">
        <v>40064913</v>
      </c>
      <c r="D388" s="40" t="s">
        <v>303</v>
      </c>
      <c r="E388" s="66">
        <v>6</v>
      </c>
      <c r="F388" s="38" t="s">
        <v>10</v>
      </c>
      <c r="G388" s="40" t="s">
        <v>467</v>
      </c>
      <c r="H388" s="38" t="s">
        <v>9</v>
      </c>
      <c r="I388" s="38" t="s">
        <v>530</v>
      </c>
      <c r="J388" s="38">
        <f>IFERROR(VLOOKUP(C:C,'[1]S&amp;S'!$B:$F,5,0),)</f>
        <v>665</v>
      </c>
      <c r="K388" s="38">
        <f>IFERROR(VLOOKUP(A:A,[1]APO!$A:$F,6,0),)</f>
        <v>0</v>
      </c>
      <c r="L388" s="38">
        <f>IFERROR(VLOOKUP(C:C,'[1]TOTAL APO'!$A:$B,2,0),)</f>
        <v>0</v>
      </c>
      <c r="M388" s="38">
        <f>IFERROR(VLOOKUP(A:A,[1]Short!$A:$Q,17,0),)</f>
        <v>0</v>
      </c>
      <c r="N388" s="38">
        <f>IFERROR(VLOOKUP(C:C,[1]GIT!$B:$D,3,0),)</f>
        <v>0</v>
      </c>
      <c r="O388" s="38">
        <f>IFERROR(VLOOKUP(A:A,[2]Sheet1!$A:$B,2,0),)</f>
        <v>6</v>
      </c>
      <c r="P388" s="38">
        <f>IFERROR(VLOOKUP(A:A,[2]Sheet1!$A:$B,2,0),)</f>
        <v>6</v>
      </c>
      <c r="Q388" s="38">
        <f t="shared" si="6"/>
        <v>0</v>
      </c>
      <c r="R388" s="38"/>
      <c r="S388" s="38"/>
    </row>
    <row r="389" spans="1:19" hidden="1" x14ac:dyDescent="0.25">
      <c r="A389" s="38" t="str">
        <f>F389&amp;C389</f>
        <v>C04440050728</v>
      </c>
      <c r="B389" s="38" t="str">
        <f>IF(J389&gt;=SUMIFS(E:E,C:C,C389),"Good to go","Short in Qty")</f>
        <v>Good to go</v>
      </c>
      <c r="C389" s="40">
        <v>40050728</v>
      </c>
      <c r="D389" s="40" t="s">
        <v>214</v>
      </c>
      <c r="E389" s="66">
        <v>30</v>
      </c>
      <c r="F389" s="38" t="s">
        <v>191</v>
      </c>
      <c r="G389" s="40" t="s">
        <v>467</v>
      </c>
      <c r="H389" s="38" t="s">
        <v>84</v>
      </c>
      <c r="I389" s="38" t="s">
        <v>620</v>
      </c>
      <c r="J389" s="38">
        <f>IFERROR(VLOOKUP(C:C,'[1]S&amp;S'!$B:$F,5,0),)</f>
        <v>2141</v>
      </c>
      <c r="K389" s="38">
        <f>IFERROR(VLOOKUP(A:A,[1]APO!$A:$F,6,0),)</f>
        <v>0</v>
      </c>
      <c r="L389" s="38">
        <f>IFERROR(VLOOKUP(C:C,'[1]TOTAL APO'!$A:$B,2,0),)</f>
        <v>0</v>
      </c>
      <c r="M389" s="38">
        <f>IFERROR(VLOOKUP(A:A,[1]Short!$A:$Q,17,0),)</f>
        <v>0</v>
      </c>
      <c r="N389" s="38">
        <f>IFERROR(VLOOKUP(C:C,[1]GIT!$B:$D,3,0),)</f>
        <v>0</v>
      </c>
      <c r="O389" s="38">
        <f>IFERROR(VLOOKUP(A:A,[2]Sheet1!$A:$B,2,0),)</f>
        <v>30</v>
      </c>
      <c r="P389" s="38">
        <f>IFERROR(VLOOKUP(A:A,[2]Sheet1!$A:$B,2,0),)</f>
        <v>30</v>
      </c>
      <c r="Q389" s="38">
        <f t="shared" si="6"/>
        <v>0</v>
      </c>
      <c r="R389" s="38"/>
      <c r="S389" s="38"/>
    </row>
    <row r="390" spans="1:19" hidden="1" x14ac:dyDescent="0.25">
      <c r="A390" s="38" t="str">
        <f>F390&amp;C390</f>
        <v>C04640060034</v>
      </c>
      <c r="B390" s="38" t="str">
        <f>IF(J390&gt;=SUMIFS(E:E,C:C,C390),"Good to go","Short in Qty")</f>
        <v>Short in Qty</v>
      </c>
      <c r="C390" s="40">
        <v>40060034</v>
      </c>
      <c r="D390" s="40" t="s">
        <v>463</v>
      </c>
      <c r="E390" s="66">
        <v>80</v>
      </c>
      <c r="F390" s="38" t="s">
        <v>13</v>
      </c>
      <c r="G390" s="40"/>
      <c r="H390" s="38" t="s">
        <v>84</v>
      </c>
      <c r="I390" s="38" t="s">
        <v>620</v>
      </c>
      <c r="J390" s="38">
        <f>IFERROR(VLOOKUP(C:C,'[1]S&amp;S'!$B:$F,5,0),)</f>
        <v>679.33333333333303</v>
      </c>
      <c r="K390" s="38">
        <f>IFERROR(VLOOKUP(A:A,[1]APO!$A:$F,6,0),)</f>
        <v>0</v>
      </c>
      <c r="L390" s="38">
        <f>IFERROR(VLOOKUP(C:C,'[1]TOTAL APO'!$A:$B,2,0),)</f>
        <v>0</v>
      </c>
      <c r="M390" s="38">
        <f>IFERROR(VLOOKUP(A:A,[1]Short!$A:$Q,17,0),)</f>
        <v>0</v>
      </c>
      <c r="N390" s="38">
        <f>IFERROR(VLOOKUP(C:C,[1]GIT!$B:$D,3,0),)</f>
        <v>0</v>
      </c>
      <c r="O390" s="38">
        <f>IFERROR(VLOOKUP(A:A,[2]Sheet1!$A:$B,2,0),)</f>
        <v>0</v>
      </c>
      <c r="P390" s="38">
        <f>IFERROR(VLOOKUP(A:A,[2]Sheet1!$A:$B,2,0),)</f>
        <v>0</v>
      </c>
      <c r="Q390" s="38">
        <f t="shared" si="6"/>
        <v>80</v>
      </c>
      <c r="R390" s="38"/>
      <c r="S390" s="38"/>
    </row>
    <row r="391" spans="1:19" hidden="1" x14ac:dyDescent="0.25">
      <c r="A391" s="38" t="str">
        <f>F391&amp;C391</f>
        <v>C04840065352</v>
      </c>
      <c r="B391" s="38" t="str">
        <f>IF(J391&gt;=SUMIFS(E:E,C:C,C391),"Good to go","Short in Qty")</f>
        <v>Good to go</v>
      </c>
      <c r="C391" s="40">
        <v>40065352</v>
      </c>
      <c r="D391" s="40" t="s">
        <v>546</v>
      </c>
      <c r="E391" s="66">
        <v>9</v>
      </c>
      <c r="F391" s="38" t="s">
        <v>8</v>
      </c>
      <c r="G391" s="73" t="s">
        <v>467</v>
      </c>
      <c r="H391" s="38" t="s">
        <v>84</v>
      </c>
      <c r="I391" s="38" t="s">
        <v>620</v>
      </c>
      <c r="J391" s="38">
        <f>IFERROR(VLOOKUP(C:C,'[1]S&amp;S'!$B:$F,5,0),)</f>
        <v>707</v>
      </c>
      <c r="K391" s="38">
        <f>IFERROR(VLOOKUP(A:A,[1]APO!$A:$F,6,0),)</f>
        <v>0</v>
      </c>
      <c r="L391" s="38">
        <f>IFERROR(VLOOKUP(C:C,'[1]TOTAL APO'!$A:$B,2,0),)</f>
        <v>0</v>
      </c>
      <c r="M391" s="38">
        <f>IFERROR(VLOOKUP(A:A,[1]Short!$A:$Q,17,0),)</f>
        <v>0</v>
      </c>
      <c r="N391" s="38">
        <f>IFERROR(VLOOKUP(C:C,[1]GIT!$B:$D,3,0),)</f>
        <v>0</v>
      </c>
      <c r="O391" s="38">
        <f>IFERROR(VLOOKUP(A:A,[2]Sheet1!$A:$B,2,0),)</f>
        <v>9</v>
      </c>
      <c r="P391" s="38">
        <f>IFERROR(VLOOKUP(A:A,[2]Sheet1!$A:$B,2,0),)</f>
        <v>9</v>
      </c>
      <c r="Q391" s="38">
        <f t="shared" si="6"/>
        <v>0</v>
      </c>
      <c r="R391" s="38"/>
      <c r="S391" s="38"/>
    </row>
    <row r="392" spans="1:19" hidden="1" x14ac:dyDescent="0.25">
      <c r="A392" s="38" t="str">
        <f>F392&amp;C392</f>
        <v>C04740060034</v>
      </c>
      <c r="B392" s="38" t="str">
        <f>IF(J392&gt;=SUMIFS(E:E,C:C,C392),"Good to go","Short in Qty")</f>
        <v>Short in Qty</v>
      </c>
      <c r="C392" s="40">
        <v>40060034</v>
      </c>
      <c r="D392" s="40" t="s">
        <v>463</v>
      </c>
      <c r="E392" s="66">
        <v>20</v>
      </c>
      <c r="F392" s="38" t="s">
        <v>192</v>
      </c>
      <c r="G392" s="40"/>
      <c r="H392" s="38" t="s">
        <v>84</v>
      </c>
      <c r="I392" s="38" t="s">
        <v>620</v>
      </c>
      <c r="J392" s="38">
        <f>IFERROR(VLOOKUP(C:C,'[1]S&amp;S'!$B:$F,5,0),)</f>
        <v>679.33333333333303</v>
      </c>
      <c r="K392" s="38">
        <f>IFERROR(VLOOKUP(A:A,[1]APO!$A:$F,6,0),)</f>
        <v>0</v>
      </c>
      <c r="L392" s="38">
        <f>IFERROR(VLOOKUP(C:C,'[1]TOTAL APO'!$A:$B,2,0),)</f>
        <v>0</v>
      </c>
      <c r="M392" s="38">
        <f>IFERROR(VLOOKUP(A:A,[1]Short!$A:$Q,17,0),)</f>
        <v>0</v>
      </c>
      <c r="N392" s="38">
        <f>IFERROR(VLOOKUP(C:C,[1]GIT!$B:$D,3,0),)</f>
        <v>0</v>
      </c>
      <c r="O392" s="38">
        <f>IFERROR(VLOOKUP(A:A,[2]Sheet1!$A:$B,2,0),)</f>
        <v>0</v>
      </c>
      <c r="P392" s="38">
        <f>IFERROR(VLOOKUP(A:A,[2]Sheet1!$A:$B,2,0),)</f>
        <v>0</v>
      </c>
      <c r="Q392" s="38">
        <f t="shared" si="6"/>
        <v>20</v>
      </c>
      <c r="R392" s="38"/>
      <c r="S392" s="38"/>
    </row>
    <row r="393" spans="1:19" hidden="1" x14ac:dyDescent="0.25">
      <c r="A393" s="38" t="str">
        <f>F393&amp;C393</f>
        <v>C04840065915</v>
      </c>
      <c r="B393" s="38" t="str">
        <f>IF(J393&gt;=SUMIFS(E:E,C:C,C393),"Good to go","Short in Qty")</f>
        <v>Good to go</v>
      </c>
      <c r="C393" s="40">
        <v>40065915</v>
      </c>
      <c r="D393" s="40" t="s">
        <v>292</v>
      </c>
      <c r="E393" s="66">
        <v>157</v>
      </c>
      <c r="F393" s="38" t="s">
        <v>8</v>
      </c>
      <c r="G393" s="40" t="s">
        <v>467</v>
      </c>
      <c r="H393" s="38" t="s">
        <v>9</v>
      </c>
      <c r="I393" s="38" t="s">
        <v>530</v>
      </c>
      <c r="J393" s="38">
        <f>IFERROR(VLOOKUP(C:C,'[1]S&amp;S'!$B:$F,5,0),)</f>
        <v>195</v>
      </c>
      <c r="K393" s="38">
        <f>IFERROR(VLOOKUP(A:A,[1]APO!$A:$F,6,0),)</f>
        <v>0</v>
      </c>
      <c r="L393" s="38">
        <f>IFERROR(VLOOKUP(C:C,'[1]TOTAL APO'!$A:$B,2,0),)</f>
        <v>0</v>
      </c>
      <c r="M393" s="38">
        <f>IFERROR(VLOOKUP(A:A,[1]Short!$A:$Q,17,0),)</f>
        <v>0</v>
      </c>
      <c r="N393" s="38">
        <f>IFERROR(VLOOKUP(C:C,[1]GIT!$B:$D,3,0),)</f>
        <v>0</v>
      </c>
      <c r="O393" s="38">
        <f>IFERROR(VLOOKUP(A:A,[2]Sheet1!$A:$B,2,0),)</f>
        <v>157</v>
      </c>
      <c r="P393" s="38">
        <f>IFERROR(VLOOKUP(A:A,[2]Sheet1!$A:$B,2,0),)</f>
        <v>157</v>
      </c>
      <c r="Q393" s="38">
        <f t="shared" si="6"/>
        <v>0</v>
      </c>
      <c r="R393" s="38"/>
      <c r="S393" s="38"/>
    </row>
    <row r="394" spans="1:19" hidden="1" x14ac:dyDescent="0.25">
      <c r="A394" s="38" t="str">
        <f>F394&amp;C394</f>
        <v>C11140060029</v>
      </c>
      <c r="B394" s="38" t="str">
        <f>IF(J394&gt;=SUMIFS(E:E,C:C,C394),"Good to go","Short in Qty")</f>
        <v>Good to go</v>
      </c>
      <c r="C394" s="40">
        <v>40060029</v>
      </c>
      <c r="D394" s="40" t="s">
        <v>508</v>
      </c>
      <c r="E394" s="66">
        <v>247</v>
      </c>
      <c r="F394" s="38" t="s">
        <v>16</v>
      </c>
      <c r="G394" s="40" t="s">
        <v>467</v>
      </c>
      <c r="H394" s="38" t="s">
        <v>9</v>
      </c>
      <c r="I394" s="38" t="s">
        <v>530</v>
      </c>
      <c r="J394" s="38">
        <f>IFERROR(VLOOKUP(C:C,'[1]S&amp;S'!$B:$F,5,0),)</f>
        <v>1528</v>
      </c>
      <c r="K394" s="38">
        <f>IFERROR(VLOOKUP(A:A,[1]APO!$A:$F,6,0),)</f>
        <v>0</v>
      </c>
      <c r="L394" s="38">
        <f>IFERROR(VLOOKUP(C:C,'[1]TOTAL APO'!$A:$B,2,0),)</f>
        <v>0</v>
      </c>
      <c r="M394" s="38">
        <f>IFERROR(VLOOKUP(A:A,[1]Short!$A:$Q,17,0),)</f>
        <v>0</v>
      </c>
      <c r="N394" s="38">
        <f>IFERROR(VLOOKUP(C:C,[1]GIT!$B:$D,3,0),)</f>
        <v>0</v>
      </c>
      <c r="O394" s="38">
        <f>IFERROR(VLOOKUP(A:A,[2]Sheet1!$A:$B,2,0),)</f>
        <v>247</v>
      </c>
      <c r="P394" s="38">
        <f>IFERROR(VLOOKUP(A:A,[2]Sheet1!$A:$B,2,0),)</f>
        <v>247</v>
      </c>
      <c r="Q394" s="38">
        <f t="shared" si="6"/>
        <v>0</v>
      </c>
      <c r="R394" s="38"/>
      <c r="S394" s="38"/>
    </row>
    <row r="395" spans="1:19" hidden="1" x14ac:dyDescent="0.25">
      <c r="A395" s="38" t="str">
        <f>F395&amp;C395</f>
        <v>C04740062345</v>
      </c>
      <c r="B395" s="38" t="str">
        <f>IF(J395&gt;=SUMIFS(E:E,C:C,C395),"Good to go","Short in Qty")</f>
        <v>Good to go</v>
      </c>
      <c r="C395" s="40">
        <v>40062345</v>
      </c>
      <c r="D395" s="40" t="s">
        <v>507</v>
      </c>
      <c r="E395" s="66">
        <v>1</v>
      </c>
      <c r="F395" s="38" t="s">
        <v>192</v>
      </c>
      <c r="G395" s="40"/>
      <c r="H395" s="38" t="s">
        <v>84</v>
      </c>
      <c r="I395" s="38" t="s">
        <v>620</v>
      </c>
      <c r="J395" s="38">
        <f>IFERROR(VLOOKUP(C:C,'[1]S&amp;S'!$B:$F,5,0),)</f>
        <v>143</v>
      </c>
      <c r="K395" s="38">
        <f>IFERROR(VLOOKUP(A:A,[1]APO!$A:$F,6,0),)</f>
        <v>0</v>
      </c>
      <c r="L395" s="38">
        <f>IFERROR(VLOOKUP(C:C,'[1]TOTAL APO'!$A:$B,2,0),)</f>
        <v>0</v>
      </c>
      <c r="M395" s="38">
        <f>IFERROR(VLOOKUP(A:A,[1]Short!$A:$Q,17,0),)</f>
        <v>0</v>
      </c>
      <c r="N395" s="38">
        <f>IFERROR(VLOOKUP(C:C,[1]GIT!$B:$D,3,0),)</f>
        <v>0</v>
      </c>
      <c r="O395" s="38">
        <f>IFERROR(VLOOKUP(A:A,[2]Sheet1!$A:$B,2,0),)</f>
        <v>0</v>
      </c>
      <c r="P395" s="38">
        <f>IFERROR(VLOOKUP(A:A,[2]Sheet1!$A:$B,2,0),)</f>
        <v>0</v>
      </c>
      <c r="Q395" s="38">
        <f t="shared" si="6"/>
        <v>1</v>
      </c>
      <c r="R395" s="38"/>
      <c r="S395" s="38"/>
    </row>
    <row r="396" spans="1:19" x14ac:dyDescent="0.25">
      <c r="A396" s="38" t="str">
        <f>F396&amp;C396</f>
        <v>C04840065917</v>
      </c>
      <c r="B396" s="38" t="str">
        <f>IF(J396&gt;=SUMIFS(E:E,C:C,C396),"Good to go","Short in Qty")</f>
        <v>Short in Qty</v>
      </c>
      <c r="C396" s="40">
        <v>40065917</v>
      </c>
      <c r="D396" s="40" t="s">
        <v>290</v>
      </c>
      <c r="E396" s="67">
        <v>500</v>
      </c>
      <c r="F396" s="38" t="s">
        <v>8</v>
      </c>
      <c r="G396" s="40" t="s">
        <v>467</v>
      </c>
      <c r="H396" s="38" t="s">
        <v>9</v>
      </c>
      <c r="I396" s="38" t="s">
        <v>530</v>
      </c>
      <c r="J396" s="38">
        <f>IFERROR(VLOOKUP(C:C,'[1]S&amp;S'!$B:$F,5,0),)</f>
        <v>368</v>
      </c>
      <c r="K396" s="38">
        <f>IFERROR(VLOOKUP(A:A,[1]APO!$A:$F,6,0),)</f>
        <v>0</v>
      </c>
      <c r="L396" s="38">
        <f>IFERROR(VLOOKUP(C:C,'[1]TOTAL APO'!$A:$B,2,0),)</f>
        <v>0</v>
      </c>
      <c r="M396" s="38">
        <f>IFERROR(VLOOKUP(A:A,[1]Short!$A:$Q,17,0),)</f>
        <v>0</v>
      </c>
      <c r="N396" s="38">
        <f>IFERROR(VLOOKUP(C:C,[1]GIT!$B:$D,3,0),)</f>
        <v>0</v>
      </c>
      <c r="O396" s="38">
        <f>IFERROR(VLOOKUP(A:A,[2]Sheet1!$A:$B,2,0),)</f>
        <v>368</v>
      </c>
      <c r="P396" s="38">
        <f>IFERROR(VLOOKUP(A:A,[2]Sheet1!$A:$B,2,0),)</f>
        <v>368</v>
      </c>
      <c r="Q396" s="38">
        <f t="shared" si="6"/>
        <v>132</v>
      </c>
      <c r="R396" s="38"/>
      <c r="S396" s="38"/>
    </row>
    <row r="397" spans="1:19" hidden="1" x14ac:dyDescent="0.25">
      <c r="A397" s="38" t="str">
        <f>F397&amp;C397</f>
        <v>C04840037927</v>
      </c>
      <c r="B397" s="38" t="str">
        <f>IF(J397&gt;=SUMIFS(E:E,C:C,C397),"Good to go","Short in Qty")</f>
        <v>Good to go</v>
      </c>
      <c r="C397" s="40">
        <v>40037927</v>
      </c>
      <c r="D397" s="40" t="s">
        <v>524</v>
      </c>
      <c r="E397" s="66">
        <v>3</v>
      </c>
      <c r="F397" s="38" t="s">
        <v>8</v>
      </c>
      <c r="G397" s="73" t="s">
        <v>467</v>
      </c>
      <c r="H397" s="38" t="s">
        <v>84</v>
      </c>
      <c r="I397" s="38" t="s">
        <v>620</v>
      </c>
      <c r="J397" s="38">
        <f>IFERROR(VLOOKUP(C:C,'[1]S&amp;S'!$B:$F,5,0),)</f>
        <v>7.9166666666666696</v>
      </c>
      <c r="K397" s="38">
        <f>IFERROR(VLOOKUP(A:A,[1]APO!$A:$F,6,0),)</f>
        <v>0</v>
      </c>
      <c r="L397" s="38">
        <f>IFERROR(VLOOKUP(C:C,'[1]TOTAL APO'!$A:$B,2,0),)</f>
        <v>0</v>
      </c>
      <c r="M397" s="38">
        <f>IFERROR(VLOOKUP(A:A,[1]Short!$A:$Q,17,0),)</f>
        <v>0</v>
      </c>
      <c r="N397" s="38">
        <f>IFERROR(VLOOKUP(C:C,[1]GIT!$B:$D,3,0),)</f>
        <v>0</v>
      </c>
      <c r="O397" s="38">
        <f>IFERROR(VLOOKUP(A:A,[2]Sheet1!$A:$B,2,0),)</f>
        <v>3</v>
      </c>
      <c r="P397" s="38">
        <f>IFERROR(VLOOKUP(A:A,[2]Sheet1!$A:$B,2,0),)</f>
        <v>3</v>
      </c>
      <c r="Q397" s="38">
        <f t="shared" si="6"/>
        <v>0</v>
      </c>
      <c r="R397" s="38"/>
      <c r="S397" s="38"/>
    </row>
    <row r="398" spans="1:19" hidden="1" x14ac:dyDescent="0.25">
      <c r="A398" s="38" t="str">
        <f>F398&amp;C398</f>
        <v>C04240062464</v>
      </c>
      <c r="B398" s="38" t="str">
        <f>IF(J398&gt;=SUMIFS(E:E,C:C,C398),"Good to go","Short in Qty")</f>
        <v>Good to go</v>
      </c>
      <c r="C398" s="40">
        <v>40062464</v>
      </c>
      <c r="D398" s="40" t="s">
        <v>220</v>
      </c>
      <c r="E398" s="66">
        <v>20</v>
      </c>
      <c r="F398" s="38" t="s">
        <v>10</v>
      </c>
      <c r="G398" s="40" t="s">
        <v>467</v>
      </c>
      <c r="H398" s="38" t="s">
        <v>465</v>
      </c>
      <c r="I398" s="38" t="s">
        <v>466</v>
      </c>
      <c r="J398" s="38">
        <f>IFERROR(VLOOKUP(C:C,'[1]S&amp;S'!$B:$F,5,0),)</f>
        <v>139</v>
      </c>
      <c r="K398" s="38">
        <f>IFERROR(VLOOKUP(A:A,[1]APO!$A:$F,6,0),)</f>
        <v>0</v>
      </c>
      <c r="L398" s="38">
        <f>IFERROR(VLOOKUP(C:C,'[1]TOTAL APO'!$A:$B,2,0),)</f>
        <v>0</v>
      </c>
      <c r="M398" s="38">
        <f>IFERROR(VLOOKUP(A:A,[1]Short!$A:$Q,17,0),)</f>
        <v>0</v>
      </c>
      <c r="N398" s="38">
        <f>IFERROR(VLOOKUP(C:C,[1]GIT!$B:$D,3,0),)</f>
        <v>0</v>
      </c>
      <c r="O398" s="38">
        <f>IFERROR(VLOOKUP(A:A,[2]Sheet1!$A:$B,2,0),)</f>
        <v>20</v>
      </c>
      <c r="P398" s="38">
        <f>IFERROR(VLOOKUP(A:A,[2]Sheet1!$A:$B,2,0),)</f>
        <v>20</v>
      </c>
      <c r="Q398" s="38">
        <f t="shared" si="6"/>
        <v>0</v>
      </c>
      <c r="R398" s="38"/>
      <c r="S398" s="38"/>
    </row>
    <row r="399" spans="1:19" hidden="1" x14ac:dyDescent="0.25">
      <c r="A399" s="38" t="str">
        <f>F399&amp;C399</f>
        <v>C11140060034</v>
      </c>
      <c r="B399" s="38" t="str">
        <f>IF(J399&gt;=SUMIFS(E:E,C:C,C399),"Good to go","Short in Qty")</f>
        <v>Short in Qty</v>
      </c>
      <c r="C399" s="40">
        <v>40060034</v>
      </c>
      <c r="D399" s="40" t="s">
        <v>463</v>
      </c>
      <c r="E399" s="66">
        <v>10</v>
      </c>
      <c r="F399" s="38" t="s">
        <v>16</v>
      </c>
      <c r="G399" s="40" t="s">
        <v>467</v>
      </c>
      <c r="H399" s="38" t="s">
        <v>84</v>
      </c>
      <c r="I399" s="38" t="s">
        <v>620</v>
      </c>
      <c r="J399" s="38">
        <f>IFERROR(VLOOKUP(C:C,'[1]S&amp;S'!$B:$F,5,0),)</f>
        <v>679.33333333333303</v>
      </c>
      <c r="K399" s="38">
        <f>IFERROR(VLOOKUP(A:A,[1]APO!$A:$F,6,0),)</f>
        <v>0</v>
      </c>
      <c r="L399" s="38">
        <f>IFERROR(VLOOKUP(C:C,'[1]TOTAL APO'!$A:$B,2,0),)</f>
        <v>0</v>
      </c>
      <c r="M399" s="38">
        <f>IFERROR(VLOOKUP(A:A,[1]Short!$A:$Q,17,0),)</f>
        <v>0</v>
      </c>
      <c r="N399" s="38">
        <f>IFERROR(VLOOKUP(C:C,[1]GIT!$B:$D,3,0),)</f>
        <v>0</v>
      </c>
      <c r="O399" s="38">
        <f>IFERROR(VLOOKUP(A:A,[2]Sheet1!$A:$B,2,0),)</f>
        <v>10</v>
      </c>
      <c r="P399" s="38">
        <f>IFERROR(VLOOKUP(A:A,[2]Sheet1!$A:$B,2,0),)</f>
        <v>10</v>
      </c>
      <c r="Q399" s="38">
        <f t="shared" si="6"/>
        <v>0</v>
      </c>
      <c r="R399" s="38"/>
      <c r="S399" s="38"/>
    </row>
    <row r="400" spans="1:19" hidden="1" x14ac:dyDescent="0.25">
      <c r="A400" s="38" t="str">
        <f>F400&amp;C400</f>
        <v>C13140060034</v>
      </c>
      <c r="B400" s="38" t="str">
        <f>IF(J400&gt;=SUMIFS(E:E,C:C,C400),"Good to go","Short in Qty")</f>
        <v>Short in Qty</v>
      </c>
      <c r="C400" s="40">
        <v>40060034</v>
      </c>
      <c r="D400" s="40" t="s">
        <v>463</v>
      </c>
      <c r="E400" s="66">
        <v>100</v>
      </c>
      <c r="F400" s="38" t="s">
        <v>17</v>
      </c>
      <c r="G400" s="40" t="s">
        <v>467</v>
      </c>
      <c r="H400" s="38" t="s">
        <v>84</v>
      </c>
      <c r="I400" s="38" t="s">
        <v>620</v>
      </c>
      <c r="J400" s="38">
        <f>IFERROR(VLOOKUP(C:C,'[1]S&amp;S'!$B:$F,5,0),)</f>
        <v>679.33333333333303</v>
      </c>
      <c r="K400" s="38">
        <f>IFERROR(VLOOKUP(A:A,[1]APO!$A:$F,6,0),)</f>
        <v>0</v>
      </c>
      <c r="L400" s="38">
        <f>IFERROR(VLOOKUP(C:C,'[1]TOTAL APO'!$A:$B,2,0),)</f>
        <v>0</v>
      </c>
      <c r="M400" s="38">
        <f>IFERROR(VLOOKUP(A:A,[1]Short!$A:$Q,17,0),)</f>
        <v>0</v>
      </c>
      <c r="N400" s="38">
        <f>IFERROR(VLOOKUP(C:C,[1]GIT!$B:$D,3,0),)</f>
        <v>0</v>
      </c>
      <c r="O400" s="38">
        <f>IFERROR(VLOOKUP(A:A,[2]Sheet1!$A:$B,2,0),)</f>
        <v>100</v>
      </c>
      <c r="P400" s="38">
        <f>IFERROR(VLOOKUP(A:A,[2]Sheet1!$A:$B,2,0),)</f>
        <v>100</v>
      </c>
      <c r="Q400" s="38">
        <f t="shared" si="6"/>
        <v>0</v>
      </c>
      <c r="R400" s="38"/>
      <c r="S400" s="38"/>
    </row>
    <row r="401" spans="1:19" hidden="1" x14ac:dyDescent="0.25">
      <c r="A401" s="38" t="str">
        <f>F401&amp;C401</f>
        <v>C13240060034</v>
      </c>
      <c r="B401" s="38" t="str">
        <f>IF(J401&gt;=SUMIFS(E:E,C:C,C401),"Good to go","Short in Qty")</f>
        <v>Short in Qty</v>
      </c>
      <c r="C401" s="40">
        <v>40060034</v>
      </c>
      <c r="D401" s="40" t="s">
        <v>463</v>
      </c>
      <c r="E401" s="66">
        <v>50</v>
      </c>
      <c r="F401" s="38" t="s">
        <v>18</v>
      </c>
      <c r="G401" s="40"/>
      <c r="H401" s="38" t="s">
        <v>84</v>
      </c>
      <c r="I401" s="38" t="s">
        <v>620</v>
      </c>
      <c r="J401" s="38">
        <f>IFERROR(VLOOKUP(C:C,'[1]S&amp;S'!$B:$F,5,0),)</f>
        <v>679.33333333333303</v>
      </c>
      <c r="K401" s="38">
        <f>IFERROR(VLOOKUP(A:A,[1]APO!$A:$F,6,0),)</f>
        <v>0</v>
      </c>
      <c r="L401" s="38">
        <f>IFERROR(VLOOKUP(C:C,'[1]TOTAL APO'!$A:$B,2,0),)</f>
        <v>0</v>
      </c>
      <c r="M401" s="38">
        <f>IFERROR(VLOOKUP(A:A,[1]Short!$A:$Q,17,0),)</f>
        <v>0</v>
      </c>
      <c r="N401" s="38">
        <f>IFERROR(VLOOKUP(C:C,[1]GIT!$B:$D,3,0),)</f>
        <v>0</v>
      </c>
      <c r="O401" s="38">
        <f>IFERROR(VLOOKUP(A:A,[2]Sheet1!$A:$B,2,0),)</f>
        <v>0</v>
      </c>
      <c r="P401" s="38">
        <f>IFERROR(VLOOKUP(A:A,[2]Sheet1!$A:$B,2,0),)</f>
        <v>0</v>
      </c>
      <c r="Q401" s="38">
        <f t="shared" si="6"/>
        <v>50</v>
      </c>
      <c r="R401" s="38"/>
      <c r="S401" s="38"/>
    </row>
    <row r="402" spans="1:19" hidden="1" x14ac:dyDescent="0.25">
      <c r="A402" s="38" t="str">
        <f>F402&amp;C402</f>
        <v>C04340060282</v>
      </c>
      <c r="B402" s="38" t="str">
        <f>IF(J402&gt;=SUMIFS(E:E,C:C,C402),"Good to go","Short in Qty")</f>
        <v>Short in Qty</v>
      </c>
      <c r="C402" s="40">
        <v>40060282</v>
      </c>
      <c r="D402" s="40" t="s">
        <v>565</v>
      </c>
      <c r="E402" s="66">
        <v>10</v>
      </c>
      <c r="F402" s="38" t="s">
        <v>11</v>
      </c>
      <c r="G402" s="40" t="s">
        <v>269</v>
      </c>
      <c r="H402" s="38" t="s">
        <v>594</v>
      </c>
      <c r="I402" s="38" t="s">
        <v>595</v>
      </c>
      <c r="J402" s="38">
        <f>IFERROR(VLOOKUP(C:C,'[1]S&amp;S'!$B:$F,5,0),)</f>
        <v>0</v>
      </c>
      <c r="K402" s="38">
        <f>IFERROR(VLOOKUP(A:A,[1]APO!$A:$F,6,0),)</f>
        <v>0</v>
      </c>
      <c r="L402" s="38">
        <f>IFERROR(VLOOKUP(C:C,'[1]TOTAL APO'!$A:$B,2,0),)</f>
        <v>0</v>
      </c>
      <c r="M402" s="38">
        <f>IFERROR(VLOOKUP(A:A,[1]Short!$A:$Q,17,0),)</f>
        <v>0</v>
      </c>
      <c r="N402" s="38">
        <f>IFERROR(VLOOKUP(C:C,[1]GIT!$B:$D,3,0),)</f>
        <v>0</v>
      </c>
      <c r="O402" s="38">
        <f>IFERROR(VLOOKUP(A:A,[2]Sheet1!$A:$B,2,0),)</f>
        <v>0</v>
      </c>
      <c r="P402" s="38">
        <f>IFERROR(VLOOKUP(A:A,[2]Sheet1!$A:$B,2,0),)</f>
        <v>0</v>
      </c>
      <c r="Q402" s="38">
        <f t="shared" si="6"/>
        <v>10</v>
      </c>
      <c r="R402" s="38"/>
      <c r="S402" s="38"/>
    </row>
    <row r="403" spans="1:19" hidden="1" x14ac:dyDescent="0.25">
      <c r="A403" s="38" t="str">
        <f>F403&amp;C403</f>
        <v>C04640062347</v>
      </c>
      <c r="B403" s="38" t="str">
        <f>IF(J403&gt;=SUMIFS(E:E,C:C,C403),"Good to go","Short in Qty")</f>
        <v>Good to go</v>
      </c>
      <c r="C403" s="40">
        <v>40062347</v>
      </c>
      <c r="D403" s="40" t="s">
        <v>451</v>
      </c>
      <c r="E403" s="68">
        <v>100</v>
      </c>
      <c r="F403" s="38" t="s">
        <v>13</v>
      </c>
      <c r="G403" s="40" t="s">
        <v>467</v>
      </c>
      <c r="H403" s="38" t="s">
        <v>248</v>
      </c>
      <c r="I403" s="38" t="s">
        <v>457</v>
      </c>
      <c r="J403" s="38">
        <f>IFERROR(VLOOKUP(C:C,'[1]S&amp;S'!$B:$F,5,0),)</f>
        <v>654</v>
      </c>
      <c r="K403" s="38">
        <f>IFERROR(VLOOKUP(A:A,[1]APO!$A:$F,6,0),)</f>
        <v>0</v>
      </c>
      <c r="L403" s="38">
        <f>IFERROR(VLOOKUP(C:C,'[1]TOTAL APO'!$A:$B,2,0),)</f>
        <v>0</v>
      </c>
      <c r="M403" s="38">
        <f>IFERROR(VLOOKUP(A:A,[1]Short!$A:$Q,17,0),)</f>
        <v>0</v>
      </c>
      <c r="N403" s="38">
        <f>IFERROR(VLOOKUP(C:C,[1]GIT!$B:$D,3,0),)</f>
        <v>0</v>
      </c>
      <c r="O403" s="38">
        <f>IFERROR(VLOOKUP(A:A,[2]Sheet1!$A:$B,2,0),)</f>
        <v>100</v>
      </c>
      <c r="P403" s="38">
        <f>IFERROR(VLOOKUP(A:A,[2]Sheet1!$A:$B,2,0),)</f>
        <v>100</v>
      </c>
      <c r="Q403" s="38">
        <f t="shared" si="6"/>
        <v>0</v>
      </c>
      <c r="R403" s="38"/>
      <c r="S403" s="38"/>
    </row>
    <row r="404" spans="1:19" hidden="1" x14ac:dyDescent="0.25">
      <c r="A404" s="38" t="str">
        <f>F404&amp;C404</f>
        <v>C13140063275</v>
      </c>
      <c r="B404" s="38" t="str">
        <f>IF(J404&gt;=SUMIFS(E:E,C:C,C404),"Good to go","Short in Qty")</f>
        <v>Good to go</v>
      </c>
      <c r="C404" s="40">
        <v>40063275</v>
      </c>
      <c r="D404" s="40" t="s">
        <v>447</v>
      </c>
      <c r="E404" s="68">
        <v>10</v>
      </c>
      <c r="F404" s="38" t="s">
        <v>17</v>
      </c>
      <c r="G404" s="40" t="s">
        <v>467</v>
      </c>
      <c r="H404" s="38" t="s">
        <v>248</v>
      </c>
      <c r="I404" s="38" t="s">
        <v>457</v>
      </c>
      <c r="J404" s="38">
        <f>IFERROR(VLOOKUP(C:C,'[1]S&amp;S'!$B:$F,5,0),)</f>
        <v>10</v>
      </c>
      <c r="K404" s="38">
        <f>IFERROR(VLOOKUP(A:A,[1]APO!$A:$F,6,0),)</f>
        <v>0</v>
      </c>
      <c r="L404" s="38">
        <f>IFERROR(VLOOKUP(C:C,'[1]TOTAL APO'!$A:$B,2,0),)</f>
        <v>0</v>
      </c>
      <c r="M404" s="38">
        <f>IFERROR(VLOOKUP(A:A,[1]Short!$A:$Q,17,0),)</f>
        <v>0</v>
      </c>
      <c r="N404" s="38">
        <f>IFERROR(VLOOKUP(C:C,[1]GIT!$B:$D,3,0),)</f>
        <v>0</v>
      </c>
      <c r="O404" s="38">
        <f>IFERROR(VLOOKUP(A:A,[2]Sheet1!$A:$B,2,0),)</f>
        <v>10</v>
      </c>
      <c r="P404" s="38">
        <f>IFERROR(VLOOKUP(A:A,[2]Sheet1!$A:$B,2,0),)</f>
        <v>10</v>
      </c>
      <c r="Q404" s="38">
        <f t="shared" si="6"/>
        <v>0</v>
      </c>
      <c r="R404" s="38"/>
      <c r="S404" s="38"/>
    </row>
    <row r="405" spans="1:19" hidden="1" x14ac:dyDescent="0.25">
      <c r="A405" s="38" t="str">
        <f>F405&amp;C405</f>
        <v>C11140063967</v>
      </c>
      <c r="B405" s="38" t="str">
        <f>IF(J405&gt;=SUMIFS(E:E,C:C,C405),"Good to go","Short in Qty")</f>
        <v>Good to go</v>
      </c>
      <c r="C405" s="40">
        <v>40063967</v>
      </c>
      <c r="D405" s="40" t="s">
        <v>239</v>
      </c>
      <c r="E405" s="68">
        <v>150</v>
      </c>
      <c r="F405" s="38" t="s">
        <v>16</v>
      </c>
      <c r="G405" s="40" t="s">
        <v>467</v>
      </c>
      <c r="H405" s="38" t="s">
        <v>248</v>
      </c>
      <c r="I405" s="38" t="s">
        <v>457</v>
      </c>
      <c r="J405" s="38">
        <f>IFERROR(VLOOKUP(C:C,'[1]S&amp;S'!$B:$F,5,0),)</f>
        <v>570</v>
      </c>
      <c r="K405" s="38">
        <f>IFERROR(VLOOKUP(A:A,[1]APO!$A:$F,6,0),)</f>
        <v>0</v>
      </c>
      <c r="L405" s="38">
        <f>IFERROR(VLOOKUP(C:C,'[1]TOTAL APO'!$A:$B,2,0),)</f>
        <v>0</v>
      </c>
      <c r="M405" s="38">
        <f>IFERROR(VLOOKUP(A:A,[1]Short!$A:$Q,17,0),)</f>
        <v>0</v>
      </c>
      <c r="N405" s="38">
        <f>IFERROR(VLOOKUP(C:C,[1]GIT!$B:$D,3,0),)</f>
        <v>0</v>
      </c>
      <c r="O405" s="38">
        <f>IFERROR(VLOOKUP(A:A,[2]Sheet1!$A:$B,2,0),)</f>
        <v>150</v>
      </c>
      <c r="P405" s="38">
        <f>IFERROR(VLOOKUP(A:A,[2]Sheet1!$A:$B,2,0),)</f>
        <v>150</v>
      </c>
      <c r="Q405" s="38">
        <f t="shared" si="6"/>
        <v>0</v>
      </c>
      <c r="R405" s="38"/>
      <c r="S405" s="38"/>
    </row>
    <row r="406" spans="1:19" hidden="1" x14ac:dyDescent="0.25">
      <c r="A406" s="38" t="str">
        <f>F406&amp;C406</f>
        <v>C13140063540</v>
      </c>
      <c r="B406" s="38" t="str">
        <f>IF(J406&gt;=SUMIFS(E:E,C:C,C406),"Good to go","Short in Qty")</f>
        <v>Good to go</v>
      </c>
      <c r="C406" s="40">
        <v>40063540</v>
      </c>
      <c r="D406" s="40" t="s">
        <v>446</v>
      </c>
      <c r="E406" s="69">
        <v>150</v>
      </c>
      <c r="F406" s="38" t="s">
        <v>17</v>
      </c>
      <c r="G406" s="40" t="s">
        <v>467</v>
      </c>
      <c r="H406" s="38" t="s">
        <v>248</v>
      </c>
      <c r="I406" s="38" t="s">
        <v>457</v>
      </c>
      <c r="J406" s="38">
        <f>IFERROR(VLOOKUP(C:C,'[1]S&amp;S'!$B:$F,5,0),)</f>
        <v>441</v>
      </c>
      <c r="K406" s="38">
        <f>IFERROR(VLOOKUP(A:A,[1]APO!$A:$F,6,0),)</f>
        <v>0</v>
      </c>
      <c r="L406" s="38">
        <f>IFERROR(VLOOKUP(C:C,'[1]TOTAL APO'!$A:$B,2,0),)</f>
        <v>0</v>
      </c>
      <c r="M406" s="38">
        <f>IFERROR(VLOOKUP(A:A,[1]Short!$A:$Q,17,0),)</f>
        <v>0</v>
      </c>
      <c r="N406" s="38">
        <f>IFERROR(VLOOKUP(C:C,[1]GIT!$B:$D,3,0),)</f>
        <v>0</v>
      </c>
      <c r="O406" s="38">
        <f>IFERROR(VLOOKUP(A:A,[2]Sheet1!$A:$B,2,0),)</f>
        <v>150</v>
      </c>
      <c r="P406" s="38">
        <f>IFERROR(VLOOKUP(A:A,[2]Sheet1!$A:$B,2,0),)</f>
        <v>150</v>
      </c>
      <c r="Q406" s="38">
        <f t="shared" si="6"/>
        <v>0</v>
      </c>
      <c r="R406" s="38"/>
      <c r="S406" s="38"/>
    </row>
    <row r="407" spans="1:19" hidden="1" x14ac:dyDescent="0.25">
      <c r="A407" s="38" t="str">
        <f>F407&amp;C407</f>
        <v>C04840060914</v>
      </c>
      <c r="B407" s="38" t="str">
        <f>IF(J407&gt;=SUMIFS(E:E,C:C,C407),"Good to go","Short in Qty")</f>
        <v>Good to go</v>
      </c>
      <c r="C407" s="40">
        <v>40060914</v>
      </c>
      <c r="D407" s="40" t="s">
        <v>531</v>
      </c>
      <c r="E407" s="66">
        <v>300</v>
      </c>
      <c r="F407" s="38" t="s">
        <v>8</v>
      </c>
      <c r="G407" s="40" t="s">
        <v>467</v>
      </c>
      <c r="H407" s="38" t="s">
        <v>594</v>
      </c>
      <c r="I407" s="38" t="s">
        <v>595</v>
      </c>
      <c r="J407" s="38">
        <f>IFERROR(VLOOKUP(C:C,'[1]S&amp;S'!$B:$F,5,0),)</f>
        <v>970</v>
      </c>
      <c r="K407" s="38">
        <f>IFERROR(VLOOKUP(A:A,[1]APO!$A:$F,6,0),)</f>
        <v>0</v>
      </c>
      <c r="L407" s="38">
        <f>IFERROR(VLOOKUP(C:C,'[1]TOTAL APO'!$A:$B,2,0),)</f>
        <v>0</v>
      </c>
      <c r="M407" s="38">
        <f>IFERROR(VLOOKUP(A:A,[1]Short!$A:$Q,17,0),)</f>
        <v>0</v>
      </c>
      <c r="N407" s="38">
        <f>IFERROR(VLOOKUP(C:C,[1]GIT!$B:$D,3,0),)</f>
        <v>0</v>
      </c>
      <c r="O407" s="38">
        <f>IFERROR(VLOOKUP(A:A,[2]Sheet1!$A:$B,2,0),)</f>
        <v>300</v>
      </c>
      <c r="P407" s="38">
        <f>IFERROR(VLOOKUP(A:A,[2]Sheet1!$A:$B,2,0),)</f>
        <v>300</v>
      </c>
      <c r="Q407" s="38">
        <f t="shared" si="6"/>
        <v>0</v>
      </c>
      <c r="R407" s="38">
        <v>1</v>
      </c>
      <c r="S407" s="38"/>
    </row>
    <row r="408" spans="1:19" hidden="1" x14ac:dyDescent="0.25">
      <c r="A408" s="38" t="str">
        <f>F408&amp;C408</f>
        <v>C04340064957</v>
      </c>
      <c r="B408" s="38" t="str">
        <f>IF(J408&gt;=SUMIFS(E:E,C:C,C408),"Good to go","Short in Qty")</f>
        <v>Good to go</v>
      </c>
      <c r="C408" s="40">
        <v>40064957</v>
      </c>
      <c r="D408" s="40" t="s">
        <v>532</v>
      </c>
      <c r="E408" s="66">
        <v>30</v>
      </c>
      <c r="F408" s="38" t="s">
        <v>11</v>
      </c>
      <c r="G408" s="40" t="s">
        <v>467</v>
      </c>
      <c r="H408" s="38" t="s">
        <v>594</v>
      </c>
      <c r="I408" s="38" t="s">
        <v>595</v>
      </c>
      <c r="J408" s="38">
        <f>IFERROR(VLOOKUP(C:C,'[1]S&amp;S'!$B:$F,5,0),)</f>
        <v>30</v>
      </c>
      <c r="K408" s="38">
        <f>IFERROR(VLOOKUP(A:A,[1]APO!$A:$F,6,0),)</f>
        <v>0</v>
      </c>
      <c r="L408" s="38">
        <f>IFERROR(VLOOKUP(C:C,'[1]TOTAL APO'!$A:$B,2,0),)</f>
        <v>0</v>
      </c>
      <c r="M408" s="38">
        <f>IFERROR(VLOOKUP(A:A,[1]Short!$A:$Q,17,0),)</f>
        <v>0</v>
      </c>
      <c r="N408" s="38">
        <f>IFERROR(VLOOKUP(C:C,[1]GIT!$B:$D,3,0),)</f>
        <v>0</v>
      </c>
      <c r="O408" s="38">
        <f>IFERROR(VLOOKUP(A:A,[2]Sheet1!$A:$B,2,0),)</f>
        <v>30</v>
      </c>
      <c r="P408" s="38">
        <f>IFERROR(VLOOKUP(A:A,[2]Sheet1!$A:$B,2,0),)</f>
        <v>30</v>
      </c>
      <c r="Q408" s="38">
        <f t="shared" si="6"/>
        <v>0</v>
      </c>
      <c r="R408" s="38">
        <v>1</v>
      </c>
      <c r="S408" s="38"/>
    </row>
    <row r="409" spans="1:19" hidden="1" x14ac:dyDescent="0.25">
      <c r="A409" s="38" t="str">
        <f>F409&amp;C409</f>
        <v>C13140065336</v>
      </c>
      <c r="B409" s="38" t="str">
        <f>IF(J409&gt;=SUMIFS(E:E,C:C,C409),"Good to go","Short in Qty")</f>
        <v>Good to go</v>
      </c>
      <c r="C409" s="40">
        <v>40065336</v>
      </c>
      <c r="D409" s="40" t="s">
        <v>533</v>
      </c>
      <c r="E409" s="66">
        <v>350</v>
      </c>
      <c r="F409" s="38" t="s">
        <v>17</v>
      </c>
      <c r="G409" s="40">
        <v>175</v>
      </c>
      <c r="H409" s="38" t="s">
        <v>594</v>
      </c>
      <c r="I409" s="38" t="s">
        <v>595</v>
      </c>
      <c r="J409" s="38">
        <f>IFERROR(VLOOKUP(C:C,'[1]S&amp;S'!$B:$F,5,0),)</f>
        <v>2559</v>
      </c>
      <c r="K409" s="38">
        <f>IFERROR(VLOOKUP(A:A,[1]APO!$A:$F,6,0),)</f>
        <v>0</v>
      </c>
      <c r="L409" s="38">
        <f>IFERROR(VLOOKUP(C:C,'[1]TOTAL APO'!$A:$B,2,0),)</f>
        <v>0</v>
      </c>
      <c r="M409" s="38">
        <f>IFERROR(VLOOKUP(A:A,[1]Short!$A:$Q,17,0),)</f>
        <v>0</v>
      </c>
      <c r="N409" s="38">
        <f>IFERROR(VLOOKUP(C:C,[1]GIT!$B:$D,3,0),)</f>
        <v>0</v>
      </c>
      <c r="O409" s="38">
        <f>IFERROR(VLOOKUP(A:A,[2]Sheet1!$A:$B,2,0),)</f>
        <v>175</v>
      </c>
      <c r="P409" s="38">
        <f>IFERROR(VLOOKUP(A:A,[2]Sheet1!$A:$B,2,0),)</f>
        <v>175</v>
      </c>
      <c r="Q409" s="38">
        <f t="shared" si="6"/>
        <v>175</v>
      </c>
      <c r="R409" s="38">
        <v>1</v>
      </c>
      <c r="S409" s="38"/>
    </row>
    <row r="410" spans="1:19" hidden="1" x14ac:dyDescent="0.25">
      <c r="A410" s="38" t="str">
        <f>F410&amp;C410</f>
        <v>C04440060282</v>
      </c>
      <c r="B410" s="38" t="str">
        <f>IF(J410&gt;=SUMIFS(E:E,C:C,C410),"Good to go","Short in Qty")</f>
        <v>Short in Qty</v>
      </c>
      <c r="C410" s="40">
        <v>40060282</v>
      </c>
      <c r="D410" s="40" t="s">
        <v>565</v>
      </c>
      <c r="E410" s="66">
        <v>10</v>
      </c>
      <c r="F410" s="38" t="s">
        <v>191</v>
      </c>
      <c r="G410" s="40" t="s">
        <v>269</v>
      </c>
      <c r="H410" s="38" t="s">
        <v>594</v>
      </c>
      <c r="I410" s="38" t="s">
        <v>595</v>
      </c>
      <c r="J410" s="38">
        <f>IFERROR(VLOOKUP(C:C,'[1]S&amp;S'!$B:$F,5,0),)</f>
        <v>0</v>
      </c>
      <c r="K410" s="38">
        <f>IFERROR(VLOOKUP(A:A,[1]APO!$A:$F,6,0),)</f>
        <v>0</v>
      </c>
      <c r="L410" s="38">
        <f>IFERROR(VLOOKUP(C:C,'[1]TOTAL APO'!$A:$B,2,0),)</f>
        <v>0</v>
      </c>
      <c r="M410" s="38">
        <f>IFERROR(VLOOKUP(A:A,[1]Short!$A:$Q,17,0),)</f>
        <v>0</v>
      </c>
      <c r="N410" s="38">
        <f>IFERROR(VLOOKUP(C:C,[1]GIT!$B:$D,3,0),)</f>
        <v>0</v>
      </c>
      <c r="O410" s="38">
        <f>IFERROR(VLOOKUP(A:A,[2]Sheet1!$A:$B,2,0),)</f>
        <v>0</v>
      </c>
      <c r="P410" s="38">
        <f>IFERROR(VLOOKUP(A:A,[2]Sheet1!$A:$B,2,0),)</f>
        <v>0</v>
      </c>
      <c r="Q410" s="38">
        <f t="shared" si="6"/>
        <v>10</v>
      </c>
      <c r="R410" s="38"/>
      <c r="S410" s="38"/>
    </row>
    <row r="411" spans="1:19" hidden="1" x14ac:dyDescent="0.25">
      <c r="A411" s="38" t="str">
        <f>F411&amp;C411</f>
        <v>C11140043584</v>
      </c>
      <c r="B411" s="38" t="str">
        <f>IF(J411&gt;=SUMIFS(E:E,C:C,C411),"Good to go","Short in Qty")</f>
        <v>Good to go</v>
      </c>
      <c r="C411" s="40">
        <v>40043584</v>
      </c>
      <c r="D411" s="40" t="s">
        <v>242</v>
      </c>
      <c r="E411" s="66">
        <v>100</v>
      </c>
      <c r="F411" s="38" t="s">
        <v>16</v>
      </c>
      <c r="G411" s="40"/>
      <c r="H411" s="38" t="s">
        <v>594</v>
      </c>
      <c r="I411" s="38" t="s">
        <v>595</v>
      </c>
      <c r="J411" s="38">
        <f>IFERROR(VLOOKUP(C:C,'[1]S&amp;S'!$B:$F,5,0),)</f>
        <v>1145</v>
      </c>
      <c r="K411" s="38">
        <f>IFERROR(VLOOKUP(A:A,[1]APO!$A:$F,6,0),)</f>
        <v>0</v>
      </c>
      <c r="L411" s="38">
        <f>IFERROR(VLOOKUP(C:C,'[1]TOTAL APO'!$A:$B,2,0),)</f>
        <v>0</v>
      </c>
      <c r="M411" s="38">
        <f>IFERROR(VLOOKUP(A:A,[1]Short!$A:$Q,17,0),)</f>
        <v>0</v>
      </c>
      <c r="N411" s="38">
        <f>IFERROR(VLOOKUP(C:C,[1]GIT!$B:$D,3,0),)</f>
        <v>228</v>
      </c>
      <c r="O411" s="38">
        <f>IFERROR(VLOOKUP(A:A,[2]Sheet1!$A:$B,2,0),)</f>
        <v>0</v>
      </c>
      <c r="P411" s="38">
        <f>IFERROR(VLOOKUP(A:A,[2]Sheet1!$A:$B,2,0),)</f>
        <v>0</v>
      </c>
      <c r="Q411" s="38">
        <f t="shared" si="6"/>
        <v>100</v>
      </c>
      <c r="R411" s="38">
        <v>1</v>
      </c>
      <c r="S411" s="38"/>
    </row>
    <row r="412" spans="1:19" hidden="1" x14ac:dyDescent="0.25">
      <c r="A412" s="38" t="str">
        <f>F412&amp;C412</f>
        <v>C13140043584</v>
      </c>
      <c r="B412" s="38" t="str">
        <f>IF(J412&gt;=SUMIFS(E:E,C:C,C412),"Good to go","Short in Qty")</f>
        <v>Good to go</v>
      </c>
      <c r="C412" s="40">
        <v>40043584</v>
      </c>
      <c r="D412" s="40" t="s">
        <v>242</v>
      </c>
      <c r="E412" s="66">
        <v>100</v>
      </c>
      <c r="F412" s="38" t="s">
        <v>17</v>
      </c>
      <c r="G412" s="40" t="s">
        <v>467</v>
      </c>
      <c r="H412" s="38" t="s">
        <v>594</v>
      </c>
      <c r="I412" s="38" t="s">
        <v>595</v>
      </c>
      <c r="J412" s="38">
        <f>IFERROR(VLOOKUP(C:C,'[1]S&amp;S'!$B:$F,5,0),)</f>
        <v>1145</v>
      </c>
      <c r="K412" s="38">
        <f>IFERROR(VLOOKUP(A:A,[1]APO!$A:$F,6,0),)</f>
        <v>0</v>
      </c>
      <c r="L412" s="38">
        <f>IFERROR(VLOOKUP(C:C,'[1]TOTAL APO'!$A:$B,2,0),)</f>
        <v>0</v>
      </c>
      <c r="M412" s="38">
        <f>IFERROR(VLOOKUP(A:A,[1]Short!$A:$Q,17,0),)</f>
        <v>0</v>
      </c>
      <c r="N412" s="38">
        <f>IFERROR(VLOOKUP(C:C,[1]GIT!$B:$D,3,0),)</f>
        <v>228</v>
      </c>
      <c r="O412" s="38">
        <f>IFERROR(VLOOKUP(A:A,[2]Sheet1!$A:$B,2,0),)</f>
        <v>100</v>
      </c>
      <c r="P412" s="38">
        <f>IFERROR(VLOOKUP(A:A,[2]Sheet1!$A:$B,2,0),)</f>
        <v>100</v>
      </c>
      <c r="Q412" s="38">
        <f t="shared" si="6"/>
        <v>0</v>
      </c>
      <c r="R412" s="38">
        <v>1</v>
      </c>
      <c r="S412" s="38"/>
    </row>
    <row r="413" spans="1:19" hidden="1" x14ac:dyDescent="0.25">
      <c r="A413" s="38" t="str">
        <f>F413&amp;C413</f>
        <v>C04640060775</v>
      </c>
      <c r="B413" s="38" t="str">
        <f>IF(J413&gt;=SUMIFS(E:E,C:C,C413),"Good to go","Short in Qty")</f>
        <v>Good to go</v>
      </c>
      <c r="C413" s="40">
        <v>40060775</v>
      </c>
      <c r="D413" s="40" t="s">
        <v>535</v>
      </c>
      <c r="E413" s="66">
        <v>5</v>
      </c>
      <c r="F413" s="38" t="s">
        <v>13</v>
      </c>
      <c r="G413" s="40"/>
      <c r="H413" s="38" t="s">
        <v>594</v>
      </c>
      <c r="I413" s="38" t="s">
        <v>595</v>
      </c>
      <c r="J413" s="38">
        <f>IFERROR(VLOOKUP(C:C,'[1]S&amp;S'!$B:$F,5,0),)</f>
        <v>710</v>
      </c>
      <c r="K413" s="38">
        <f>IFERROR(VLOOKUP(A:A,[1]APO!$A:$F,6,0),)</f>
        <v>0</v>
      </c>
      <c r="L413" s="38">
        <f>IFERROR(VLOOKUP(C:C,'[1]TOTAL APO'!$A:$B,2,0),)</f>
        <v>0</v>
      </c>
      <c r="M413" s="38">
        <f>IFERROR(VLOOKUP(A:A,[1]Short!$A:$Q,17,0),)</f>
        <v>0</v>
      </c>
      <c r="N413" s="38">
        <f>IFERROR(VLOOKUP(C:C,[1]GIT!$B:$D,3,0),)</f>
        <v>0</v>
      </c>
      <c r="O413" s="38">
        <f>IFERROR(VLOOKUP(A:A,[2]Sheet1!$A:$B,2,0),)</f>
        <v>0</v>
      </c>
      <c r="P413" s="38">
        <f>IFERROR(VLOOKUP(A:A,[2]Sheet1!$A:$B,2,0),)</f>
        <v>0</v>
      </c>
      <c r="Q413" s="38">
        <f t="shared" si="6"/>
        <v>5</v>
      </c>
      <c r="R413" s="38">
        <v>1</v>
      </c>
      <c r="S413" s="38"/>
    </row>
    <row r="414" spans="1:19" hidden="1" x14ac:dyDescent="0.25">
      <c r="A414" s="38" t="str">
        <f>F414&amp;C414</f>
        <v>C13140049658</v>
      </c>
      <c r="B414" s="38" t="str">
        <f>IF(J414&gt;=SUMIFS(E:E,C:C,C414),"Good to go","Short in Qty")</f>
        <v>Good to go</v>
      </c>
      <c r="C414" s="40">
        <v>40049658</v>
      </c>
      <c r="D414" s="40" t="s">
        <v>536</v>
      </c>
      <c r="E414" s="66">
        <v>200</v>
      </c>
      <c r="F414" s="38" t="s">
        <v>17</v>
      </c>
      <c r="G414" s="40" t="s">
        <v>467</v>
      </c>
      <c r="H414" s="38" t="s">
        <v>594</v>
      </c>
      <c r="I414" s="38" t="s">
        <v>595</v>
      </c>
      <c r="J414" s="38">
        <f>IFERROR(VLOOKUP(C:C,'[1]S&amp;S'!$B:$F,5,0),)</f>
        <v>1044</v>
      </c>
      <c r="K414" s="38">
        <f>IFERROR(VLOOKUP(A:A,[1]APO!$A:$F,6,0),)</f>
        <v>0</v>
      </c>
      <c r="L414" s="38">
        <f>IFERROR(VLOOKUP(C:C,'[1]TOTAL APO'!$A:$B,2,0),)</f>
        <v>0</v>
      </c>
      <c r="M414" s="38">
        <f>IFERROR(VLOOKUP(A:A,[1]Short!$A:$Q,17,0),)</f>
        <v>0</v>
      </c>
      <c r="N414" s="38">
        <f>IFERROR(VLOOKUP(C:C,[1]GIT!$B:$D,3,0),)</f>
        <v>0</v>
      </c>
      <c r="O414" s="38">
        <f>IFERROR(VLOOKUP(A:A,[2]Sheet1!$A:$B,2,0),)</f>
        <v>200</v>
      </c>
      <c r="P414" s="38">
        <f>IFERROR(VLOOKUP(A:A,[2]Sheet1!$A:$B,2,0),)</f>
        <v>200</v>
      </c>
      <c r="Q414" s="38">
        <f t="shared" si="6"/>
        <v>0</v>
      </c>
      <c r="R414" s="38">
        <v>1</v>
      </c>
      <c r="S414" s="38"/>
    </row>
    <row r="415" spans="1:19" hidden="1" x14ac:dyDescent="0.25">
      <c r="A415" s="38" t="str">
        <f>F415&amp;C415</f>
        <v>C11140060449</v>
      </c>
      <c r="B415" s="38" t="str">
        <f>IF(J415&gt;=SUMIFS(E:E,C:C,C415),"Good to go","Short in Qty")</f>
        <v>Good to go</v>
      </c>
      <c r="C415" s="40">
        <v>40060449</v>
      </c>
      <c r="D415" s="40" t="s">
        <v>537</v>
      </c>
      <c r="E415" s="66">
        <v>50</v>
      </c>
      <c r="F415" s="38" t="s">
        <v>16</v>
      </c>
      <c r="G415" s="40" t="s">
        <v>467</v>
      </c>
      <c r="H415" s="38" t="s">
        <v>594</v>
      </c>
      <c r="I415" s="38" t="s">
        <v>595</v>
      </c>
      <c r="J415" s="38">
        <f>IFERROR(VLOOKUP(C:C,'[1]S&amp;S'!$B:$F,5,0),)</f>
        <v>728</v>
      </c>
      <c r="K415" s="38">
        <f>IFERROR(VLOOKUP(A:A,[1]APO!$A:$F,6,0),)</f>
        <v>0</v>
      </c>
      <c r="L415" s="38">
        <f>IFERROR(VLOOKUP(C:C,'[1]TOTAL APO'!$A:$B,2,0),)</f>
        <v>0</v>
      </c>
      <c r="M415" s="38">
        <f>IFERROR(VLOOKUP(A:A,[1]Short!$A:$Q,17,0),)</f>
        <v>0</v>
      </c>
      <c r="N415" s="38">
        <f>IFERROR(VLOOKUP(C:C,[1]GIT!$B:$D,3,0),)</f>
        <v>0</v>
      </c>
      <c r="O415" s="38">
        <f>IFERROR(VLOOKUP(A:A,[2]Sheet1!$A:$B,2,0),)</f>
        <v>50</v>
      </c>
      <c r="P415" s="38">
        <f>IFERROR(VLOOKUP(A:A,[2]Sheet1!$A:$B,2,0),)</f>
        <v>50</v>
      </c>
      <c r="Q415" s="38">
        <f t="shared" si="6"/>
        <v>0</v>
      </c>
      <c r="R415" s="38">
        <v>1</v>
      </c>
      <c r="S415" s="38"/>
    </row>
    <row r="416" spans="1:19" hidden="1" x14ac:dyDescent="0.25">
      <c r="A416" s="38" t="str">
        <f>F416&amp;C416</f>
        <v>C04640065292</v>
      </c>
      <c r="B416" s="38" t="str">
        <f>IF(J416&gt;=SUMIFS(E:E,C:C,C416),"Good to go","Short in Qty")</f>
        <v>Good to go</v>
      </c>
      <c r="C416" s="40">
        <v>40065292</v>
      </c>
      <c r="D416" s="40" t="s">
        <v>437</v>
      </c>
      <c r="E416" s="66">
        <v>10</v>
      </c>
      <c r="F416" s="38" t="s">
        <v>13</v>
      </c>
      <c r="G416" s="40"/>
      <c r="H416" s="38" t="s">
        <v>594</v>
      </c>
      <c r="I416" s="38" t="s">
        <v>595</v>
      </c>
      <c r="J416" s="38">
        <f>IFERROR(VLOOKUP(C:C,'[1]S&amp;S'!$B:$F,5,0),)</f>
        <v>3084</v>
      </c>
      <c r="K416" s="38">
        <f>IFERROR(VLOOKUP(A:A,[1]APO!$A:$F,6,0),)</f>
        <v>0</v>
      </c>
      <c r="L416" s="38">
        <f>IFERROR(VLOOKUP(C:C,'[1]TOTAL APO'!$A:$B,2,0),)</f>
        <v>0</v>
      </c>
      <c r="M416" s="38">
        <f>IFERROR(VLOOKUP(A:A,[1]Short!$A:$Q,17,0),)</f>
        <v>0</v>
      </c>
      <c r="N416" s="38">
        <f>IFERROR(VLOOKUP(C:C,[1]GIT!$B:$D,3,0),)</f>
        <v>0</v>
      </c>
      <c r="O416" s="38">
        <f>IFERROR(VLOOKUP(A:A,[2]Sheet1!$A:$B,2,0),)</f>
        <v>0</v>
      </c>
      <c r="P416" s="38">
        <f>IFERROR(VLOOKUP(A:A,[2]Sheet1!$A:$B,2,0),)</f>
        <v>0</v>
      </c>
      <c r="Q416" s="38">
        <f t="shared" si="6"/>
        <v>10</v>
      </c>
      <c r="R416" s="38">
        <v>1</v>
      </c>
      <c r="S416" s="38"/>
    </row>
    <row r="417" spans="1:19" hidden="1" x14ac:dyDescent="0.25">
      <c r="A417" s="38" t="str">
        <f>F417&amp;C417</f>
        <v>C13140065292</v>
      </c>
      <c r="B417" s="38" t="str">
        <f>IF(J417&gt;=SUMIFS(E:E,C:C,C417),"Good to go","Short in Qty")</f>
        <v>Good to go</v>
      </c>
      <c r="C417" s="40">
        <v>40065292</v>
      </c>
      <c r="D417" s="40" t="s">
        <v>437</v>
      </c>
      <c r="E417" s="66">
        <v>300</v>
      </c>
      <c r="F417" s="38" t="s">
        <v>17</v>
      </c>
      <c r="G417" s="40" t="s">
        <v>467</v>
      </c>
      <c r="H417" s="38" t="s">
        <v>594</v>
      </c>
      <c r="I417" s="38" t="s">
        <v>595</v>
      </c>
      <c r="J417" s="38">
        <f>IFERROR(VLOOKUP(C:C,'[1]S&amp;S'!$B:$F,5,0),)</f>
        <v>3084</v>
      </c>
      <c r="K417" s="38">
        <f>IFERROR(VLOOKUP(A:A,[1]APO!$A:$F,6,0),)</f>
        <v>0</v>
      </c>
      <c r="L417" s="38">
        <f>IFERROR(VLOOKUP(C:C,'[1]TOTAL APO'!$A:$B,2,0),)</f>
        <v>0</v>
      </c>
      <c r="M417" s="38">
        <f>IFERROR(VLOOKUP(A:A,[1]Short!$A:$Q,17,0),)</f>
        <v>0</v>
      </c>
      <c r="N417" s="38">
        <f>IFERROR(VLOOKUP(C:C,[1]GIT!$B:$D,3,0),)</f>
        <v>0</v>
      </c>
      <c r="O417" s="38">
        <f>IFERROR(VLOOKUP(A:A,[2]Sheet1!$A:$B,2,0),)</f>
        <v>300</v>
      </c>
      <c r="P417" s="38">
        <f>IFERROR(VLOOKUP(A:A,[2]Sheet1!$A:$B,2,0),)</f>
        <v>300</v>
      </c>
      <c r="Q417" s="38">
        <f t="shared" si="6"/>
        <v>0</v>
      </c>
      <c r="R417" s="38">
        <v>1</v>
      </c>
      <c r="S417" s="38"/>
    </row>
    <row r="418" spans="1:19" hidden="1" x14ac:dyDescent="0.25">
      <c r="A418" s="38" t="str">
        <f>F418&amp;C418</f>
        <v>C04640060282</v>
      </c>
      <c r="B418" s="38" t="str">
        <f>IF(J418&gt;=SUMIFS(E:E,C:C,C418),"Good to go","Short in Qty")</f>
        <v>Short in Qty</v>
      </c>
      <c r="C418" s="40">
        <v>40060282</v>
      </c>
      <c r="D418" s="40" t="s">
        <v>565</v>
      </c>
      <c r="E418" s="66">
        <v>10</v>
      </c>
      <c r="F418" s="38" t="s">
        <v>13</v>
      </c>
      <c r="G418" s="40" t="s">
        <v>269</v>
      </c>
      <c r="H418" s="38" t="s">
        <v>594</v>
      </c>
      <c r="I418" s="38" t="s">
        <v>595</v>
      </c>
      <c r="J418" s="38">
        <f>IFERROR(VLOOKUP(C:C,'[1]S&amp;S'!$B:$F,5,0),)</f>
        <v>0</v>
      </c>
      <c r="K418" s="38">
        <f>IFERROR(VLOOKUP(A:A,[1]APO!$A:$F,6,0),)</f>
        <v>0</v>
      </c>
      <c r="L418" s="38">
        <f>IFERROR(VLOOKUP(C:C,'[1]TOTAL APO'!$A:$B,2,0),)</f>
        <v>0</v>
      </c>
      <c r="M418" s="38">
        <f>IFERROR(VLOOKUP(A:A,[1]Short!$A:$Q,17,0),)</f>
        <v>0</v>
      </c>
      <c r="N418" s="38">
        <f>IFERROR(VLOOKUP(C:C,[1]GIT!$B:$D,3,0),)</f>
        <v>0</v>
      </c>
      <c r="O418" s="38">
        <f>IFERROR(VLOOKUP(A:A,[2]Sheet1!$A:$B,2,0),)</f>
        <v>0</v>
      </c>
      <c r="P418" s="38">
        <f>IFERROR(VLOOKUP(A:A,[2]Sheet1!$A:$B,2,0),)</f>
        <v>0</v>
      </c>
      <c r="Q418" s="38">
        <f t="shared" si="6"/>
        <v>10</v>
      </c>
      <c r="R418" s="38"/>
      <c r="S418" s="38"/>
    </row>
    <row r="419" spans="1:19" hidden="1" x14ac:dyDescent="0.25">
      <c r="A419" s="38" t="str">
        <f>F419&amp;C419</f>
        <v>C04340062014</v>
      </c>
      <c r="B419" s="38" t="str">
        <f>IF(J419&gt;=SUMIFS(E:E,C:C,C419),"Good to go","Short in Qty")</f>
        <v>Good to go</v>
      </c>
      <c r="C419" s="40">
        <v>40062014</v>
      </c>
      <c r="D419" s="40" t="s">
        <v>538</v>
      </c>
      <c r="E419" s="66">
        <v>20</v>
      </c>
      <c r="F419" s="38" t="s">
        <v>11</v>
      </c>
      <c r="G419" s="40" t="s">
        <v>467</v>
      </c>
      <c r="H419" s="38" t="s">
        <v>594</v>
      </c>
      <c r="I419" s="38" t="s">
        <v>595</v>
      </c>
      <c r="J419" s="38">
        <f>IFERROR(VLOOKUP(C:C,'[1]S&amp;S'!$B:$F,5,0),)</f>
        <v>140.833333333333</v>
      </c>
      <c r="K419" s="38">
        <f>IFERROR(VLOOKUP(A:A,[1]APO!$A:$F,6,0),)</f>
        <v>0</v>
      </c>
      <c r="L419" s="38">
        <f>IFERROR(VLOOKUP(C:C,'[1]TOTAL APO'!$A:$B,2,0),)</f>
        <v>0</v>
      </c>
      <c r="M419" s="38">
        <f>IFERROR(VLOOKUP(A:A,[1]Short!$A:$Q,17,0),)</f>
        <v>0</v>
      </c>
      <c r="N419" s="38">
        <f>IFERROR(VLOOKUP(C:C,[1]GIT!$B:$D,3,0),)</f>
        <v>0</v>
      </c>
      <c r="O419" s="38">
        <f>IFERROR(VLOOKUP(A:A,[2]Sheet1!$A:$B,2,0),)</f>
        <v>20</v>
      </c>
      <c r="P419" s="38">
        <f>IFERROR(VLOOKUP(A:A,[2]Sheet1!$A:$B,2,0),)</f>
        <v>20</v>
      </c>
      <c r="Q419" s="38">
        <f t="shared" si="6"/>
        <v>0</v>
      </c>
      <c r="R419" s="38">
        <v>1</v>
      </c>
      <c r="S419" s="38"/>
    </row>
    <row r="420" spans="1:19" hidden="1" x14ac:dyDescent="0.25">
      <c r="A420" s="38" t="str">
        <f>F420&amp;C420</f>
        <v>C04740060282</v>
      </c>
      <c r="B420" s="38" t="str">
        <f>IF(J420&gt;=SUMIFS(E:E,C:C,C420),"Good to go","Short in Qty")</f>
        <v>Short in Qty</v>
      </c>
      <c r="C420" s="40">
        <v>40060282</v>
      </c>
      <c r="D420" s="40" t="s">
        <v>565</v>
      </c>
      <c r="E420" s="66">
        <v>5</v>
      </c>
      <c r="F420" s="38" t="s">
        <v>192</v>
      </c>
      <c r="G420" s="40" t="s">
        <v>269</v>
      </c>
      <c r="H420" s="38" t="s">
        <v>594</v>
      </c>
      <c r="I420" s="38" t="s">
        <v>595</v>
      </c>
      <c r="J420" s="38">
        <f>IFERROR(VLOOKUP(C:C,'[1]S&amp;S'!$B:$F,5,0),)</f>
        <v>0</v>
      </c>
      <c r="K420" s="38">
        <f>IFERROR(VLOOKUP(A:A,[1]APO!$A:$F,6,0),)</f>
        <v>0</v>
      </c>
      <c r="L420" s="38">
        <f>IFERROR(VLOOKUP(C:C,'[1]TOTAL APO'!$A:$B,2,0),)</f>
        <v>0</v>
      </c>
      <c r="M420" s="38">
        <f>IFERROR(VLOOKUP(A:A,[1]Short!$A:$Q,17,0),)</f>
        <v>0</v>
      </c>
      <c r="N420" s="38">
        <f>IFERROR(VLOOKUP(C:C,[1]GIT!$B:$D,3,0),)</f>
        <v>0</v>
      </c>
      <c r="O420" s="38">
        <f>IFERROR(VLOOKUP(A:A,[2]Sheet1!$A:$B,2,0),)</f>
        <v>0</v>
      </c>
      <c r="P420" s="38">
        <f>IFERROR(VLOOKUP(A:A,[2]Sheet1!$A:$B,2,0),)</f>
        <v>0</v>
      </c>
      <c r="Q420" s="38">
        <f t="shared" si="6"/>
        <v>5</v>
      </c>
      <c r="R420" s="38"/>
      <c r="S420" s="38"/>
    </row>
    <row r="421" spans="1:19" hidden="1" x14ac:dyDescent="0.25">
      <c r="A421" s="38" t="str">
        <f>F421&amp;C421</f>
        <v>C04840060282</v>
      </c>
      <c r="B421" s="38" t="str">
        <f>IF(J421&gt;=SUMIFS(E:E,C:C,C421),"Good to go","Short in Qty")</f>
        <v>Short in Qty</v>
      </c>
      <c r="C421" s="40">
        <v>40060282</v>
      </c>
      <c r="D421" s="40" t="s">
        <v>565</v>
      </c>
      <c r="E421" s="66">
        <v>15</v>
      </c>
      <c r="F421" s="38" t="s">
        <v>8</v>
      </c>
      <c r="G421" s="40" t="s">
        <v>269</v>
      </c>
      <c r="H421" s="38" t="s">
        <v>594</v>
      </c>
      <c r="I421" s="38" t="s">
        <v>595</v>
      </c>
      <c r="J421" s="38">
        <f>IFERROR(VLOOKUP(C:C,'[1]S&amp;S'!$B:$F,5,0),)</f>
        <v>0</v>
      </c>
      <c r="K421" s="38">
        <f>IFERROR(VLOOKUP(A:A,[1]APO!$A:$F,6,0),)</f>
        <v>0</v>
      </c>
      <c r="L421" s="38">
        <f>IFERROR(VLOOKUP(C:C,'[1]TOTAL APO'!$A:$B,2,0),)</f>
        <v>0</v>
      </c>
      <c r="M421" s="38">
        <f>IFERROR(VLOOKUP(A:A,[1]Short!$A:$Q,17,0),)</f>
        <v>0</v>
      </c>
      <c r="N421" s="38">
        <f>IFERROR(VLOOKUP(C:C,[1]GIT!$B:$D,3,0),)</f>
        <v>0</v>
      </c>
      <c r="O421" s="38">
        <f>IFERROR(VLOOKUP(A:A,[2]Sheet1!$A:$B,2,0),)</f>
        <v>0</v>
      </c>
      <c r="P421" s="38">
        <f>IFERROR(VLOOKUP(A:A,[2]Sheet1!$A:$B,2,0),)</f>
        <v>0</v>
      </c>
      <c r="Q421" s="38">
        <f t="shared" si="6"/>
        <v>15</v>
      </c>
      <c r="R421" s="38"/>
      <c r="S421" s="38"/>
    </row>
    <row r="422" spans="1:19" hidden="1" x14ac:dyDescent="0.25">
      <c r="A422" s="38" t="str">
        <f>F422&amp;C422</f>
        <v>C04640042746</v>
      </c>
      <c r="B422" s="38" t="str">
        <f>IF(J422&gt;=SUMIFS(E:E,C:C,C422),"Good to go","Short in Qty")</f>
        <v>Good to go</v>
      </c>
      <c r="C422" s="40">
        <v>40042746</v>
      </c>
      <c r="D422" s="40" t="s">
        <v>455</v>
      </c>
      <c r="E422" s="66">
        <v>5</v>
      </c>
      <c r="F422" s="38" t="s">
        <v>13</v>
      </c>
      <c r="G422" s="40"/>
      <c r="H422" s="38" t="s">
        <v>594</v>
      </c>
      <c r="I422" s="38" t="s">
        <v>595</v>
      </c>
      <c r="J422" s="38">
        <f>IFERROR(VLOOKUP(C:C,'[1]S&amp;S'!$B:$F,5,0),)</f>
        <v>15</v>
      </c>
      <c r="K422" s="38">
        <f>IFERROR(VLOOKUP(A:A,[1]APO!$A:$F,6,0),)</f>
        <v>0</v>
      </c>
      <c r="L422" s="38">
        <f>IFERROR(VLOOKUP(C:C,'[1]TOTAL APO'!$A:$B,2,0),)</f>
        <v>0</v>
      </c>
      <c r="M422" s="38">
        <f>IFERROR(VLOOKUP(A:A,[1]Short!$A:$Q,17,0),)</f>
        <v>0</v>
      </c>
      <c r="N422" s="38">
        <f>IFERROR(VLOOKUP(C:C,[1]GIT!$B:$D,3,0),)</f>
        <v>0</v>
      </c>
      <c r="O422" s="38">
        <f>IFERROR(VLOOKUP(A:A,[2]Sheet1!$A:$B,2,0),)</f>
        <v>0</v>
      </c>
      <c r="P422" s="38">
        <f>IFERROR(VLOOKUP(A:A,[2]Sheet1!$A:$B,2,0),)</f>
        <v>0</v>
      </c>
      <c r="Q422" s="38">
        <f t="shared" si="6"/>
        <v>5</v>
      </c>
      <c r="R422" s="38">
        <v>1</v>
      </c>
      <c r="S422" s="38"/>
    </row>
    <row r="423" spans="1:19" hidden="1" x14ac:dyDescent="0.25">
      <c r="A423" s="38" t="str">
        <f>F423&amp;C423</f>
        <v>C04440060848</v>
      </c>
      <c r="B423" s="38" t="str">
        <f>IF(J423&gt;=SUMIFS(E:E,C:C,C423),"Good to go","Short in Qty")</f>
        <v>Short in Qty</v>
      </c>
      <c r="C423" s="40">
        <v>40060848</v>
      </c>
      <c r="D423" s="40" t="s">
        <v>548</v>
      </c>
      <c r="E423" s="67">
        <v>100</v>
      </c>
      <c r="F423" s="38" t="s">
        <v>191</v>
      </c>
      <c r="G423" s="40" t="s">
        <v>269</v>
      </c>
      <c r="H423" s="38" t="s">
        <v>594</v>
      </c>
      <c r="I423" s="38" t="s">
        <v>595</v>
      </c>
      <c r="J423" s="38">
        <f>IFERROR(VLOOKUP(C:C,'[1]S&amp;S'!$B:$F,5,0),)</f>
        <v>0</v>
      </c>
      <c r="K423" s="38">
        <f>IFERROR(VLOOKUP(A:A,[1]APO!$A:$F,6,0),)</f>
        <v>0</v>
      </c>
      <c r="L423" s="38">
        <f>IFERROR(VLOOKUP(C:C,'[1]TOTAL APO'!$A:$B,2,0),)</f>
        <v>0</v>
      </c>
      <c r="M423" s="38">
        <f>IFERROR(VLOOKUP(A:A,[1]Short!$A:$Q,17,0),)</f>
        <v>0</v>
      </c>
      <c r="N423" s="38">
        <f>IFERROR(VLOOKUP(C:C,[1]GIT!$B:$D,3,0),)</f>
        <v>0</v>
      </c>
      <c r="O423" s="38">
        <f>IFERROR(VLOOKUP(A:A,[2]Sheet1!$A:$B,2,0),)</f>
        <v>80</v>
      </c>
      <c r="P423" s="38">
        <f>IFERROR(VLOOKUP(A:A,[2]Sheet1!$A:$B,2,0),)</f>
        <v>80</v>
      </c>
      <c r="Q423" s="38">
        <f t="shared" si="6"/>
        <v>20</v>
      </c>
      <c r="R423" s="38"/>
      <c r="S423" s="38"/>
    </row>
    <row r="424" spans="1:19" hidden="1" x14ac:dyDescent="0.25">
      <c r="A424" s="38" t="str">
        <f>F424&amp;C424</f>
        <v>C04640062536</v>
      </c>
      <c r="B424" s="38" t="str">
        <f>IF(J424&gt;=SUMIFS(E:E,C:C,C424),"Good to go","Short in Qty")</f>
        <v>Good to go</v>
      </c>
      <c r="C424" s="40">
        <v>40062536</v>
      </c>
      <c r="D424" s="40" t="s">
        <v>542</v>
      </c>
      <c r="E424" s="66">
        <v>30</v>
      </c>
      <c r="F424" s="38" t="s">
        <v>13</v>
      </c>
      <c r="G424" s="40"/>
      <c r="H424" s="38" t="s">
        <v>594</v>
      </c>
      <c r="I424" s="38" t="s">
        <v>595</v>
      </c>
      <c r="J424" s="38">
        <f>IFERROR(VLOOKUP(C:C,'[1]S&amp;S'!$B:$F,5,0),)</f>
        <v>768</v>
      </c>
      <c r="K424" s="38">
        <f>IFERROR(VLOOKUP(A:A,[1]APO!$A:$F,6,0),)</f>
        <v>0</v>
      </c>
      <c r="L424" s="38">
        <f>IFERROR(VLOOKUP(C:C,'[1]TOTAL APO'!$A:$B,2,0),)</f>
        <v>0</v>
      </c>
      <c r="M424" s="38">
        <f>IFERROR(VLOOKUP(A:A,[1]Short!$A:$Q,17,0),)</f>
        <v>0</v>
      </c>
      <c r="N424" s="38">
        <f>IFERROR(VLOOKUP(C:C,[1]GIT!$B:$D,3,0),)</f>
        <v>0</v>
      </c>
      <c r="O424" s="38">
        <f>IFERROR(VLOOKUP(A:A,[2]Sheet1!$A:$B,2,0),)</f>
        <v>0</v>
      </c>
      <c r="P424" s="38">
        <f>IFERROR(VLOOKUP(A:A,[2]Sheet1!$A:$B,2,0),)</f>
        <v>0</v>
      </c>
      <c r="Q424" s="38">
        <f t="shared" si="6"/>
        <v>30</v>
      </c>
      <c r="R424" s="38">
        <v>1</v>
      </c>
      <c r="S424" s="38"/>
    </row>
    <row r="425" spans="1:19" hidden="1" x14ac:dyDescent="0.25">
      <c r="A425" s="38" t="str">
        <f>F425&amp;C425</f>
        <v>C04640062343</v>
      </c>
      <c r="B425" s="38" t="str">
        <f>IF(J425&gt;=SUMIFS(E:E,C:C,C425),"Good to go","Short in Qty")</f>
        <v>Good to go</v>
      </c>
      <c r="C425" s="40">
        <v>40062343</v>
      </c>
      <c r="D425" s="40" t="s">
        <v>543</v>
      </c>
      <c r="E425" s="66">
        <v>50</v>
      </c>
      <c r="F425" s="38" t="s">
        <v>13</v>
      </c>
      <c r="G425" s="40"/>
      <c r="H425" s="38" t="s">
        <v>594</v>
      </c>
      <c r="I425" s="38" t="s">
        <v>595</v>
      </c>
      <c r="J425" s="38">
        <f>IFERROR(VLOOKUP(C:C,'[1]S&amp;S'!$B:$F,5,0),)</f>
        <v>1890</v>
      </c>
      <c r="K425" s="38">
        <f>IFERROR(VLOOKUP(A:A,[1]APO!$A:$F,6,0),)</f>
        <v>0</v>
      </c>
      <c r="L425" s="38">
        <f>IFERROR(VLOOKUP(C:C,'[1]TOTAL APO'!$A:$B,2,0),)</f>
        <v>0</v>
      </c>
      <c r="M425" s="38">
        <f>IFERROR(VLOOKUP(A:A,[1]Short!$A:$Q,17,0),)</f>
        <v>0</v>
      </c>
      <c r="N425" s="38">
        <f>IFERROR(VLOOKUP(C:C,[1]GIT!$B:$D,3,0),)</f>
        <v>0</v>
      </c>
      <c r="O425" s="38">
        <f>IFERROR(VLOOKUP(A:A,[2]Sheet1!$A:$B,2,0),)</f>
        <v>0</v>
      </c>
      <c r="P425" s="38">
        <f>IFERROR(VLOOKUP(A:A,[2]Sheet1!$A:$B,2,0),)</f>
        <v>0</v>
      </c>
      <c r="Q425" s="38">
        <f t="shared" si="6"/>
        <v>50</v>
      </c>
      <c r="R425" s="38">
        <v>1</v>
      </c>
      <c r="S425" s="38"/>
    </row>
    <row r="426" spans="1:19" hidden="1" x14ac:dyDescent="0.25">
      <c r="A426" s="38" t="str">
        <f>F426&amp;C426</f>
        <v>C04840062018</v>
      </c>
      <c r="B426" s="38" t="str">
        <f>IF(J426&gt;=SUMIFS(E:E,C:C,C426),"Good to go","Short in Qty")</f>
        <v>Good to go</v>
      </c>
      <c r="C426" s="40">
        <v>40062018</v>
      </c>
      <c r="D426" s="40" t="s">
        <v>272</v>
      </c>
      <c r="E426" s="66">
        <v>16</v>
      </c>
      <c r="F426" s="38" t="s">
        <v>8</v>
      </c>
      <c r="G426" s="40" t="s">
        <v>467</v>
      </c>
      <c r="H426" s="38" t="s">
        <v>9</v>
      </c>
      <c r="I426" s="38" t="s">
        <v>530</v>
      </c>
      <c r="J426" s="38">
        <f>IFERROR(VLOOKUP(C:C,'[1]S&amp;S'!$B:$F,5,0),)</f>
        <v>260</v>
      </c>
      <c r="K426" s="38">
        <f>IFERROR(VLOOKUP(A:A,[1]APO!$A:$F,6,0),)</f>
        <v>0</v>
      </c>
      <c r="L426" s="38">
        <f>IFERROR(VLOOKUP(C:C,'[1]TOTAL APO'!$A:$B,2,0),)</f>
        <v>0</v>
      </c>
      <c r="M426" s="38">
        <f>IFERROR(VLOOKUP(A:A,[1]Short!$A:$Q,17,0),)</f>
        <v>0</v>
      </c>
      <c r="N426" s="38">
        <f>IFERROR(VLOOKUP(C:C,[1]GIT!$B:$D,3,0),)</f>
        <v>0</v>
      </c>
      <c r="O426" s="38">
        <f>IFERROR(VLOOKUP(A:A,[2]Sheet1!$A:$B,2,0),)</f>
        <v>16</v>
      </c>
      <c r="P426" s="38">
        <f>IFERROR(VLOOKUP(A:A,[2]Sheet1!$A:$B,2,0),)</f>
        <v>16</v>
      </c>
      <c r="Q426" s="38">
        <f t="shared" si="6"/>
        <v>0</v>
      </c>
      <c r="R426" s="38"/>
      <c r="S426" s="38"/>
    </row>
    <row r="427" spans="1:19" hidden="1" x14ac:dyDescent="0.25">
      <c r="A427" s="38" t="str">
        <f>F427&amp;C427</f>
        <v>C04340062518</v>
      </c>
      <c r="B427" s="38" t="str">
        <f>IF(J427&gt;=SUMIFS(E:E,C:C,C427),"Good to go","Short in Qty")</f>
        <v>Good to go</v>
      </c>
      <c r="C427" s="40">
        <v>40062518</v>
      </c>
      <c r="D427" s="40" t="s">
        <v>544</v>
      </c>
      <c r="E427" s="66">
        <v>50</v>
      </c>
      <c r="F427" s="38" t="s">
        <v>11</v>
      </c>
      <c r="G427" s="40" t="s">
        <v>467</v>
      </c>
      <c r="H427" s="38" t="s">
        <v>594</v>
      </c>
      <c r="I427" s="38" t="s">
        <v>595</v>
      </c>
      <c r="J427" s="38">
        <f>IFERROR(VLOOKUP(C:C,'[1]S&amp;S'!$B:$F,5,0),)</f>
        <v>343</v>
      </c>
      <c r="K427" s="38">
        <f>IFERROR(VLOOKUP(A:A,[1]APO!$A:$F,6,0),)</f>
        <v>0</v>
      </c>
      <c r="L427" s="38">
        <f>IFERROR(VLOOKUP(C:C,'[1]TOTAL APO'!$A:$B,2,0),)</f>
        <v>0</v>
      </c>
      <c r="M427" s="38">
        <f>IFERROR(VLOOKUP(A:A,[1]Short!$A:$Q,17,0),)</f>
        <v>0</v>
      </c>
      <c r="N427" s="38">
        <f>IFERROR(VLOOKUP(C:C,[1]GIT!$B:$D,3,0),)</f>
        <v>12</v>
      </c>
      <c r="O427" s="38">
        <f>IFERROR(VLOOKUP(A:A,[2]Sheet1!$A:$B,2,0),)</f>
        <v>50</v>
      </c>
      <c r="P427" s="38">
        <f>IFERROR(VLOOKUP(A:A,[2]Sheet1!$A:$B,2,0),)</f>
        <v>50</v>
      </c>
      <c r="Q427" s="38">
        <f t="shared" si="6"/>
        <v>0</v>
      </c>
      <c r="R427" s="38">
        <v>1</v>
      </c>
      <c r="S427" s="38"/>
    </row>
    <row r="428" spans="1:19" hidden="1" x14ac:dyDescent="0.25">
      <c r="A428" s="38" t="str">
        <f>F428&amp;C428</f>
        <v>C04840062017</v>
      </c>
      <c r="B428" s="38" t="str">
        <f>IF(J428&gt;=SUMIFS(E:E,C:C,C428),"Good to go","Short in Qty")</f>
        <v>Good to go</v>
      </c>
      <c r="C428" s="40">
        <v>40062017</v>
      </c>
      <c r="D428" s="40" t="s">
        <v>307</v>
      </c>
      <c r="E428" s="66">
        <v>43</v>
      </c>
      <c r="F428" s="38" t="s">
        <v>8</v>
      </c>
      <c r="G428" s="73" t="s">
        <v>467</v>
      </c>
      <c r="H428" s="38" t="s">
        <v>84</v>
      </c>
      <c r="I428" s="38" t="s">
        <v>620</v>
      </c>
      <c r="J428" s="38">
        <f>IFERROR(VLOOKUP(C:C,'[1]S&amp;S'!$B:$F,5,0),)</f>
        <v>52.5</v>
      </c>
      <c r="K428" s="38">
        <f>IFERROR(VLOOKUP(A:A,[1]APO!$A:$F,6,0),)</f>
        <v>0</v>
      </c>
      <c r="L428" s="38">
        <f>IFERROR(VLOOKUP(C:C,'[1]TOTAL APO'!$A:$B,2,0),)</f>
        <v>0</v>
      </c>
      <c r="M428" s="38">
        <f>IFERROR(VLOOKUP(A:A,[1]Short!$A:$Q,17,0),)</f>
        <v>0</v>
      </c>
      <c r="N428" s="38">
        <f>IFERROR(VLOOKUP(C:C,[1]GIT!$B:$D,3,0),)</f>
        <v>0</v>
      </c>
      <c r="O428" s="38">
        <f>IFERROR(VLOOKUP(A:A,[2]Sheet1!$A:$B,2,0),)</f>
        <v>43</v>
      </c>
      <c r="P428" s="38">
        <f>IFERROR(VLOOKUP(A:A,[2]Sheet1!$A:$B,2,0),)</f>
        <v>43</v>
      </c>
      <c r="Q428" s="38">
        <f t="shared" si="6"/>
        <v>0</v>
      </c>
      <c r="R428" s="38"/>
      <c r="S428" s="38"/>
    </row>
    <row r="429" spans="1:19" hidden="1" x14ac:dyDescent="0.25">
      <c r="A429" s="38" t="str">
        <f>F429&amp;C429</f>
        <v>C04840063491</v>
      </c>
      <c r="B429" s="38" t="str">
        <f>IF(J429&gt;=SUMIFS(E:E,C:C,C429),"Good to go","Short in Qty")</f>
        <v>Good to go</v>
      </c>
      <c r="C429" s="40">
        <v>40063491</v>
      </c>
      <c r="D429" s="40" t="s">
        <v>304</v>
      </c>
      <c r="E429" s="66">
        <v>16</v>
      </c>
      <c r="F429" s="38" t="s">
        <v>8</v>
      </c>
      <c r="G429" s="40" t="s">
        <v>467</v>
      </c>
      <c r="H429" s="38" t="s">
        <v>9</v>
      </c>
      <c r="I429" s="38" t="s">
        <v>371</v>
      </c>
      <c r="J429" s="38">
        <f>IFERROR(VLOOKUP(C:C,'[1]S&amp;S'!$B:$F,5,0),)</f>
        <v>23.000222222222199</v>
      </c>
      <c r="K429" s="38">
        <f>IFERROR(VLOOKUP(A:A,[1]APO!$A:$F,6,0),)</f>
        <v>0</v>
      </c>
      <c r="L429" s="38">
        <f>IFERROR(VLOOKUP(C:C,'[1]TOTAL APO'!$A:$B,2,0),)</f>
        <v>0</v>
      </c>
      <c r="M429" s="38">
        <f>IFERROR(VLOOKUP(A:A,[1]Short!$A:$Q,17,0),)</f>
        <v>0</v>
      </c>
      <c r="N429" s="38">
        <f>IFERROR(VLOOKUP(C:C,[1]GIT!$B:$D,3,0),)</f>
        <v>0</v>
      </c>
      <c r="O429" s="38">
        <f>IFERROR(VLOOKUP(A:A,[2]Sheet1!$A:$B,2,0),)</f>
        <v>16</v>
      </c>
      <c r="P429" s="38">
        <f>IFERROR(VLOOKUP(A:A,[2]Sheet1!$A:$B,2,0),)</f>
        <v>16</v>
      </c>
      <c r="Q429" s="38">
        <f t="shared" si="6"/>
        <v>0</v>
      </c>
      <c r="R429" s="38"/>
      <c r="S429" s="38"/>
    </row>
    <row r="430" spans="1:19" hidden="1" x14ac:dyDescent="0.25">
      <c r="A430" s="38" t="str">
        <f>F430&amp;C430</f>
        <v>C04740060914</v>
      </c>
      <c r="B430" s="38" t="str">
        <f>IF(J430&gt;=SUMIFS(E:E,C:C,C430),"Good to go","Short in Qty")</f>
        <v>Good to go</v>
      </c>
      <c r="C430" s="40">
        <v>40060914</v>
      </c>
      <c r="D430" s="40" t="s">
        <v>531</v>
      </c>
      <c r="E430" s="66">
        <v>30</v>
      </c>
      <c r="F430" s="38" t="s">
        <v>192</v>
      </c>
      <c r="G430" s="40"/>
      <c r="H430" s="38" t="s">
        <v>594</v>
      </c>
      <c r="I430" s="38" t="s">
        <v>595</v>
      </c>
      <c r="J430" s="38">
        <f>IFERROR(VLOOKUP(C:C,'[1]S&amp;S'!$B:$F,5,0),)</f>
        <v>970</v>
      </c>
      <c r="K430" s="38">
        <f>IFERROR(VLOOKUP(A:A,[1]APO!$A:$F,6,0),)</f>
        <v>0</v>
      </c>
      <c r="L430" s="38">
        <f>IFERROR(VLOOKUP(C:C,'[1]TOTAL APO'!$A:$B,2,0),)</f>
        <v>0</v>
      </c>
      <c r="M430" s="38">
        <f>IFERROR(VLOOKUP(A:A,[1]Short!$A:$Q,17,0),)</f>
        <v>0</v>
      </c>
      <c r="N430" s="38">
        <f>IFERROR(VLOOKUP(C:C,[1]GIT!$B:$D,3,0),)</f>
        <v>0</v>
      </c>
      <c r="O430" s="38">
        <f>IFERROR(VLOOKUP(A:A,[2]Sheet1!$A:$B,2,0),)</f>
        <v>0</v>
      </c>
      <c r="P430" s="38">
        <f>IFERROR(VLOOKUP(A:A,[2]Sheet1!$A:$B,2,0),)</f>
        <v>0</v>
      </c>
      <c r="Q430" s="38">
        <f t="shared" si="6"/>
        <v>30</v>
      </c>
      <c r="R430" s="38"/>
      <c r="S430" s="38"/>
    </row>
    <row r="431" spans="1:19" hidden="1" x14ac:dyDescent="0.25">
      <c r="A431" s="38" t="str">
        <f>F431&amp;C431</f>
        <v>C13140065352</v>
      </c>
      <c r="B431" s="38" t="str">
        <f>IF(J431&gt;=SUMIFS(E:E,C:C,C431),"Good to go","Short in Qty")</f>
        <v>Good to go</v>
      </c>
      <c r="C431" s="40">
        <v>40065352</v>
      </c>
      <c r="D431" s="40" t="s">
        <v>546</v>
      </c>
      <c r="E431" s="66">
        <v>120</v>
      </c>
      <c r="F431" s="38" t="s">
        <v>17</v>
      </c>
      <c r="G431" s="40" t="s">
        <v>467</v>
      </c>
      <c r="H431" s="38" t="s">
        <v>594</v>
      </c>
      <c r="I431" s="38" t="s">
        <v>595</v>
      </c>
      <c r="J431" s="38">
        <f>IFERROR(VLOOKUP(C:C,'[1]S&amp;S'!$B:$F,5,0),)</f>
        <v>707</v>
      </c>
      <c r="K431" s="38">
        <f>IFERROR(VLOOKUP(A:A,[1]APO!$A:$F,6,0),)</f>
        <v>0</v>
      </c>
      <c r="L431" s="38">
        <f>IFERROR(VLOOKUP(C:C,'[1]TOTAL APO'!$A:$B,2,0),)</f>
        <v>0</v>
      </c>
      <c r="M431" s="38">
        <f>IFERROR(VLOOKUP(A:A,[1]Short!$A:$Q,17,0),)</f>
        <v>0</v>
      </c>
      <c r="N431" s="38">
        <f>IFERROR(VLOOKUP(C:C,[1]GIT!$B:$D,3,0),)</f>
        <v>0</v>
      </c>
      <c r="O431" s="38">
        <f>IFERROR(VLOOKUP(A:A,[2]Sheet1!$A:$B,2,0),)</f>
        <v>120</v>
      </c>
      <c r="P431" s="38">
        <f>IFERROR(VLOOKUP(A:A,[2]Sheet1!$A:$B,2,0),)</f>
        <v>120</v>
      </c>
      <c r="Q431" s="38">
        <f t="shared" si="6"/>
        <v>0</v>
      </c>
      <c r="R431" s="38"/>
      <c r="S431" s="38"/>
    </row>
    <row r="432" spans="1:19" hidden="1" x14ac:dyDescent="0.25">
      <c r="A432" s="38" t="str">
        <f>F432&amp;C432</f>
        <v>C04240065157</v>
      </c>
      <c r="B432" s="38" t="str">
        <f>IF(J432&gt;=SUMIFS(E:E,C:C,C432),"Good to go","Short in Qty")</f>
        <v>Good to go</v>
      </c>
      <c r="C432" s="40">
        <v>40065157</v>
      </c>
      <c r="D432" s="40" t="s">
        <v>444</v>
      </c>
      <c r="E432" s="66">
        <v>150</v>
      </c>
      <c r="F432" s="38" t="s">
        <v>10</v>
      </c>
      <c r="G432" s="40" t="s">
        <v>467</v>
      </c>
      <c r="H432" s="38" t="s">
        <v>594</v>
      </c>
      <c r="I432" s="38" t="s">
        <v>595</v>
      </c>
      <c r="J432" s="38">
        <f>IFERROR(VLOOKUP(C:C,'[1]S&amp;S'!$B:$F,5,0),)</f>
        <v>423</v>
      </c>
      <c r="K432" s="38">
        <f>IFERROR(VLOOKUP(A:A,[1]APO!$A:$F,6,0),)</f>
        <v>0</v>
      </c>
      <c r="L432" s="38">
        <f>IFERROR(VLOOKUP(C:C,'[1]TOTAL APO'!$A:$B,2,0),)</f>
        <v>0</v>
      </c>
      <c r="M432" s="38">
        <f>IFERROR(VLOOKUP(A:A,[1]Short!$A:$Q,17,0),)</f>
        <v>0</v>
      </c>
      <c r="N432" s="38">
        <f>IFERROR(VLOOKUP(C:C,[1]GIT!$B:$D,3,0),)</f>
        <v>0</v>
      </c>
      <c r="O432" s="38">
        <f>IFERROR(VLOOKUP(A:A,[2]Sheet1!$A:$B,2,0),)</f>
        <v>150</v>
      </c>
      <c r="P432" s="38">
        <f>IFERROR(VLOOKUP(A:A,[2]Sheet1!$A:$B,2,0),)</f>
        <v>150</v>
      </c>
      <c r="Q432" s="38">
        <f t="shared" si="6"/>
        <v>0</v>
      </c>
      <c r="R432" s="38"/>
      <c r="S432" s="38"/>
    </row>
    <row r="433" spans="1:19" hidden="1" x14ac:dyDescent="0.25">
      <c r="A433" s="38" t="str">
        <f>F433&amp;C433</f>
        <v>C04340065157</v>
      </c>
      <c r="B433" s="38" t="str">
        <f>IF(J433&gt;=SUMIFS(E:E,C:C,C433),"Good to go","Short in Qty")</f>
        <v>Good to go</v>
      </c>
      <c r="C433" s="40">
        <v>40065157</v>
      </c>
      <c r="D433" s="40" t="s">
        <v>444</v>
      </c>
      <c r="E433" s="66">
        <v>100</v>
      </c>
      <c r="F433" s="38" t="s">
        <v>11</v>
      </c>
      <c r="G433" s="40" t="s">
        <v>467</v>
      </c>
      <c r="H433" s="38" t="s">
        <v>594</v>
      </c>
      <c r="I433" s="38" t="s">
        <v>595</v>
      </c>
      <c r="J433" s="38">
        <f>IFERROR(VLOOKUP(C:C,'[1]S&amp;S'!$B:$F,5,0),)</f>
        <v>423</v>
      </c>
      <c r="K433" s="38">
        <f>IFERROR(VLOOKUP(A:A,[1]APO!$A:$F,6,0),)</f>
        <v>0</v>
      </c>
      <c r="L433" s="38">
        <f>IFERROR(VLOOKUP(C:C,'[1]TOTAL APO'!$A:$B,2,0),)</f>
        <v>0</v>
      </c>
      <c r="M433" s="38">
        <f>IFERROR(VLOOKUP(A:A,[1]Short!$A:$Q,17,0),)</f>
        <v>0</v>
      </c>
      <c r="N433" s="38">
        <f>IFERROR(VLOOKUP(C:C,[1]GIT!$B:$D,3,0),)</f>
        <v>0</v>
      </c>
      <c r="O433" s="38">
        <f>IFERROR(VLOOKUP(A:A,[2]Sheet1!$A:$B,2,0),)</f>
        <v>100</v>
      </c>
      <c r="P433" s="38">
        <f>IFERROR(VLOOKUP(A:A,[2]Sheet1!$A:$B,2,0),)</f>
        <v>100</v>
      </c>
      <c r="Q433" s="38">
        <f t="shared" si="6"/>
        <v>0</v>
      </c>
      <c r="R433" s="38"/>
      <c r="S433" s="38"/>
    </row>
    <row r="434" spans="1:19" hidden="1" x14ac:dyDescent="0.25">
      <c r="A434" s="38" t="str">
        <f>F434&amp;C434</f>
        <v>C04440065157</v>
      </c>
      <c r="B434" s="38" t="str">
        <f>IF(J434&gt;=SUMIFS(E:E,C:C,C434),"Good to go","Short in Qty")</f>
        <v>Good to go</v>
      </c>
      <c r="C434" s="40">
        <v>40065157</v>
      </c>
      <c r="D434" s="40" t="s">
        <v>444</v>
      </c>
      <c r="E434" s="66">
        <v>35</v>
      </c>
      <c r="F434" s="38" t="s">
        <v>191</v>
      </c>
      <c r="G434" s="40"/>
      <c r="H434" s="38" t="s">
        <v>594</v>
      </c>
      <c r="I434" s="38" t="s">
        <v>595</v>
      </c>
      <c r="J434" s="38">
        <f>IFERROR(VLOOKUP(C:C,'[1]S&amp;S'!$B:$F,5,0),)</f>
        <v>423</v>
      </c>
      <c r="K434" s="38">
        <f>IFERROR(VLOOKUP(A:A,[1]APO!$A:$F,6,0),)</f>
        <v>0</v>
      </c>
      <c r="L434" s="38">
        <f>IFERROR(VLOOKUP(C:C,'[1]TOTAL APO'!$A:$B,2,0),)</f>
        <v>0</v>
      </c>
      <c r="M434" s="38">
        <f>IFERROR(VLOOKUP(A:A,[1]Short!$A:$Q,17,0),)</f>
        <v>0</v>
      </c>
      <c r="N434" s="38">
        <f>IFERROR(VLOOKUP(C:C,[1]GIT!$B:$D,3,0),)</f>
        <v>0</v>
      </c>
      <c r="O434" s="38">
        <f>IFERROR(VLOOKUP(A:A,[2]Sheet1!$A:$B,2,0),)</f>
        <v>0</v>
      </c>
      <c r="P434" s="38">
        <f>IFERROR(VLOOKUP(A:A,[2]Sheet1!$A:$B,2,0),)</f>
        <v>0</v>
      </c>
      <c r="Q434" s="38">
        <f t="shared" si="6"/>
        <v>35</v>
      </c>
      <c r="R434" s="38"/>
      <c r="S434" s="38"/>
    </row>
    <row r="435" spans="1:19" hidden="1" x14ac:dyDescent="0.25">
      <c r="A435" s="38" t="str">
        <f>F435&amp;C435</f>
        <v>C04440064955</v>
      </c>
      <c r="B435" s="38" t="str">
        <f>IF(J435&gt;=SUMIFS(E:E,C:C,C435),"Good to go","Short in Qty")</f>
        <v>Good to go</v>
      </c>
      <c r="C435" s="40">
        <v>40064955</v>
      </c>
      <c r="D435" s="40" t="s">
        <v>547</v>
      </c>
      <c r="E435" s="66">
        <v>60</v>
      </c>
      <c r="F435" s="38" t="s">
        <v>191</v>
      </c>
      <c r="G435" s="40"/>
      <c r="H435" s="38" t="s">
        <v>594</v>
      </c>
      <c r="I435" s="38" t="s">
        <v>595</v>
      </c>
      <c r="J435" s="38">
        <f>IFERROR(VLOOKUP(C:C,'[1]S&amp;S'!$B:$F,5,0),)</f>
        <v>60</v>
      </c>
      <c r="K435" s="38">
        <f>IFERROR(VLOOKUP(A:A,[1]APO!$A:$F,6,0),)</f>
        <v>0</v>
      </c>
      <c r="L435" s="38">
        <f>IFERROR(VLOOKUP(C:C,'[1]TOTAL APO'!$A:$B,2,0),)</f>
        <v>0</v>
      </c>
      <c r="M435" s="38">
        <f>IFERROR(VLOOKUP(A:A,[1]Short!$A:$Q,17,0),)</f>
        <v>0</v>
      </c>
      <c r="N435" s="38">
        <f>IFERROR(VLOOKUP(C:C,[1]GIT!$B:$D,3,0),)</f>
        <v>0</v>
      </c>
      <c r="O435" s="38">
        <f>IFERROR(VLOOKUP(A:A,[2]Sheet1!$A:$B,2,0),)</f>
        <v>0</v>
      </c>
      <c r="P435" s="38">
        <f>IFERROR(VLOOKUP(A:A,[2]Sheet1!$A:$B,2,0),)</f>
        <v>0</v>
      </c>
      <c r="Q435" s="38">
        <f t="shared" si="6"/>
        <v>60</v>
      </c>
      <c r="R435" s="38"/>
      <c r="S435" s="38"/>
    </row>
    <row r="436" spans="1:19" hidden="1" x14ac:dyDescent="0.25">
      <c r="A436" s="38" t="str">
        <f>F436&amp;C436</f>
        <v>C04440061028</v>
      </c>
      <c r="B436" s="38" t="str">
        <f>IF(J436&gt;=SUMIFS(E:E,C:C,C436),"Good to go","Short in Qty")</f>
        <v>Short in Qty</v>
      </c>
      <c r="C436" s="40">
        <v>40061028</v>
      </c>
      <c r="D436" s="40" t="s">
        <v>556</v>
      </c>
      <c r="E436" s="66">
        <v>2</v>
      </c>
      <c r="F436" s="38" t="s">
        <v>191</v>
      </c>
      <c r="G436" s="40" t="s">
        <v>596</v>
      </c>
      <c r="H436" s="38" t="s">
        <v>594</v>
      </c>
      <c r="I436" s="38" t="s">
        <v>595</v>
      </c>
      <c r="J436" s="38">
        <f>IFERROR(VLOOKUP(C:C,'[1]S&amp;S'!$B:$F,5,0),)</f>
        <v>0</v>
      </c>
      <c r="K436" s="38">
        <f>IFERROR(VLOOKUP(A:A,[1]APO!$A:$F,6,0),)</f>
        <v>0</v>
      </c>
      <c r="L436" s="38">
        <f>IFERROR(VLOOKUP(C:C,'[1]TOTAL APO'!$A:$B,2,0),)</f>
        <v>0</v>
      </c>
      <c r="M436" s="38">
        <f>IFERROR(VLOOKUP(A:A,[1]Short!$A:$Q,17,0),)</f>
        <v>0</v>
      </c>
      <c r="N436" s="38">
        <f>IFERROR(VLOOKUP(C:C,[1]GIT!$B:$D,3,0),)</f>
        <v>0</v>
      </c>
      <c r="O436" s="38">
        <f>IFERROR(VLOOKUP(A:A,[2]Sheet1!$A:$B,2,0),)</f>
        <v>0</v>
      </c>
      <c r="P436" s="38">
        <f>IFERROR(VLOOKUP(A:A,[2]Sheet1!$A:$B,2,0),)</f>
        <v>0</v>
      </c>
      <c r="Q436" s="38">
        <f t="shared" si="6"/>
        <v>2</v>
      </c>
      <c r="R436" s="38"/>
      <c r="S436" s="38"/>
    </row>
    <row r="437" spans="1:19" hidden="1" x14ac:dyDescent="0.25">
      <c r="A437" s="38" t="str">
        <f>F437&amp;C437</f>
        <v>C04840061028</v>
      </c>
      <c r="B437" s="38" t="str">
        <f>IF(J437&gt;=SUMIFS(E:E,C:C,C437),"Good to go","Short in Qty")</f>
        <v>Short in Qty</v>
      </c>
      <c r="C437" s="40">
        <v>40061028</v>
      </c>
      <c r="D437" s="40" t="s">
        <v>556</v>
      </c>
      <c r="E437" s="66">
        <v>8</v>
      </c>
      <c r="F437" s="38" t="s">
        <v>8</v>
      </c>
      <c r="G437" s="40" t="s">
        <v>596</v>
      </c>
      <c r="H437" s="38" t="s">
        <v>594</v>
      </c>
      <c r="I437" s="38" t="s">
        <v>595</v>
      </c>
      <c r="J437" s="38">
        <f>IFERROR(VLOOKUP(C:C,'[1]S&amp;S'!$B:$F,5,0),)</f>
        <v>0</v>
      </c>
      <c r="K437" s="38">
        <f>IFERROR(VLOOKUP(A:A,[1]APO!$A:$F,6,0),)</f>
        <v>0</v>
      </c>
      <c r="L437" s="38">
        <f>IFERROR(VLOOKUP(C:C,'[1]TOTAL APO'!$A:$B,2,0),)</f>
        <v>0</v>
      </c>
      <c r="M437" s="38">
        <f>IFERROR(VLOOKUP(A:A,[1]Short!$A:$Q,17,0),)</f>
        <v>0</v>
      </c>
      <c r="N437" s="38">
        <f>IFERROR(VLOOKUP(C:C,[1]GIT!$B:$D,3,0),)</f>
        <v>0</v>
      </c>
      <c r="O437" s="38">
        <f>IFERROR(VLOOKUP(A:A,[2]Sheet1!$A:$B,2,0),)</f>
        <v>0</v>
      </c>
      <c r="P437" s="38">
        <f>IFERROR(VLOOKUP(A:A,[2]Sheet1!$A:$B,2,0),)</f>
        <v>0</v>
      </c>
      <c r="Q437" s="38">
        <f t="shared" si="6"/>
        <v>8</v>
      </c>
      <c r="R437" s="38"/>
      <c r="S437" s="38"/>
    </row>
    <row r="438" spans="1:19" hidden="1" x14ac:dyDescent="0.25">
      <c r="A438" s="38" t="str">
        <f>F438&amp;C438</f>
        <v>c04840060517</v>
      </c>
      <c r="B438" s="38" t="str">
        <f>IF(J438&gt;=SUMIFS(E:E,C:C,C438),"Good to go","Short in Qty")</f>
        <v>Good to go</v>
      </c>
      <c r="C438" s="40">
        <v>40060517</v>
      </c>
      <c r="D438" s="40" t="s">
        <v>549</v>
      </c>
      <c r="E438" s="66">
        <v>100</v>
      </c>
      <c r="F438" s="38" t="s">
        <v>593</v>
      </c>
      <c r="G438" s="40" t="s">
        <v>467</v>
      </c>
      <c r="H438" s="38" t="s">
        <v>594</v>
      </c>
      <c r="I438" s="38" t="s">
        <v>595</v>
      </c>
      <c r="J438" s="38">
        <f>IFERROR(VLOOKUP(C:C,'[1]S&amp;S'!$B:$F,5,0),)</f>
        <v>432</v>
      </c>
      <c r="K438" s="38">
        <f>IFERROR(VLOOKUP(A:A,[1]APO!$A:$F,6,0),)</f>
        <v>0</v>
      </c>
      <c r="L438" s="38">
        <f>IFERROR(VLOOKUP(C:C,'[1]TOTAL APO'!$A:$B,2,0),)</f>
        <v>0</v>
      </c>
      <c r="M438" s="38">
        <f>IFERROR(VLOOKUP(A:A,[1]Short!$A:$Q,17,0),)</f>
        <v>0</v>
      </c>
      <c r="N438" s="38">
        <f>IFERROR(VLOOKUP(C:C,[1]GIT!$B:$D,3,0),)</f>
        <v>0</v>
      </c>
      <c r="O438" s="38">
        <f>IFERROR(VLOOKUP(A:A,[2]Sheet1!$A:$B,2,0),)</f>
        <v>100</v>
      </c>
      <c r="P438" s="38">
        <f>IFERROR(VLOOKUP(A:A,[2]Sheet1!$A:$B,2,0),)</f>
        <v>100</v>
      </c>
      <c r="Q438" s="38">
        <f t="shared" si="6"/>
        <v>0</v>
      </c>
      <c r="R438" s="38"/>
      <c r="S438" s="38"/>
    </row>
    <row r="439" spans="1:19" hidden="1" x14ac:dyDescent="0.25">
      <c r="A439" s="38" t="str">
        <f>F439&amp;C439</f>
        <v>C04240061028</v>
      </c>
      <c r="B439" s="38" t="str">
        <f>IF(J439&gt;=SUMIFS(E:E,C:C,C439),"Good to go","Short in Qty")</f>
        <v>Short in Qty</v>
      </c>
      <c r="C439" s="40">
        <v>40061028</v>
      </c>
      <c r="D439" s="40" t="s">
        <v>556</v>
      </c>
      <c r="E439" s="66">
        <v>15</v>
      </c>
      <c r="F439" s="38" t="s">
        <v>10</v>
      </c>
      <c r="G439" s="40" t="s">
        <v>596</v>
      </c>
      <c r="H439" s="38" t="s">
        <v>594</v>
      </c>
      <c r="I439" s="38" t="s">
        <v>595</v>
      </c>
      <c r="J439" s="38">
        <f>IFERROR(VLOOKUP(C:C,'[1]S&amp;S'!$B:$F,5,0),)</f>
        <v>0</v>
      </c>
      <c r="K439" s="38">
        <f>IFERROR(VLOOKUP(A:A,[1]APO!$A:$F,6,0),)</f>
        <v>0</v>
      </c>
      <c r="L439" s="38">
        <f>IFERROR(VLOOKUP(C:C,'[1]TOTAL APO'!$A:$B,2,0),)</f>
        <v>0</v>
      </c>
      <c r="M439" s="38">
        <f>IFERROR(VLOOKUP(A:A,[1]Short!$A:$Q,17,0),)</f>
        <v>0</v>
      </c>
      <c r="N439" s="38">
        <f>IFERROR(VLOOKUP(C:C,[1]GIT!$B:$D,3,0),)</f>
        <v>0</v>
      </c>
      <c r="O439" s="38">
        <f>IFERROR(VLOOKUP(A:A,[2]Sheet1!$A:$B,2,0),)</f>
        <v>0</v>
      </c>
      <c r="P439" s="38">
        <f>IFERROR(VLOOKUP(A:A,[2]Sheet1!$A:$B,2,0),)</f>
        <v>0</v>
      </c>
      <c r="Q439" s="38">
        <f t="shared" si="6"/>
        <v>15</v>
      </c>
      <c r="R439" s="38"/>
      <c r="S439" s="38"/>
    </row>
    <row r="440" spans="1:19" hidden="1" x14ac:dyDescent="0.25">
      <c r="A440" s="38" t="str">
        <f>F440&amp;C440</f>
        <v>C04240062519</v>
      </c>
      <c r="B440" s="38" t="str">
        <f>IF(J440&gt;=SUMIFS(E:E,C:C,C440),"Good to go","Short in Qty")</f>
        <v>Good to go</v>
      </c>
      <c r="C440" s="40">
        <v>40062519</v>
      </c>
      <c r="D440" s="40" t="s">
        <v>591</v>
      </c>
      <c r="E440" s="66">
        <v>5</v>
      </c>
      <c r="F440" s="38" t="s">
        <v>10</v>
      </c>
      <c r="G440" s="40" t="s">
        <v>467</v>
      </c>
      <c r="H440" s="38" t="s">
        <v>594</v>
      </c>
      <c r="I440" s="38" t="s">
        <v>595</v>
      </c>
      <c r="J440" s="38">
        <f>IFERROR(VLOOKUP(C:C,'[1]S&amp;S'!$B:$F,5,0),)</f>
        <v>119</v>
      </c>
      <c r="K440" s="38">
        <f>IFERROR(VLOOKUP(A:A,[1]APO!$A:$F,6,0),)</f>
        <v>0</v>
      </c>
      <c r="L440" s="38">
        <f>IFERROR(VLOOKUP(C:C,'[1]TOTAL APO'!$A:$B,2,0),)</f>
        <v>0</v>
      </c>
      <c r="M440" s="38">
        <f>IFERROR(VLOOKUP(A:A,[1]Short!$A:$Q,17,0),)</f>
        <v>0</v>
      </c>
      <c r="N440" s="38">
        <f>IFERROR(VLOOKUP(C:C,[1]GIT!$B:$D,3,0),)</f>
        <v>0</v>
      </c>
      <c r="O440" s="38">
        <f>IFERROR(VLOOKUP(A:A,[2]Sheet1!$A:$B,2,0),)</f>
        <v>5</v>
      </c>
      <c r="P440" s="38">
        <f>IFERROR(VLOOKUP(A:A,[2]Sheet1!$A:$B,2,0),)</f>
        <v>5</v>
      </c>
      <c r="Q440" s="38">
        <f t="shared" si="6"/>
        <v>0</v>
      </c>
      <c r="R440" s="38"/>
      <c r="S440" s="38"/>
    </row>
    <row r="441" spans="1:19" hidden="1" x14ac:dyDescent="0.25">
      <c r="A441" s="38" t="str">
        <f>F441&amp;C441</f>
        <v>C04340061028</v>
      </c>
      <c r="B441" s="38" t="str">
        <f>IF(J441&gt;=SUMIFS(E:E,C:C,C441),"Good to go","Short in Qty")</f>
        <v>Short in Qty</v>
      </c>
      <c r="C441" s="40">
        <v>40061028</v>
      </c>
      <c r="D441" s="40" t="s">
        <v>556</v>
      </c>
      <c r="E441" s="66">
        <v>5</v>
      </c>
      <c r="F441" s="38" t="s">
        <v>11</v>
      </c>
      <c r="G441" s="40" t="s">
        <v>596</v>
      </c>
      <c r="H441" s="38" t="s">
        <v>594</v>
      </c>
      <c r="I441" s="38" t="s">
        <v>595</v>
      </c>
      <c r="J441" s="38">
        <f>IFERROR(VLOOKUP(C:C,'[1]S&amp;S'!$B:$F,5,0),)</f>
        <v>0</v>
      </c>
      <c r="K441" s="38">
        <f>IFERROR(VLOOKUP(A:A,[1]APO!$A:$F,6,0),)</f>
        <v>0</v>
      </c>
      <c r="L441" s="38">
        <f>IFERROR(VLOOKUP(C:C,'[1]TOTAL APO'!$A:$B,2,0),)</f>
        <v>0</v>
      </c>
      <c r="M441" s="38">
        <f>IFERROR(VLOOKUP(A:A,[1]Short!$A:$Q,17,0),)</f>
        <v>0</v>
      </c>
      <c r="N441" s="38">
        <f>IFERROR(VLOOKUP(C:C,[1]GIT!$B:$D,3,0),)</f>
        <v>0</v>
      </c>
      <c r="O441" s="38">
        <f>IFERROR(VLOOKUP(A:A,[2]Sheet1!$A:$B,2,0),)</f>
        <v>0</v>
      </c>
      <c r="P441" s="38">
        <f>IFERROR(VLOOKUP(A:A,[2]Sheet1!$A:$B,2,0),)</f>
        <v>0</v>
      </c>
      <c r="Q441" s="38">
        <f t="shared" si="6"/>
        <v>5</v>
      </c>
      <c r="R441" s="38"/>
      <c r="S441" s="38"/>
    </row>
    <row r="442" spans="1:19" x14ac:dyDescent="0.25">
      <c r="A442" s="38" t="str">
        <f>F442&amp;C442</f>
        <v>KT0240061031</v>
      </c>
      <c r="B442" s="38" t="str">
        <f>IF(J442&gt;=SUMIFS(E:E,C:C,C442),"Good to go","Short in Qty")</f>
        <v>Good to go</v>
      </c>
      <c r="C442" s="40">
        <v>40061031</v>
      </c>
      <c r="D442" s="40" t="s">
        <v>320</v>
      </c>
      <c r="E442" s="66">
        <v>40</v>
      </c>
      <c r="F442" s="38" t="s">
        <v>202</v>
      </c>
      <c r="G442" s="40"/>
      <c r="H442" s="38" t="s">
        <v>203</v>
      </c>
      <c r="I442" s="38" t="s">
        <v>368</v>
      </c>
      <c r="J442" s="38">
        <f>IFERROR(VLOOKUP(C:C,'[1]S&amp;S'!$B:$F,5,0),)</f>
        <v>40</v>
      </c>
      <c r="K442" s="38">
        <f>IFERROR(VLOOKUP(A:A,[1]APO!$A:$F,6,0),)</f>
        <v>0</v>
      </c>
      <c r="L442" s="38">
        <f>IFERROR(VLOOKUP(C:C,'[1]TOTAL APO'!$A:$B,2,0),)</f>
        <v>0</v>
      </c>
      <c r="M442" s="38">
        <f>IFERROR(VLOOKUP(A:A,[1]Short!$A:$Q,17,0),)</f>
        <v>0</v>
      </c>
      <c r="N442" s="38">
        <f>IFERROR(VLOOKUP(C:C,[1]GIT!$B:$D,3,0),)</f>
        <v>0</v>
      </c>
      <c r="O442" s="38">
        <f>IFERROR(VLOOKUP(A:A,[2]Sheet1!$A:$B,2,0),)</f>
        <v>0</v>
      </c>
      <c r="P442" s="38">
        <f>IFERROR(VLOOKUP(A:A,[2]Sheet1!$A:$B,2,0),)</f>
        <v>0</v>
      </c>
      <c r="Q442" s="38">
        <f t="shared" si="6"/>
        <v>40</v>
      </c>
      <c r="R442" s="38"/>
      <c r="S442" s="38"/>
    </row>
    <row r="443" spans="1:19" hidden="1" x14ac:dyDescent="0.25">
      <c r="A443" s="38" t="str">
        <f>F443&amp;C443</f>
        <v>C04340060032</v>
      </c>
      <c r="B443" s="38" t="str">
        <f>IF(J443&gt;=SUMIFS(E:E,C:C,C443),"Good to go","Short in Qty")</f>
        <v>Good to go</v>
      </c>
      <c r="C443" s="40">
        <v>40060032</v>
      </c>
      <c r="D443" s="40" t="s">
        <v>509</v>
      </c>
      <c r="E443" s="66">
        <v>23</v>
      </c>
      <c r="F443" s="38" t="s">
        <v>11</v>
      </c>
      <c r="G443" s="40" t="s">
        <v>467</v>
      </c>
      <c r="H443" s="38" t="s">
        <v>84</v>
      </c>
      <c r="I443" s="38" t="s">
        <v>620</v>
      </c>
      <c r="J443" s="38">
        <f>IFERROR(VLOOKUP(C:C,'[1]S&amp;S'!$B:$F,5,0),)</f>
        <v>23</v>
      </c>
      <c r="K443" s="38">
        <f>IFERROR(VLOOKUP(A:A,[1]APO!$A:$F,6,0),)</f>
        <v>0</v>
      </c>
      <c r="L443" s="38">
        <f>IFERROR(VLOOKUP(C:C,'[1]TOTAL APO'!$A:$B,2,0),)</f>
        <v>0</v>
      </c>
      <c r="M443" s="38">
        <f>IFERROR(VLOOKUP(A:A,[1]Short!$A:$Q,17,0),)</f>
        <v>0</v>
      </c>
      <c r="N443" s="38">
        <f>IFERROR(VLOOKUP(C:C,[1]GIT!$B:$D,3,0),)</f>
        <v>0</v>
      </c>
      <c r="O443" s="38">
        <f>IFERROR(VLOOKUP(A:A,[2]Sheet1!$A:$B,2,0),)</f>
        <v>23</v>
      </c>
      <c r="P443" s="38">
        <f>IFERROR(VLOOKUP(A:A,[2]Sheet1!$A:$B,2,0),)</f>
        <v>23</v>
      </c>
      <c r="Q443" s="38">
        <f t="shared" si="6"/>
        <v>0</v>
      </c>
      <c r="R443" s="38"/>
      <c r="S443" s="38"/>
    </row>
    <row r="444" spans="1:19" x14ac:dyDescent="0.25">
      <c r="A444" s="38" t="str">
        <f>F444&amp;C444</f>
        <v>C12140061498</v>
      </c>
      <c r="B444" s="38" t="str">
        <f>IF(J444&gt;=SUMIFS(E:E,C:C,C444),"Good to go","Short in Qty")</f>
        <v>Good to go</v>
      </c>
      <c r="C444" s="40">
        <v>40061498</v>
      </c>
      <c r="D444" s="40" t="s">
        <v>314</v>
      </c>
      <c r="E444" s="66">
        <v>398</v>
      </c>
      <c r="F444" s="38" t="s">
        <v>194</v>
      </c>
      <c r="G444" s="40" t="s">
        <v>195</v>
      </c>
      <c r="H444" s="38" t="s">
        <v>315</v>
      </c>
      <c r="I444" s="38" t="s">
        <v>388</v>
      </c>
      <c r="J444" s="38">
        <f>IFERROR(VLOOKUP(C:C,'[1]S&amp;S'!$B:$F,5,0),)</f>
        <v>398</v>
      </c>
      <c r="K444" s="38">
        <f>IFERROR(VLOOKUP(A:A,[1]APO!$A:$F,6,0),)</f>
        <v>0</v>
      </c>
      <c r="L444" s="38">
        <f>IFERROR(VLOOKUP(C:C,'[1]TOTAL APO'!$A:$B,2,0),)</f>
        <v>0</v>
      </c>
      <c r="M444" s="38">
        <f>IFERROR(VLOOKUP(A:A,[1]Short!$A:$Q,17,0),)</f>
        <v>0</v>
      </c>
      <c r="N444" s="38">
        <f>IFERROR(VLOOKUP(C:C,[1]GIT!$B:$D,3,0),)</f>
        <v>0</v>
      </c>
      <c r="O444" s="38">
        <f>IFERROR(VLOOKUP(A:A,[2]Sheet1!$A:$B,2,0),)</f>
        <v>0</v>
      </c>
      <c r="P444" s="38">
        <f>IFERROR(VLOOKUP(A:A,[2]Sheet1!$A:$B,2,0),)</f>
        <v>0</v>
      </c>
      <c r="Q444" s="38">
        <f t="shared" si="6"/>
        <v>398</v>
      </c>
      <c r="R444" s="38"/>
      <c r="S444" s="38"/>
    </row>
    <row r="445" spans="1:19" hidden="1" x14ac:dyDescent="0.25">
      <c r="A445" s="38" t="str">
        <f>F445&amp;C445</f>
        <v>c04340063685</v>
      </c>
      <c r="B445" s="38" t="str">
        <f>IF(J445&gt;=SUMIFS(E:E,C:C,C445),"Good to go","Short in Qty")</f>
        <v>Good to go</v>
      </c>
      <c r="C445" s="40">
        <v>40063685</v>
      </c>
      <c r="D445" s="40" t="s">
        <v>236</v>
      </c>
      <c r="E445" s="66">
        <v>180</v>
      </c>
      <c r="F445" s="38" t="s">
        <v>592</v>
      </c>
      <c r="G445" s="40" t="s">
        <v>467</v>
      </c>
      <c r="H445" s="38" t="s">
        <v>594</v>
      </c>
      <c r="I445" s="38" t="s">
        <v>595</v>
      </c>
      <c r="J445" s="38">
        <f>IFERROR(VLOOKUP(C:C,'[1]S&amp;S'!$B:$F,5,0),)</f>
        <v>3653.4444444444398</v>
      </c>
      <c r="K445" s="38">
        <f>IFERROR(VLOOKUP(A:A,[1]APO!$A:$F,6,0),)</f>
        <v>0</v>
      </c>
      <c r="L445" s="38">
        <f>IFERROR(VLOOKUP(C:C,'[1]TOTAL APO'!$A:$B,2,0),)</f>
        <v>0</v>
      </c>
      <c r="M445" s="38">
        <f>IFERROR(VLOOKUP(A:A,[1]Short!$A:$Q,17,0),)</f>
        <v>0</v>
      </c>
      <c r="N445" s="38">
        <f>IFERROR(VLOOKUP(C:C,[1]GIT!$B:$D,3,0),)</f>
        <v>0</v>
      </c>
      <c r="O445" s="38">
        <f>IFERROR(VLOOKUP(A:A,[2]Sheet1!$A:$B,2,0),)</f>
        <v>180</v>
      </c>
      <c r="P445" s="38">
        <f>IFERROR(VLOOKUP(A:A,[2]Sheet1!$A:$B,2,0),)</f>
        <v>180</v>
      </c>
      <c r="Q445" s="38">
        <f t="shared" si="6"/>
        <v>0</v>
      </c>
      <c r="R445" s="38"/>
      <c r="S445" s="38"/>
    </row>
    <row r="446" spans="1:19" x14ac:dyDescent="0.25">
      <c r="A446" s="38" t="str">
        <f>F446&amp;C446</f>
        <v>KT0240061670</v>
      </c>
      <c r="B446" s="38" t="str">
        <f>IF(J446&gt;=SUMIFS(E:E,C:C,C446),"Good to go","Short in Qty")</f>
        <v>Good to go</v>
      </c>
      <c r="C446" s="40">
        <v>40061670</v>
      </c>
      <c r="D446" s="40" t="s">
        <v>327</v>
      </c>
      <c r="E446" s="66">
        <v>338</v>
      </c>
      <c r="F446" s="38" t="s">
        <v>202</v>
      </c>
      <c r="G446" s="40"/>
      <c r="H446" s="38" t="s">
        <v>203</v>
      </c>
      <c r="I446" s="38" t="s">
        <v>368</v>
      </c>
      <c r="J446" s="38">
        <f>IFERROR(VLOOKUP(C:C,'[1]S&amp;S'!$B:$F,5,0),)</f>
        <v>348</v>
      </c>
      <c r="K446" s="38">
        <f>IFERROR(VLOOKUP(A:A,[1]APO!$A:$F,6,0),)</f>
        <v>0</v>
      </c>
      <c r="L446" s="38">
        <f>IFERROR(VLOOKUP(C:C,'[1]TOTAL APO'!$A:$B,2,0),)</f>
        <v>0</v>
      </c>
      <c r="M446" s="38">
        <f>IFERROR(VLOOKUP(A:A,[1]Short!$A:$Q,17,0),)</f>
        <v>0</v>
      </c>
      <c r="N446" s="38">
        <f>IFERROR(VLOOKUP(C:C,[1]GIT!$B:$D,3,0),)</f>
        <v>0</v>
      </c>
      <c r="O446" s="38">
        <f>IFERROR(VLOOKUP(A:A,[2]Sheet1!$A:$B,2,0),)</f>
        <v>0</v>
      </c>
      <c r="P446" s="38">
        <f>IFERROR(VLOOKUP(A:A,[2]Sheet1!$A:$B,2,0),)</f>
        <v>0</v>
      </c>
      <c r="Q446" s="38">
        <f t="shared" si="6"/>
        <v>338</v>
      </c>
      <c r="R446" s="38"/>
      <c r="S446" s="38"/>
    </row>
    <row r="447" spans="1:19" x14ac:dyDescent="0.25">
      <c r="A447" s="38" t="str">
        <f>F447&amp;C447</f>
        <v>C04740061670</v>
      </c>
      <c r="B447" s="38" t="str">
        <f>IF(J447&gt;=SUMIFS(E:E,C:C,C447),"Good to go","Short in Qty")</f>
        <v>Good to go</v>
      </c>
      <c r="C447" s="40">
        <v>40061670</v>
      </c>
      <c r="D447" s="40" t="s">
        <v>327</v>
      </c>
      <c r="E447" s="69">
        <v>10</v>
      </c>
      <c r="F447" s="38" t="s">
        <v>192</v>
      </c>
      <c r="G447" s="40"/>
      <c r="H447" s="38" t="s">
        <v>248</v>
      </c>
      <c r="I447" s="38" t="s">
        <v>457</v>
      </c>
      <c r="J447" s="38">
        <f>IFERROR(VLOOKUP(C:C,'[1]S&amp;S'!$B:$F,5,0),)</f>
        <v>348</v>
      </c>
      <c r="K447" s="38">
        <f>IFERROR(VLOOKUP(A:A,[1]APO!$A:$F,6,0),)</f>
        <v>0</v>
      </c>
      <c r="L447" s="38">
        <f>IFERROR(VLOOKUP(C:C,'[1]TOTAL APO'!$A:$B,2,0),)</f>
        <v>0</v>
      </c>
      <c r="M447" s="38">
        <f>IFERROR(VLOOKUP(A:A,[1]Short!$A:$Q,17,0),)</f>
        <v>0</v>
      </c>
      <c r="N447" s="38">
        <f>IFERROR(VLOOKUP(C:C,[1]GIT!$B:$D,3,0),)</f>
        <v>0</v>
      </c>
      <c r="O447" s="38">
        <f>IFERROR(VLOOKUP(A:A,[2]Sheet1!$A:$B,2,0),)</f>
        <v>0</v>
      </c>
      <c r="P447" s="38">
        <f>IFERROR(VLOOKUP(A:A,[2]Sheet1!$A:$B,2,0),)</f>
        <v>0</v>
      </c>
      <c r="Q447" s="38">
        <f t="shared" si="6"/>
        <v>10</v>
      </c>
      <c r="R447" s="38"/>
      <c r="S447" s="38"/>
    </row>
    <row r="448" spans="1:19" x14ac:dyDescent="0.25">
      <c r="A448" s="38" t="str">
        <f>F448&amp;C448</f>
        <v>C04440062010</v>
      </c>
      <c r="B448" s="38" t="str">
        <f>IF(J448&gt;=SUMIFS(E:E,C:C,C448),"Good to go","Short in Qty")</f>
        <v>Short in Qty</v>
      </c>
      <c r="C448" s="40">
        <v>40062010</v>
      </c>
      <c r="D448" s="40" t="s">
        <v>439</v>
      </c>
      <c r="E448" s="69">
        <v>15</v>
      </c>
      <c r="F448" s="38" t="s">
        <v>191</v>
      </c>
      <c r="G448" s="40" t="s">
        <v>195</v>
      </c>
      <c r="H448" s="38" t="s">
        <v>248</v>
      </c>
      <c r="I448" s="38" t="s">
        <v>457</v>
      </c>
      <c r="J448" s="38">
        <f>IFERROR(VLOOKUP(C:C,'[1]S&amp;S'!$B:$F,5,0),)</f>
        <v>0</v>
      </c>
      <c r="K448" s="38">
        <f>IFERROR(VLOOKUP(A:A,[1]APO!$A:$F,6,0),)</f>
        <v>0</v>
      </c>
      <c r="L448" s="38">
        <f>IFERROR(VLOOKUP(C:C,'[1]TOTAL APO'!$A:$B,2,0),)</f>
        <v>0</v>
      </c>
      <c r="M448" s="38">
        <f>IFERROR(VLOOKUP(A:A,[1]Short!$A:$Q,17,0),)</f>
        <v>0</v>
      </c>
      <c r="N448" s="38">
        <f>IFERROR(VLOOKUP(C:C,[1]GIT!$B:$D,3,0),)</f>
        <v>0</v>
      </c>
      <c r="O448" s="38">
        <f>IFERROR(VLOOKUP(A:A,[2]Sheet1!$A:$B,2,0),)</f>
        <v>0</v>
      </c>
      <c r="P448" s="38">
        <f>IFERROR(VLOOKUP(A:A,[2]Sheet1!$A:$B,2,0),)</f>
        <v>0</v>
      </c>
      <c r="Q448" s="38">
        <f t="shared" si="6"/>
        <v>15</v>
      </c>
      <c r="R448" s="38"/>
      <c r="S448" s="38"/>
    </row>
    <row r="449" spans="1:19" hidden="1" x14ac:dyDescent="0.25">
      <c r="A449" s="38" t="str">
        <f>F449&amp;C449</f>
        <v>C04340065350</v>
      </c>
      <c r="B449" s="38" t="str">
        <f>IF(J449&gt;=SUMIFS(E:E,C:C,C449),"Good to go","Short in Qty")</f>
        <v>Good to go</v>
      </c>
      <c r="C449" s="40">
        <v>40065350</v>
      </c>
      <c r="D449" s="40" t="s">
        <v>557</v>
      </c>
      <c r="E449" s="66">
        <v>20</v>
      </c>
      <c r="F449" s="38" t="s">
        <v>11</v>
      </c>
      <c r="G449" s="40" t="s">
        <v>467</v>
      </c>
      <c r="H449" s="38" t="s">
        <v>594</v>
      </c>
      <c r="I449" s="38" t="s">
        <v>595</v>
      </c>
      <c r="J449" s="38">
        <f>IFERROR(VLOOKUP(C:C,'[1]S&amp;S'!$B:$F,5,0),)</f>
        <v>98</v>
      </c>
      <c r="K449" s="38">
        <f>IFERROR(VLOOKUP(A:A,[1]APO!$A:$F,6,0),)</f>
        <v>0</v>
      </c>
      <c r="L449" s="38">
        <f>IFERROR(VLOOKUP(C:C,'[1]TOTAL APO'!$A:$B,2,0),)</f>
        <v>0</v>
      </c>
      <c r="M449" s="38">
        <f>IFERROR(VLOOKUP(A:A,[1]Short!$A:$Q,17,0),)</f>
        <v>0</v>
      </c>
      <c r="N449" s="38">
        <f>IFERROR(VLOOKUP(C:C,[1]GIT!$B:$D,3,0),)</f>
        <v>0</v>
      </c>
      <c r="O449" s="38">
        <f>IFERROR(VLOOKUP(A:A,[2]Sheet1!$A:$B,2,0),)</f>
        <v>20</v>
      </c>
      <c r="P449" s="38">
        <f>IFERROR(VLOOKUP(A:A,[2]Sheet1!$A:$B,2,0),)</f>
        <v>20</v>
      </c>
      <c r="Q449" s="38">
        <f t="shared" si="6"/>
        <v>0</v>
      </c>
      <c r="R449" s="38"/>
      <c r="S449" s="38"/>
    </row>
    <row r="450" spans="1:19" hidden="1" x14ac:dyDescent="0.25">
      <c r="A450" s="38" t="str">
        <f>F450&amp;C450</f>
        <v>C04840063489</v>
      </c>
      <c r="B450" s="38" t="str">
        <f>IF(J450&gt;=SUMIFS(E:E,C:C,C450),"Good to go","Short in Qty")</f>
        <v>Good to go</v>
      </c>
      <c r="C450" s="40">
        <v>40063489</v>
      </c>
      <c r="D450" s="40" t="s">
        <v>306</v>
      </c>
      <c r="E450" s="66">
        <v>67</v>
      </c>
      <c r="F450" s="38" t="s">
        <v>8</v>
      </c>
      <c r="G450" s="40" t="s">
        <v>467</v>
      </c>
      <c r="H450" s="38" t="s">
        <v>9</v>
      </c>
      <c r="I450" s="38" t="s">
        <v>530</v>
      </c>
      <c r="J450" s="38">
        <f>IFERROR(VLOOKUP(C:C,'[1]S&amp;S'!$B:$F,5,0),)</f>
        <v>949</v>
      </c>
      <c r="K450" s="38">
        <f>IFERROR(VLOOKUP(A:A,[1]APO!$A:$F,6,0),)</f>
        <v>0</v>
      </c>
      <c r="L450" s="38">
        <f>IFERROR(VLOOKUP(C:C,'[1]TOTAL APO'!$A:$B,2,0),)</f>
        <v>0</v>
      </c>
      <c r="M450" s="38">
        <f>IFERROR(VLOOKUP(A:A,[1]Short!$A:$Q,17,0),)</f>
        <v>0</v>
      </c>
      <c r="N450" s="38">
        <f>IFERROR(VLOOKUP(C:C,[1]GIT!$B:$D,3,0),)</f>
        <v>0</v>
      </c>
      <c r="O450" s="38">
        <f>IFERROR(VLOOKUP(A:A,[2]Sheet1!$A:$B,2,0),)</f>
        <v>67</v>
      </c>
      <c r="P450" s="38">
        <f>IFERROR(VLOOKUP(A:A,[2]Sheet1!$A:$B,2,0),)</f>
        <v>67</v>
      </c>
      <c r="Q450" s="38">
        <f t="shared" si="6"/>
        <v>0</v>
      </c>
      <c r="R450" s="38"/>
      <c r="S450" s="38"/>
    </row>
    <row r="451" spans="1:19" x14ac:dyDescent="0.25">
      <c r="A451" s="38" t="str">
        <f>F451&amp;C451</f>
        <v>C04640062017</v>
      </c>
      <c r="B451" s="38" t="str">
        <f>IF(J451&gt;=SUMIFS(E:E,C:C,C451),"Good to go","Short in Qty")</f>
        <v>Good to go</v>
      </c>
      <c r="C451" s="40">
        <v>40062017</v>
      </c>
      <c r="D451" s="40" t="s">
        <v>307</v>
      </c>
      <c r="E451" s="66">
        <v>2</v>
      </c>
      <c r="F451" s="38" t="s">
        <v>13</v>
      </c>
      <c r="G451" s="40">
        <v>2</v>
      </c>
      <c r="H451" s="38" t="s">
        <v>9</v>
      </c>
      <c r="I451" s="38" t="s">
        <v>530</v>
      </c>
      <c r="J451" s="38">
        <f>IFERROR(VLOOKUP(C:C,'[1]S&amp;S'!$B:$F,5,0),)</f>
        <v>52.5</v>
      </c>
      <c r="K451" s="38">
        <f>IFERROR(VLOOKUP(A:A,[1]APO!$A:$F,6,0),)</f>
        <v>0</v>
      </c>
      <c r="L451" s="38">
        <f>IFERROR(VLOOKUP(C:C,'[1]TOTAL APO'!$A:$B,2,0),)</f>
        <v>0</v>
      </c>
      <c r="M451" s="38">
        <f>IFERROR(VLOOKUP(A:A,[1]Short!$A:$Q,17,0),)</f>
        <v>0</v>
      </c>
      <c r="N451" s="38">
        <f>IFERROR(VLOOKUP(C:C,[1]GIT!$B:$D,3,0),)</f>
        <v>0</v>
      </c>
      <c r="O451" s="38">
        <f>IFERROR(VLOOKUP(A:A,[2]Sheet1!$A:$B,2,0),)</f>
        <v>0</v>
      </c>
      <c r="P451" s="38">
        <f>IFERROR(VLOOKUP(A:A,[2]Sheet1!$A:$B,2,0),)</f>
        <v>0</v>
      </c>
      <c r="Q451" s="38">
        <f t="shared" ref="Q451:Q514" si="7">+E451-P451</f>
        <v>2</v>
      </c>
      <c r="R451" s="38"/>
      <c r="S451" s="38"/>
    </row>
    <row r="452" spans="1:19" hidden="1" x14ac:dyDescent="0.25">
      <c r="A452" s="38" t="str">
        <f>F452&amp;C452</f>
        <v>C04240064427</v>
      </c>
      <c r="B452" s="38" t="str">
        <f>IF(J452&gt;=SUMIFS(E:E,C:C,C452),"Good to go","Short in Qty")</f>
        <v>Good to go</v>
      </c>
      <c r="C452" s="40">
        <v>40064427</v>
      </c>
      <c r="D452" s="40" t="s">
        <v>334</v>
      </c>
      <c r="E452" s="66">
        <v>11</v>
      </c>
      <c r="F452" s="38" t="s">
        <v>10</v>
      </c>
      <c r="G452" s="40" t="s">
        <v>467</v>
      </c>
      <c r="H452" s="38" t="s">
        <v>151</v>
      </c>
      <c r="I452" s="38" t="s">
        <v>369</v>
      </c>
      <c r="J452" s="38">
        <f>IFERROR(VLOOKUP(C:C,'[1]S&amp;S'!$B:$F,5,0),)</f>
        <v>52</v>
      </c>
      <c r="K452" s="38">
        <f>IFERROR(VLOOKUP(A:A,[1]APO!$A:$F,6,0),)</f>
        <v>0</v>
      </c>
      <c r="L452" s="38">
        <f>IFERROR(VLOOKUP(C:C,'[1]TOTAL APO'!$A:$B,2,0),)</f>
        <v>0</v>
      </c>
      <c r="M452" s="38">
        <f>IFERROR(VLOOKUP(A:A,[1]Short!$A:$Q,17,0),)</f>
        <v>0</v>
      </c>
      <c r="N452" s="38">
        <f>IFERROR(VLOOKUP(C:C,[1]GIT!$B:$D,3,0),)</f>
        <v>25</v>
      </c>
      <c r="O452" s="38">
        <f>IFERROR(VLOOKUP(A:A,[2]Sheet1!$A:$B,2,0),)</f>
        <v>11</v>
      </c>
      <c r="P452" s="38">
        <f>IFERROR(VLOOKUP(A:A,[2]Sheet1!$A:$B,2,0),)</f>
        <v>11</v>
      </c>
      <c r="Q452" s="38">
        <f t="shared" si="7"/>
        <v>0</v>
      </c>
      <c r="R452" s="38"/>
      <c r="S452" s="38"/>
    </row>
    <row r="453" spans="1:19" hidden="1" x14ac:dyDescent="0.25">
      <c r="A453" s="38" t="str">
        <f>F453&amp;C453</f>
        <v>C04340064472</v>
      </c>
      <c r="B453" s="38" t="str">
        <f>IF(J453&gt;=SUMIFS(E:E,C:C,C453),"Good to go","Short in Qty")</f>
        <v>Good to go</v>
      </c>
      <c r="C453" s="40">
        <v>40064472</v>
      </c>
      <c r="D453" s="40" t="s">
        <v>560</v>
      </c>
      <c r="E453" s="66">
        <v>35</v>
      </c>
      <c r="F453" s="38" t="s">
        <v>11</v>
      </c>
      <c r="G453" s="40" t="s">
        <v>467</v>
      </c>
      <c r="H453" s="38" t="s">
        <v>594</v>
      </c>
      <c r="I453" s="38" t="s">
        <v>595</v>
      </c>
      <c r="J453" s="38">
        <f>IFERROR(VLOOKUP(C:C,'[1]S&amp;S'!$B:$F,5,0),)</f>
        <v>130</v>
      </c>
      <c r="K453" s="38">
        <f>IFERROR(VLOOKUP(A:A,[1]APO!$A:$F,6,0),)</f>
        <v>0</v>
      </c>
      <c r="L453" s="38">
        <f>IFERROR(VLOOKUP(C:C,'[1]TOTAL APO'!$A:$B,2,0),)</f>
        <v>0</v>
      </c>
      <c r="M453" s="38">
        <f>IFERROR(VLOOKUP(A:A,[1]Short!$A:$Q,17,0),)</f>
        <v>0</v>
      </c>
      <c r="N453" s="38">
        <f>IFERROR(VLOOKUP(C:C,[1]GIT!$B:$D,3,0),)</f>
        <v>130</v>
      </c>
      <c r="O453" s="38">
        <f>IFERROR(VLOOKUP(A:A,[2]Sheet1!$A:$B,2,0),)</f>
        <v>35</v>
      </c>
      <c r="P453" s="38">
        <f>IFERROR(VLOOKUP(A:A,[2]Sheet1!$A:$B,2,0),)</f>
        <v>35</v>
      </c>
      <c r="Q453" s="38">
        <f t="shared" si="7"/>
        <v>0</v>
      </c>
      <c r="R453" s="38"/>
      <c r="S453" s="38"/>
    </row>
    <row r="454" spans="1:19" hidden="1" x14ac:dyDescent="0.25">
      <c r="A454" s="38" t="str">
        <f>F454&amp;C454</f>
        <v>C04440064472</v>
      </c>
      <c r="B454" s="38" t="str">
        <f>IF(J454&gt;=SUMIFS(E:E,C:C,C454),"Good to go","Short in Qty")</f>
        <v>Good to go</v>
      </c>
      <c r="C454" s="40">
        <v>40064472</v>
      </c>
      <c r="D454" s="40" t="s">
        <v>560</v>
      </c>
      <c r="E454" s="66">
        <v>10</v>
      </c>
      <c r="F454" s="38" t="s">
        <v>191</v>
      </c>
      <c r="G454" s="40"/>
      <c r="H454" s="38" t="s">
        <v>594</v>
      </c>
      <c r="I454" s="38" t="s">
        <v>595</v>
      </c>
      <c r="J454" s="38">
        <f>IFERROR(VLOOKUP(C:C,'[1]S&amp;S'!$B:$F,5,0),)</f>
        <v>130</v>
      </c>
      <c r="K454" s="38">
        <f>IFERROR(VLOOKUP(A:A,[1]APO!$A:$F,6,0),)</f>
        <v>0</v>
      </c>
      <c r="L454" s="38">
        <f>IFERROR(VLOOKUP(C:C,'[1]TOTAL APO'!$A:$B,2,0),)</f>
        <v>0</v>
      </c>
      <c r="M454" s="38">
        <f>IFERROR(VLOOKUP(A:A,[1]Short!$A:$Q,17,0),)</f>
        <v>0</v>
      </c>
      <c r="N454" s="38">
        <f>IFERROR(VLOOKUP(C:C,[1]GIT!$B:$D,3,0),)</f>
        <v>130</v>
      </c>
      <c r="O454" s="38">
        <f>IFERROR(VLOOKUP(A:A,[2]Sheet1!$A:$B,2,0),)</f>
        <v>0</v>
      </c>
      <c r="P454" s="38">
        <f>IFERROR(VLOOKUP(A:A,[2]Sheet1!$A:$B,2,0),)</f>
        <v>0</v>
      </c>
      <c r="Q454" s="38">
        <f t="shared" si="7"/>
        <v>10</v>
      </c>
      <c r="R454" s="38"/>
      <c r="S454" s="38"/>
    </row>
    <row r="455" spans="1:19" hidden="1" x14ac:dyDescent="0.25">
      <c r="A455" s="38" t="str">
        <f>F455&amp;C455</f>
        <v>C04640064472</v>
      </c>
      <c r="B455" s="38" t="str">
        <f>IF(J455&gt;=SUMIFS(E:E,C:C,C455),"Good to go","Short in Qty")</f>
        <v>Good to go</v>
      </c>
      <c r="C455" s="40">
        <v>40064472</v>
      </c>
      <c r="D455" s="40" t="s">
        <v>560</v>
      </c>
      <c r="E455" s="66">
        <v>15</v>
      </c>
      <c r="F455" s="38" t="s">
        <v>13</v>
      </c>
      <c r="G455" s="40"/>
      <c r="H455" s="38" t="s">
        <v>594</v>
      </c>
      <c r="I455" s="38" t="s">
        <v>595</v>
      </c>
      <c r="J455" s="38">
        <f>IFERROR(VLOOKUP(C:C,'[1]S&amp;S'!$B:$F,5,0),)</f>
        <v>130</v>
      </c>
      <c r="K455" s="38">
        <f>IFERROR(VLOOKUP(A:A,[1]APO!$A:$F,6,0),)</f>
        <v>0</v>
      </c>
      <c r="L455" s="38">
        <f>IFERROR(VLOOKUP(C:C,'[1]TOTAL APO'!$A:$B,2,0),)</f>
        <v>0</v>
      </c>
      <c r="M455" s="38">
        <f>IFERROR(VLOOKUP(A:A,[1]Short!$A:$Q,17,0),)</f>
        <v>0</v>
      </c>
      <c r="N455" s="38">
        <f>IFERROR(VLOOKUP(C:C,[1]GIT!$B:$D,3,0),)</f>
        <v>130</v>
      </c>
      <c r="O455" s="38">
        <f>IFERROR(VLOOKUP(A:A,[2]Sheet1!$A:$B,2,0),)</f>
        <v>0</v>
      </c>
      <c r="P455" s="38">
        <f>IFERROR(VLOOKUP(A:A,[2]Sheet1!$A:$B,2,0),)</f>
        <v>0</v>
      </c>
      <c r="Q455" s="38">
        <f t="shared" si="7"/>
        <v>15</v>
      </c>
      <c r="R455" s="38"/>
      <c r="S455" s="38"/>
    </row>
    <row r="456" spans="1:19" hidden="1" x14ac:dyDescent="0.25">
      <c r="A456" s="38" t="str">
        <f>F456&amp;C456</f>
        <v>C04740064472</v>
      </c>
      <c r="B456" s="38" t="str">
        <f>IF(J456&gt;=SUMIFS(E:E,C:C,C456),"Good to go","Short in Qty")</f>
        <v>Good to go</v>
      </c>
      <c r="C456" s="40">
        <v>40064472</v>
      </c>
      <c r="D456" s="40" t="s">
        <v>560</v>
      </c>
      <c r="E456" s="66">
        <v>10</v>
      </c>
      <c r="F456" s="38" t="s">
        <v>192</v>
      </c>
      <c r="G456" s="40"/>
      <c r="H456" s="38" t="s">
        <v>594</v>
      </c>
      <c r="I456" s="38" t="s">
        <v>595</v>
      </c>
      <c r="J456" s="38">
        <f>IFERROR(VLOOKUP(C:C,'[1]S&amp;S'!$B:$F,5,0),)</f>
        <v>130</v>
      </c>
      <c r="K456" s="38">
        <f>IFERROR(VLOOKUP(A:A,[1]APO!$A:$F,6,0),)</f>
        <v>0</v>
      </c>
      <c r="L456" s="38">
        <f>IFERROR(VLOOKUP(C:C,'[1]TOTAL APO'!$A:$B,2,0),)</f>
        <v>0</v>
      </c>
      <c r="M456" s="38">
        <f>IFERROR(VLOOKUP(A:A,[1]Short!$A:$Q,17,0),)</f>
        <v>0</v>
      </c>
      <c r="N456" s="38">
        <f>IFERROR(VLOOKUP(C:C,[1]GIT!$B:$D,3,0),)</f>
        <v>130</v>
      </c>
      <c r="O456" s="38">
        <f>IFERROR(VLOOKUP(A:A,[2]Sheet1!$A:$B,2,0),)</f>
        <v>0</v>
      </c>
      <c r="P456" s="38">
        <f>IFERROR(VLOOKUP(A:A,[2]Sheet1!$A:$B,2,0),)</f>
        <v>0</v>
      </c>
      <c r="Q456" s="38">
        <f t="shared" si="7"/>
        <v>10</v>
      </c>
      <c r="R456" s="38"/>
      <c r="S456" s="38"/>
    </row>
    <row r="457" spans="1:19" hidden="1" x14ac:dyDescent="0.25">
      <c r="A457" s="38" t="str">
        <f>F457&amp;C457</f>
        <v>C04840064710</v>
      </c>
      <c r="B457" s="38" t="str">
        <f>IF(J457&gt;=SUMIFS(E:E,C:C,C457),"Good to go","Short in Qty")</f>
        <v>Good to go</v>
      </c>
      <c r="C457" s="40">
        <v>40064710</v>
      </c>
      <c r="D457" s="40" t="s">
        <v>570</v>
      </c>
      <c r="E457" s="66">
        <v>10</v>
      </c>
      <c r="F457" s="38" t="s">
        <v>8</v>
      </c>
      <c r="G457" s="40" t="s">
        <v>467</v>
      </c>
      <c r="H457" s="38" t="s">
        <v>594</v>
      </c>
      <c r="I457" s="38" t="s">
        <v>595</v>
      </c>
      <c r="J457" s="38">
        <f>IFERROR(VLOOKUP(C:C,'[1]S&amp;S'!$B:$F,5,0),)</f>
        <v>437</v>
      </c>
      <c r="K457" s="38">
        <f>IFERROR(VLOOKUP(A:A,[1]APO!$A:$F,6,0),)</f>
        <v>0</v>
      </c>
      <c r="L457" s="38">
        <f>IFERROR(VLOOKUP(C:C,'[1]TOTAL APO'!$A:$B,2,0),)</f>
        <v>0</v>
      </c>
      <c r="M457" s="38">
        <f>IFERROR(VLOOKUP(A:A,[1]Short!$A:$Q,17,0),)</f>
        <v>0</v>
      </c>
      <c r="N457" s="38">
        <f>IFERROR(VLOOKUP(C:C,[1]GIT!$B:$D,3,0),)</f>
        <v>0</v>
      </c>
      <c r="O457" s="38">
        <f>IFERROR(VLOOKUP(A:A,[2]Sheet1!$A:$B,2,0),)</f>
        <v>10</v>
      </c>
      <c r="P457" s="38">
        <f>IFERROR(VLOOKUP(A:A,[2]Sheet1!$A:$B,2,0),)</f>
        <v>10</v>
      </c>
      <c r="Q457" s="38">
        <f t="shared" si="7"/>
        <v>0</v>
      </c>
      <c r="R457" s="38"/>
      <c r="S457" s="38"/>
    </row>
    <row r="458" spans="1:19" hidden="1" x14ac:dyDescent="0.25">
      <c r="A458" s="38" t="str">
        <f>F458&amp;C458</f>
        <v>C04840059764</v>
      </c>
      <c r="B458" s="38" t="str">
        <f>IF(J458&gt;=SUMIFS(E:E,C:C,C458),"Good to go","Short in Qty")</f>
        <v>Good to go</v>
      </c>
      <c r="C458" s="40">
        <v>40059764</v>
      </c>
      <c r="D458" s="40" t="s">
        <v>452</v>
      </c>
      <c r="E458" s="68">
        <v>10</v>
      </c>
      <c r="F458" s="38" t="s">
        <v>8</v>
      </c>
      <c r="G458" s="40" t="s">
        <v>467</v>
      </c>
      <c r="H458" s="38" t="s">
        <v>248</v>
      </c>
      <c r="I458" s="38" t="s">
        <v>457</v>
      </c>
      <c r="J458" s="38">
        <f>IFERROR(VLOOKUP(C:C,'[1]S&amp;S'!$B:$F,5,0),)</f>
        <v>664</v>
      </c>
      <c r="K458" s="38">
        <f>IFERROR(VLOOKUP(A:A,[1]APO!$A:$F,6,0),)</f>
        <v>0</v>
      </c>
      <c r="L458" s="38">
        <f>IFERROR(VLOOKUP(C:C,'[1]TOTAL APO'!$A:$B,2,0),)</f>
        <v>0</v>
      </c>
      <c r="M458" s="38">
        <f>IFERROR(VLOOKUP(A:A,[1]Short!$A:$Q,17,0),)</f>
        <v>0</v>
      </c>
      <c r="N458" s="38">
        <f>IFERROR(VLOOKUP(C:C,[1]GIT!$B:$D,3,0),)</f>
        <v>0</v>
      </c>
      <c r="O458" s="38">
        <f>IFERROR(VLOOKUP(A:A,[2]Sheet1!$A:$B,2,0),)</f>
        <v>10</v>
      </c>
      <c r="P458" s="38">
        <f>IFERROR(VLOOKUP(A:A,[2]Sheet1!$A:$B,2,0),)</f>
        <v>10</v>
      </c>
      <c r="Q458" s="38">
        <f t="shared" si="7"/>
        <v>0</v>
      </c>
      <c r="R458" s="38"/>
      <c r="S458" s="38"/>
    </row>
    <row r="459" spans="1:19" x14ac:dyDescent="0.25">
      <c r="A459" s="38" t="str">
        <f>F459&amp;C459</f>
        <v>C04240058612</v>
      </c>
      <c r="B459" s="38" t="str">
        <f>IF(J459&gt;=SUMIFS(E:E,C:C,C459),"Good to go","Short in Qty")</f>
        <v>Good to go</v>
      </c>
      <c r="C459" s="40">
        <v>40058612</v>
      </c>
      <c r="D459" s="40" t="s">
        <v>321</v>
      </c>
      <c r="E459" s="66">
        <v>9</v>
      </c>
      <c r="F459" s="38" t="s">
        <v>10</v>
      </c>
      <c r="G459" s="40" t="s">
        <v>467</v>
      </c>
      <c r="H459" s="38" t="s">
        <v>151</v>
      </c>
      <c r="I459" s="38" t="s">
        <v>369</v>
      </c>
      <c r="J459" s="38">
        <f>IFERROR(VLOOKUP(C:C,'[1]S&amp;S'!$B:$F,5,0),)</f>
        <v>16</v>
      </c>
      <c r="K459" s="38">
        <f>IFERROR(VLOOKUP(A:A,[1]APO!$A:$F,6,0),)</f>
        <v>0</v>
      </c>
      <c r="L459" s="38">
        <f>IFERROR(VLOOKUP(C:C,'[1]TOTAL APO'!$A:$B,2,0),)</f>
        <v>0</v>
      </c>
      <c r="M459" s="38">
        <f>IFERROR(VLOOKUP(A:A,[1]Short!$A:$Q,17,0),)</f>
        <v>0</v>
      </c>
      <c r="N459" s="38">
        <f>IFERROR(VLOOKUP(C:C,[1]GIT!$B:$D,3,0),)</f>
        <v>0</v>
      </c>
      <c r="O459" s="38">
        <f>IFERROR(VLOOKUP(A:A,[2]Sheet1!$A:$B,2,0),)</f>
        <v>0</v>
      </c>
      <c r="P459" s="38">
        <f>IFERROR(VLOOKUP(A:A,[2]Sheet1!$A:$B,2,0),)</f>
        <v>0</v>
      </c>
      <c r="Q459" s="38">
        <f t="shared" si="7"/>
        <v>9</v>
      </c>
      <c r="R459" s="38"/>
      <c r="S459" s="38"/>
    </row>
    <row r="460" spans="1:19" x14ac:dyDescent="0.25">
      <c r="A460" s="38" t="str">
        <f>F460&amp;C460</f>
        <v>C04440062017</v>
      </c>
      <c r="B460" s="38" t="str">
        <f>IF(J460&gt;=SUMIFS(E:E,C:C,C460),"Good to go","Short in Qty")</f>
        <v>Good to go</v>
      </c>
      <c r="C460" s="40">
        <v>40062017</v>
      </c>
      <c r="D460" s="40" t="s">
        <v>307</v>
      </c>
      <c r="E460" s="66">
        <v>3</v>
      </c>
      <c r="F460" s="38" t="s">
        <v>191</v>
      </c>
      <c r="G460" s="40"/>
      <c r="H460" s="38" t="s">
        <v>9</v>
      </c>
      <c r="I460" s="38" t="s">
        <v>530</v>
      </c>
      <c r="J460" s="38">
        <f>IFERROR(VLOOKUP(C:C,'[1]S&amp;S'!$B:$F,5,0),)</f>
        <v>52.5</v>
      </c>
      <c r="K460" s="38">
        <f>IFERROR(VLOOKUP(A:A,[1]APO!$A:$F,6,0),)</f>
        <v>0</v>
      </c>
      <c r="L460" s="38">
        <f>IFERROR(VLOOKUP(C:C,'[1]TOTAL APO'!$A:$B,2,0),)</f>
        <v>0</v>
      </c>
      <c r="M460" s="38">
        <f>IFERROR(VLOOKUP(A:A,[1]Short!$A:$Q,17,0),)</f>
        <v>0</v>
      </c>
      <c r="N460" s="38">
        <f>IFERROR(VLOOKUP(C:C,[1]GIT!$B:$D,3,0),)</f>
        <v>0</v>
      </c>
      <c r="O460" s="38">
        <f>IFERROR(VLOOKUP(A:A,[2]Sheet1!$A:$B,2,0),)</f>
        <v>0</v>
      </c>
      <c r="P460" s="38">
        <f>IFERROR(VLOOKUP(A:A,[2]Sheet1!$A:$B,2,0),)</f>
        <v>0</v>
      </c>
      <c r="Q460" s="38">
        <f t="shared" si="7"/>
        <v>3</v>
      </c>
      <c r="R460" s="38"/>
      <c r="S460" s="38"/>
    </row>
    <row r="461" spans="1:19" x14ac:dyDescent="0.25">
      <c r="A461" s="38" t="str">
        <f>F461&amp;C461</f>
        <v>C04640062022</v>
      </c>
      <c r="B461" s="38" t="str">
        <f>IF(J461&gt;=SUMIFS(E:E,C:C,C461),"Good to go","Short in Qty")</f>
        <v>Good to go</v>
      </c>
      <c r="C461" s="40">
        <v>40062022</v>
      </c>
      <c r="D461" s="40" t="s">
        <v>299</v>
      </c>
      <c r="E461" s="66">
        <v>1</v>
      </c>
      <c r="F461" s="38" t="s">
        <v>13</v>
      </c>
      <c r="G461" s="40">
        <v>1</v>
      </c>
      <c r="H461" s="38" t="s">
        <v>9</v>
      </c>
      <c r="I461" s="38" t="s">
        <v>530</v>
      </c>
      <c r="J461" s="38">
        <f>IFERROR(VLOOKUP(C:C,'[1]S&amp;S'!$B:$F,5,0),)</f>
        <v>1.5277777777777799</v>
      </c>
      <c r="K461" s="38">
        <f>IFERROR(VLOOKUP(A:A,[1]APO!$A:$F,6,0),)</f>
        <v>0</v>
      </c>
      <c r="L461" s="38">
        <f>IFERROR(VLOOKUP(C:C,'[1]TOTAL APO'!$A:$B,2,0),)</f>
        <v>0</v>
      </c>
      <c r="M461" s="38">
        <f>IFERROR(VLOOKUP(A:A,[1]Short!$A:$Q,17,0),)</f>
        <v>0</v>
      </c>
      <c r="N461" s="38">
        <f>IFERROR(VLOOKUP(C:C,[1]GIT!$B:$D,3,0),)</f>
        <v>0</v>
      </c>
      <c r="O461" s="38">
        <f>IFERROR(VLOOKUP(A:A,[2]Sheet1!$A:$B,2,0),)</f>
        <v>0</v>
      </c>
      <c r="P461" s="38">
        <f>IFERROR(VLOOKUP(A:A,[2]Sheet1!$A:$B,2,0),)</f>
        <v>0</v>
      </c>
      <c r="Q461" s="38">
        <f t="shared" si="7"/>
        <v>1</v>
      </c>
      <c r="R461" s="38"/>
      <c r="S461" s="38"/>
    </row>
    <row r="462" spans="1:19" hidden="1" x14ac:dyDescent="0.25">
      <c r="A462" s="38" t="str">
        <f>F462&amp;C462</f>
        <v>c04340063686</v>
      </c>
      <c r="B462" s="38" t="str">
        <f>IF(J462&gt;=SUMIFS(E:E,C:C,C462),"Good to go","Short in Qty")</f>
        <v>Good to go</v>
      </c>
      <c r="C462" s="40">
        <v>40063686</v>
      </c>
      <c r="D462" s="40" t="s">
        <v>349</v>
      </c>
      <c r="E462" s="66">
        <v>230</v>
      </c>
      <c r="F462" s="38" t="s">
        <v>592</v>
      </c>
      <c r="G462" s="40" t="s">
        <v>467</v>
      </c>
      <c r="H462" s="38" t="s">
        <v>594</v>
      </c>
      <c r="I462" s="38" t="s">
        <v>595</v>
      </c>
      <c r="J462" s="38">
        <f>IFERROR(VLOOKUP(C:C,'[1]S&amp;S'!$B:$F,5,0),)</f>
        <v>5928.6666666666697</v>
      </c>
      <c r="K462" s="38">
        <f>IFERROR(VLOOKUP(A:A,[1]APO!$A:$F,6,0),)</f>
        <v>0</v>
      </c>
      <c r="L462" s="38">
        <f>IFERROR(VLOOKUP(C:C,'[1]TOTAL APO'!$A:$B,2,0),)</f>
        <v>0</v>
      </c>
      <c r="M462" s="38">
        <f>IFERROR(VLOOKUP(A:A,[1]Short!$A:$Q,17,0),)</f>
        <v>0</v>
      </c>
      <c r="N462" s="38">
        <f>IFERROR(VLOOKUP(C:C,[1]GIT!$B:$D,3,0),)</f>
        <v>0</v>
      </c>
      <c r="O462" s="38">
        <f>IFERROR(VLOOKUP(A:A,[2]Sheet1!$A:$B,2,0),)</f>
        <v>230</v>
      </c>
      <c r="P462" s="38">
        <f>IFERROR(VLOOKUP(A:A,[2]Sheet1!$A:$B,2,0),)</f>
        <v>230</v>
      </c>
      <c r="Q462" s="38">
        <f t="shared" si="7"/>
        <v>0</v>
      </c>
      <c r="R462" s="38"/>
      <c r="S462" s="38"/>
    </row>
    <row r="463" spans="1:19" hidden="1" x14ac:dyDescent="0.25">
      <c r="A463" s="38" t="str">
        <f>F463&amp;C463</f>
        <v>C04640062023</v>
      </c>
      <c r="B463" s="38" t="str">
        <f>IF(J463&gt;=SUMIFS(E:E,C:C,C463),"Good to go","Short in Qty")</f>
        <v>Good to go</v>
      </c>
      <c r="C463" s="40">
        <v>40062023</v>
      </c>
      <c r="D463" s="40" t="s">
        <v>278</v>
      </c>
      <c r="E463" s="66">
        <v>142</v>
      </c>
      <c r="F463" s="38" t="s">
        <v>13</v>
      </c>
      <c r="G463" s="40" t="s">
        <v>467</v>
      </c>
      <c r="H463" s="38" t="s">
        <v>9</v>
      </c>
      <c r="I463" s="38" t="s">
        <v>530</v>
      </c>
      <c r="J463" s="38">
        <f>IFERROR(VLOOKUP(C:C,'[1]S&amp;S'!$B:$F,5,0),)</f>
        <v>592.58333333333303</v>
      </c>
      <c r="K463" s="38">
        <f>IFERROR(VLOOKUP(A:A,[1]APO!$A:$F,6,0),)</f>
        <v>0</v>
      </c>
      <c r="L463" s="38">
        <f>IFERROR(VLOOKUP(C:C,'[1]TOTAL APO'!$A:$B,2,0),)</f>
        <v>0</v>
      </c>
      <c r="M463" s="38">
        <f>IFERROR(VLOOKUP(A:A,[1]Short!$A:$Q,17,0),)</f>
        <v>0</v>
      </c>
      <c r="N463" s="38">
        <f>IFERROR(VLOOKUP(C:C,[1]GIT!$B:$D,3,0),)</f>
        <v>150</v>
      </c>
      <c r="O463" s="38">
        <f>IFERROR(VLOOKUP(A:A,[2]Sheet1!$A:$B,2,0),)</f>
        <v>142</v>
      </c>
      <c r="P463" s="38">
        <f>IFERROR(VLOOKUP(A:A,[2]Sheet1!$A:$B,2,0),)</f>
        <v>142</v>
      </c>
      <c r="Q463" s="38">
        <f t="shared" si="7"/>
        <v>0</v>
      </c>
      <c r="R463" s="38"/>
      <c r="S463" s="38"/>
    </row>
    <row r="464" spans="1:19" hidden="1" x14ac:dyDescent="0.25">
      <c r="A464" s="38" t="str">
        <f>F464&amp;C464</f>
        <v>C04840062023</v>
      </c>
      <c r="B464" s="38" t="str">
        <f>IF(J464&gt;=SUMIFS(E:E,C:C,C464),"Good to go","Short in Qty")</f>
        <v>Good to go</v>
      </c>
      <c r="C464" s="40">
        <v>40062023</v>
      </c>
      <c r="D464" s="40" t="s">
        <v>278</v>
      </c>
      <c r="E464" s="66">
        <v>200</v>
      </c>
      <c r="F464" s="38" t="s">
        <v>8</v>
      </c>
      <c r="G464" s="40" t="s">
        <v>467</v>
      </c>
      <c r="H464" s="38" t="s">
        <v>9</v>
      </c>
      <c r="I464" s="38" t="s">
        <v>530</v>
      </c>
      <c r="J464" s="38">
        <f>IFERROR(VLOOKUP(C:C,'[1]S&amp;S'!$B:$F,5,0),)</f>
        <v>592.58333333333303</v>
      </c>
      <c r="K464" s="38">
        <f>IFERROR(VLOOKUP(A:A,[1]APO!$A:$F,6,0),)</f>
        <v>0</v>
      </c>
      <c r="L464" s="38">
        <f>IFERROR(VLOOKUP(C:C,'[1]TOTAL APO'!$A:$B,2,0),)</f>
        <v>0</v>
      </c>
      <c r="M464" s="38">
        <f>IFERROR(VLOOKUP(A:A,[1]Short!$A:$Q,17,0),)</f>
        <v>0</v>
      </c>
      <c r="N464" s="38">
        <f>IFERROR(VLOOKUP(C:C,[1]GIT!$B:$D,3,0),)</f>
        <v>150</v>
      </c>
      <c r="O464" s="38">
        <f>IFERROR(VLOOKUP(A:A,[2]Sheet1!$A:$B,2,0),)</f>
        <v>200</v>
      </c>
      <c r="P464" s="38">
        <f>IFERROR(VLOOKUP(A:A,[2]Sheet1!$A:$B,2,0),)</f>
        <v>200</v>
      </c>
      <c r="Q464" s="38">
        <f t="shared" si="7"/>
        <v>0</v>
      </c>
      <c r="R464" s="38"/>
      <c r="S464" s="38"/>
    </row>
    <row r="465" spans="1:19" x14ac:dyDescent="0.25">
      <c r="A465" s="38" t="str">
        <f>F465&amp;C465</f>
        <v>C04440062023</v>
      </c>
      <c r="B465" s="38" t="str">
        <f>IF(J465&gt;=SUMIFS(E:E,C:C,C465),"Good to go","Short in Qty")</f>
        <v>Good to go</v>
      </c>
      <c r="C465" s="40">
        <v>40062023</v>
      </c>
      <c r="D465" s="40" t="s">
        <v>278</v>
      </c>
      <c r="E465" s="66">
        <v>250</v>
      </c>
      <c r="F465" s="38" t="s">
        <v>191</v>
      </c>
      <c r="G465" s="40">
        <v>1</v>
      </c>
      <c r="H465" s="38" t="s">
        <v>9</v>
      </c>
      <c r="I465" s="38" t="s">
        <v>530</v>
      </c>
      <c r="J465" s="38">
        <f>IFERROR(VLOOKUP(C:C,'[1]S&amp;S'!$B:$F,5,0),)</f>
        <v>592.58333333333303</v>
      </c>
      <c r="K465" s="38">
        <f>IFERROR(VLOOKUP(A:A,[1]APO!$A:$F,6,0),)</f>
        <v>0</v>
      </c>
      <c r="L465" s="38">
        <f>IFERROR(VLOOKUP(C:C,'[1]TOTAL APO'!$A:$B,2,0),)</f>
        <v>0</v>
      </c>
      <c r="M465" s="38">
        <f>IFERROR(VLOOKUP(A:A,[1]Short!$A:$Q,17,0),)</f>
        <v>0</v>
      </c>
      <c r="N465" s="38">
        <f>IFERROR(VLOOKUP(C:C,[1]GIT!$B:$D,3,0),)</f>
        <v>150</v>
      </c>
      <c r="O465" s="38">
        <f>IFERROR(VLOOKUP(A:A,[2]Sheet1!$A:$B,2,0),)</f>
        <v>150</v>
      </c>
      <c r="P465" s="38">
        <f>IFERROR(VLOOKUP(A:A,[2]Sheet1!$A:$B,2,0),)</f>
        <v>150</v>
      </c>
      <c r="Q465" s="38">
        <f t="shared" si="7"/>
        <v>100</v>
      </c>
      <c r="R465" s="38"/>
      <c r="S465" s="38"/>
    </row>
    <row r="466" spans="1:19" hidden="1" x14ac:dyDescent="0.25">
      <c r="A466" s="38" t="str">
        <f>F466&amp;C466</f>
        <v>C11140062265</v>
      </c>
      <c r="B466" s="38" t="str">
        <f>IF(J466&gt;=SUMIFS(E:E,C:C,C466),"Good to go","Short in Qty")</f>
        <v>Good to go</v>
      </c>
      <c r="C466" s="40">
        <v>40062265</v>
      </c>
      <c r="D466" s="40" t="s">
        <v>443</v>
      </c>
      <c r="E466" s="68">
        <v>139</v>
      </c>
      <c r="F466" s="38" t="s">
        <v>16</v>
      </c>
      <c r="G466" s="40" t="s">
        <v>467</v>
      </c>
      <c r="H466" s="38" t="s">
        <v>248</v>
      </c>
      <c r="I466" s="38" t="s">
        <v>457</v>
      </c>
      <c r="J466" s="38">
        <f>IFERROR(VLOOKUP(C:C,'[1]S&amp;S'!$B:$F,5,0),)</f>
        <v>352.99944444444401</v>
      </c>
      <c r="K466" s="38">
        <f>IFERROR(VLOOKUP(A:A,[1]APO!$A:$F,6,0),)</f>
        <v>0</v>
      </c>
      <c r="L466" s="38">
        <f>IFERROR(VLOOKUP(C:C,'[1]TOTAL APO'!$A:$B,2,0),)</f>
        <v>0</v>
      </c>
      <c r="M466" s="38">
        <f>IFERROR(VLOOKUP(A:A,[1]Short!$A:$Q,17,0),)</f>
        <v>0</v>
      </c>
      <c r="N466" s="38">
        <f>IFERROR(VLOOKUP(C:C,[1]GIT!$B:$D,3,0),)</f>
        <v>0</v>
      </c>
      <c r="O466" s="38">
        <f>IFERROR(VLOOKUP(A:A,[2]Sheet1!$A:$B,2,0),)</f>
        <v>139</v>
      </c>
      <c r="P466" s="38">
        <f>IFERROR(VLOOKUP(A:A,[2]Sheet1!$A:$B,2,0),)</f>
        <v>139</v>
      </c>
      <c r="Q466" s="38">
        <f t="shared" si="7"/>
        <v>0</v>
      </c>
      <c r="R466" s="38"/>
      <c r="S466" s="38"/>
    </row>
    <row r="467" spans="1:19" x14ac:dyDescent="0.25">
      <c r="A467" s="38" t="str">
        <f>F467&amp;C467</f>
        <v>C11140064535</v>
      </c>
      <c r="B467" s="38" t="str">
        <f>IF(J467&gt;=SUMIFS(E:E,C:C,C467),"Good to go","Short in Qty")</f>
        <v>Good to go</v>
      </c>
      <c r="C467" s="40">
        <v>40064535</v>
      </c>
      <c r="D467" s="40" t="s">
        <v>450</v>
      </c>
      <c r="E467" s="68">
        <v>150</v>
      </c>
      <c r="F467" s="38" t="s">
        <v>16</v>
      </c>
      <c r="G467" s="40" t="s">
        <v>467</v>
      </c>
      <c r="H467" s="38" t="s">
        <v>248</v>
      </c>
      <c r="I467" s="38" t="s">
        <v>457</v>
      </c>
      <c r="J467" s="38">
        <f>IFERROR(VLOOKUP(C:C,'[1]S&amp;S'!$B:$F,5,0),)</f>
        <v>807.5</v>
      </c>
      <c r="K467" s="38">
        <f>IFERROR(VLOOKUP(A:A,[1]APO!$A:$F,6,0),)</f>
        <v>0</v>
      </c>
      <c r="L467" s="38">
        <f>IFERROR(VLOOKUP(C:C,'[1]TOTAL APO'!$A:$B,2,0),)</f>
        <v>0</v>
      </c>
      <c r="M467" s="38">
        <f>IFERROR(VLOOKUP(A:A,[1]Short!$A:$Q,17,0),)</f>
        <v>0</v>
      </c>
      <c r="N467" s="38">
        <f>IFERROR(VLOOKUP(C:C,[1]GIT!$B:$D,3,0),)</f>
        <v>0</v>
      </c>
      <c r="O467" s="38">
        <f>IFERROR(VLOOKUP(A:A,[2]Sheet1!$A:$B,2,0),)</f>
        <v>69</v>
      </c>
      <c r="P467" s="38">
        <f>IFERROR(VLOOKUP(A:A,[2]Sheet1!$A:$B,2,0),)</f>
        <v>69</v>
      </c>
      <c r="Q467" s="38">
        <f t="shared" si="7"/>
        <v>81</v>
      </c>
      <c r="R467" s="38"/>
      <c r="S467" s="38"/>
    </row>
    <row r="468" spans="1:19" x14ac:dyDescent="0.25">
      <c r="A468" s="38" t="str">
        <f>F468&amp;C468</f>
        <v>C04640062265</v>
      </c>
      <c r="B468" s="38" t="str">
        <f>IF(J468&gt;=SUMIFS(E:E,C:C,C468),"Good to go","Short in Qty")</f>
        <v>Good to go</v>
      </c>
      <c r="C468" s="40">
        <v>40062265</v>
      </c>
      <c r="D468" s="40" t="s">
        <v>443</v>
      </c>
      <c r="E468" s="66">
        <v>13</v>
      </c>
      <c r="F468" s="38" t="s">
        <v>13</v>
      </c>
      <c r="G468" s="40"/>
      <c r="H468" s="38" t="s">
        <v>9</v>
      </c>
      <c r="I468" s="38" t="s">
        <v>530</v>
      </c>
      <c r="J468" s="38">
        <f>IFERROR(VLOOKUP(C:C,'[1]S&amp;S'!$B:$F,5,0),)</f>
        <v>352.99944444444401</v>
      </c>
      <c r="K468" s="38">
        <f>IFERROR(VLOOKUP(A:A,[1]APO!$A:$F,6,0),)</f>
        <v>0</v>
      </c>
      <c r="L468" s="38">
        <f>IFERROR(VLOOKUP(C:C,'[1]TOTAL APO'!$A:$B,2,0),)</f>
        <v>0</v>
      </c>
      <c r="M468" s="38">
        <f>IFERROR(VLOOKUP(A:A,[1]Short!$A:$Q,17,0),)</f>
        <v>0</v>
      </c>
      <c r="N468" s="38">
        <f>IFERROR(VLOOKUP(C:C,[1]GIT!$B:$D,3,0),)</f>
        <v>0</v>
      </c>
      <c r="O468" s="38">
        <f>IFERROR(VLOOKUP(A:A,[2]Sheet1!$A:$B,2,0),)</f>
        <v>0</v>
      </c>
      <c r="P468" s="38">
        <f>IFERROR(VLOOKUP(A:A,[2]Sheet1!$A:$B,2,0),)</f>
        <v>0</v>
      </c>
      <c r="Q468" s="38">
        <f t="shared" si="7"/>
        <v>13</v>
      </c>
      <c r="R468" s="38"/>
      <c r="S468" s="38"/>
    </row>
    <row r="469" spans="1:19" hidden="1" x14ac:dyDescent="0.25">
      <c r="A469" s="38" t="str">
        <f>F469&amp;C469</f>
        <v>C13140062265</v>
      </c>
      <c r="B469" s="38" t="str">
        <f>IF(J469&gt;=SUMIFS(E:E,C:C,C469),"Good to go","Short in Qty")</f>
        <v>Good to go</v>
      </c>
      <c r="C469" s="40">
        <v>40062265</v>
      </c>
      <c r="D469" s="40" t="s">
        <v>443</v>
      </c>
      <c r="E469" s="66">
        <v>100</v>
      </c>
      <c r="F469" s="38" t="s">
        <v>17</v>
      </c>
      <c r="G469" s="40" t="s">
        <v>467</v>
      </c>
      <c r="H469" s="38" t="s">
        <v>9</v>
      </c>
      <c r="I469" s="38" t="s">
        <v>530</v>
      </c>
      <c r="J469" s="38">
        <f>IFERROR(VLOOKUP(C:C,'[1]S&amp;S'!$B:$F,5,0),)</f>
        <v>352.99944444444401</v>
      </c>
      <c r="K469" s="38">
        <f>IFERROR(VLOOKUP(A:A,[1]APO!$A:$F,6,0),)</f>
        <v>0</v>
      </c>
      <c r="L469" s="38">
        <f>IFERROR(VLOOKUP(C:C,'[1]TOTAL APO'!$A:$B,2,0),)</f>
        <v>0</v>
      </c>
      <c r="M469" s="38">
        <f>IFERROR(VLOOKUP(A:A,[1]Short!$A:$Q,17,0),)</f>
        <v>0</v>
      </c>
      <c r="N469" s="38">
        <f>IFERROR(VLOOKUP(C:C,[1]GIT!$B:$D,3,0),)</f>
        <v>0</v>
      </c>
      <c r="O469" s="38">
        <f>IFERROR(VLOOKUP(A:A,[2]Sheet1!$A:$B,2,0),)</f>
        <v>100</v>
      </c>
      <c r="P469" s="38">
        <f>IFERROR(VLOOKUP(A:A,[2]Sheet1!$A:$B,2,0),)</f>
        <v>100</v>
      </c>
      <c r="Q469" s="38">
        <f t="shared" si="7"/>
        <v>0</v>
      </c>
      <c r="R469" s="38"/>
      <c r="S469" s="38"/>
    </row>
    <row r="470" spans="1:19" hidden="1" x14ac:dyDescent="0.25">
      <c r="A470" s="38" t="str">
        <f>F470&amp;C470</f>
        <v>C04840062524</v>
      </c>
      <c r="B470" s="38" t="str">
        <f>IF(J470&gt;=SUMIFS(E:E,C:C,C470),"Good to go","Short in Qty")</f>
        <v>Good to go</v>
      </c>
      <c r="C470" s="40">
        <v>40062524</v>
      </c>
      <c r="D470" s="40" t="s">
        <v>308</v>
      </c>
      <c r="E470" s="66">
        <v>4</v>
      </c>
      <c r="F470" s="38" t="s">
        <v>8</v>
      </c>
      <c r="G470" s="40" t="s">
        <v>467</v>
      </c>
      <c r="H470" s="38" t="s">
        <v>151</v>
      </c>
      <c r="I470" s="38" t="s">
        <v>369</v>
      </c>
      <c r="J470" s="38">
        <f>IFERROR(VLOOKUP(C:C,'[1]S&amp;S'!$B:$F,5,0),)</f>
        <v>1379</v>
      </c>
      <c r="K470" s="38">
        <f>IFERROR(VLOOKUP(A:A,[1]APO!$A:$F,6,0),)</f>
        <v>0</v>
      </c>
      <c r="L470" s="38">
        <f>IFERROR(VLOOKUP(C:C,'[1]TOTAL APO'!$A:$B,2,0),)</f>
        <v>0</v>
      </c>
      <c r="M470" s="38">
        <f>IFERROR(VLOOKUP(A:A,[1]Short!$A:$Q,17,0),)</f>
        <v>0</v>
      </c>
      <c r="N470" s="38">
        <f>IFERROR(VLOOKUP(C:C,[1]GIT!$B:$D,3,0),)</f>
        <v>0</v>
      </c>
      <c r="O470" s="38">
        <f>IFERROR(VLOOKUP(A:A,[2]Sheet1!$A:$B,2,0),)</f>
        <v>4</v>
      </c>
      <c r="P470" s="38">
        <f>IFERROR(VLOOKUP(A:A,[2]Sheet1!$A:$B,2,0),)</f>
        <v>4</v>
      </c>
      <c r="Q470" s="38">
        <f t="shared" si="7"/>
        <v>0</v>
      </c>
      <c r="R470" s="38"/>
      <c r="S470" s="38"/>
    </row>
    <row r="471" spans="1:19" hidden="1" x14ac:dyDescent="0.25">
      <c r="A471" s="38" t="str">
        <f>F471&amp;C471</f>
        <v>C11140065292</v>
      </c>
      <c r="B471" s="38" t="str">
        <f>IF(J471&gt;=SUMIFS(E:E,C:C,C471),"Good to go","Short in Qty")</f>
        <v>Good to go</v>
      </c>
      <c r="C471" s="40">
        <v>40065292</v>
      </c>
      <c r="D471" s="40" t="s">
        <v>437</v>
      </c>
      <c r="E471" s="68">
        <v>300</v>
      </c>
      <c r="F471" s="38" t="s">
        <v>16</v>
      </c>
      <c r="G471" s="40" t="s">
        <v>467</v>
      </c>
      <c r="H471" s="38" t="s">
        <v>248</v>
      </c>
      <c r="I471" s="38" t="s">
        <v>457</v>
      </c>
      <c r="J471" s="38">
        <f>IFERROR(VLOOKUP(C:C,'[1]S&amp;S'!$B:$F,5,0),)</f>
        <v>3084</v>
      </c>
      <c r="K471" s="38">
        <f>IFERROR(VLOOKUP(A:A,[1]APO!$A:$F,6,0),)</f>
        <v>0</v>
      </c>
      <c r="L471" s="38">
        <f>IFERROR(VLOOKUP(C:C,'[1]TOTAL APO'!$A:$B,2,0),)</f>
        <v>0</v>
      </c>
      <c r="M471" s="38">
        <f>IFERROR(VLOOKUP(A:A,[1]Short!$A:$Q,17,0),)</f>
        <v>0</v>
      </c>
      <c r="N471" s="38">
        <f>IFERROR(VLOOKUP(C:C,[1]GIT!$B:$D,3,0),)</f>
        <v>0</v>
      </c>
      <c r="O471" s="38">
        <f>IFERROR(VLOOKUP(A:A,[2]Sheet1!$A:$B,2,0),)</f>
        <v>300</v>
      </c>
      <c r="P471" s="38">
        <f>IFERROR(VLOOKUP(A:A,[2]Sheet1!$A:$B,2,0),)</f>
        <v>300</v>
      </c>
      <c r="Q471" s="38">
        <f t="shared" si="7"/>
        <v>0</v>
      </c>
      <c r="R471" s="38"/>
      <c r="S471" s="38"/>
    </row>
    <row r="472" spans="1:19" hidden="1" x14ac:dyDescent="0.25">
      <c r="A472" s="38" t="str">
        <f>F472&amp;C472</f>
        <v>C04340060034</v>
      </c>
      <c r="B472" s="38" t="str">
        <f>IF(J472&gt;=SUMIFS(E:E,C:C,C472),"Good to go","Short in Qty")</f>
        <v>Short in Qty</v>
      </c>
      <c r="C472" s="40">
        <v>40060034</v>
      </c>
      <c r="D472" s="40" t="s">
        <v>463</v>
      </c>
      <c r="E472" s="66">
        <v>100</v>
      </c>
      <c r="F472" s="38" t="s">
        <v>11</v>
      </c>
      <c r="G472" s="40" t="s">
        <v>467</v>
      </c>
      <c r="H472" s="38" t="s">
        <v>84</v>
      </c>
      <c r="I472" s="38" t="s">
        <v>620</v>
      </c>
      <c r="J472" s="38">
        <f>IFERROR(VLOOKUP(C:C,'[1]S&amp;S'!$B:$F,5,0),)</f>
        <v>679.33333333333303</v>
      </c>
      <c r="K472" s="38">
        <f>IFERROR(VLOOKUP(A:A,[1]APO!$A:$F,6,0),)</f>
        <v>0</v>
      </c>
      <c r="L472" s="38">
        <f>IFERROR(VLOOKUP(C:C,'[1]TOTAL APO'!$A:$B,2,0),)</f>
        <v>0</v>
      </c>
      <c r="M472" s="38">
        <f>IFERROR(VLOOKUP(A:A,[1]Short!$A:$Q,17,0),)</f>
        <v>0</v>
      </c>
      <c r="N472" s="38">
        <f>IFERROR(VLOOKUP(C:C,[1]GIT!$B:$D,3,0),)</f>
        <v>0</v>
      </c>
      <c r="O472" s="38">
        <f>IFERROR(VLOOKUP(A:A,[2]Sheet1!$A:$B,2,0),)</f>
        <v>100</v>
      </c>
      <c r="P472" s="38">
        <f>IFERROR(VLOOKUP(A:A,[2]Sheet1!$A:$B,2,0),)</f>
        <v>100</v>
      </c>
      <c r="Q472" s="38">
        <f t="shared" si="7"/>
        <v>0</v>
      </c>
      <c r="R472" s="38"/>
      <c r="S472" s="38"/>
    </row>
    <row r="473" spans="1:19" hidden="1" x14ac:dyDescent="0.25">
      <c r="A473" s="38" t="str">
        <f>F473&amp;C473</f>
        <v>C04640062271</v>
      </c>
      <c r="B473" s="38" t="str">
        <f>IF(J473&gt;=SUMIFS(E:E,C:C,C473),"Good to go","Short in Qty")</f>
        <v>Short in Qty</v>
      </c>
      <c r="C473" s="40">
        <v>40062271</v>
      </c>
      <c r="D473" s="40" t="s">
        <v>441</v>
      </c>
      <c r="E473" s="66">
        <v>140</v>
      </c>
      <c r="F473" s="38" t="s">
        <v>13</v>
      </c>
      <c r="G473" s="40" t="s">
        <v>596</v>
      </c>
      <c r="H473" s="38" t="s">
        <v>594</v>
      </c>
      <c r="I473" s="38" t="s">
        <v>595</v>
      </c>
      <c r="J473" s="38">
        <f>IFERROR(VLOOKUP(C:C,'[1]S&amp;S'!$B:$F,5,0),)</f>
        <v>0</v>
      </c>
      <c r="K473" s="38">
        <f>IFERROR(VLOOKUP(A:A,[1]APO!$A:$F,6,0),)</f>
        <v>0</v>
      </c>
      <c r="L473" s="38">
        <f>IFERROR(VLOOKUP(C:C,'[1]TOTAL APO'!$A:$B,2,0),)</f>
        <v>0</v>
      </c>
      <c r="M473" s="38">
        <f>IFERROR(VLOOKUP(A:A,[1]Short!$A:$Q,17,0),)</f>
        <v>0</v>
      </c>
      <c r="N473" s="38">
        <f>IFERROR(VLOOKUP(C:C,[1]GIT!$B:$D,3,0),)</f>
        <v>0</v>
      </c>
      <c r="O473" s="38">
        <f>IFERROR(VLOOKUP(A:A,[2]Sheet1!$A:$B,2,0),)</f>
        <v>0</v>
      </c>
      <c r="P473" s="38">
        <f>IFERROR(VLOOKUP(A:A,[2]Sheet1!$A:$B,2,0),)</f>
        <v>0</v>
      </c>
      <c r="Q473" s="38">
        <f t="shared" si="7"/>
        <v>140</v>
      </c>
      <c r="R473" s="38">
        <v>2</v>
      </c>
      <c r="S473" s="38"/>
    </row>
    <row r="474" spans="1:19" hidden="1" x14ac:dyDescent="0.25">
      <c r="A474" s="38" t="str">
        <f>F474&amp;C474</f>
        <v>C04340062271</v>
      </c>
      <c r="B474" s="38" t="str">
        <f>IF(J474&gt;=SUMIFS(E:E,C:C,C474),"Good to go","Short in Qty")</f>
        <v>Short in Qty</v>
      </c>
      <c r="C474" s="40">
        <v>40062271</v>
      </c>
      <c r="D474" s="40" t="s">
        <v>441</v>
      </c>
      <c r="E474" s="66">
        <v>30</v>
      </c>
      <c r="F474" s="38" t="s">
        <v>11</v>
      </c>
      <c r="G474" s="40" t="s">
        <v>596</v>
      </c>
      <c r="H474" s="38" t="s">
        <v>594</v>
      </c>
      <c r="I474" s="38" t="s">
        <v>595</v>
      </c>
      <c r="J474" s="38">
        <f>IFERROR(VLOOKUP(C:C,'[1]S&amp;S'!$B:$F,5,0),)</f>
        <v>0</v>
      </c>
      <c r="K474" s="38">
        <f>IFERROR(VLOOKUP(A:A,[1]APO!$A:$F,6,0),)</f>
        <v>0</v>
      </c>
      <c r="L474" s="38">
        <f>IFERROR(VLOOKUP(C:C,'[1]TOTAL APO'!$A:$B,2,0),)</f>
        <v>0</v>
      </c>
      <c r="M474" s="38">
        <f>IFERROR(VLOOKUP(A:A,[1]Short!$A:$Q,17,0),)</f>
        <v>0</v>
      </c>
      <c r="N474" s="38">
        <f>IFERROR(VLOOKUP(C:C,[1]GIT!$B:$D,3,0),)</f>
        <v>0</v>
      </c>
      <c r="O474" s="38">
        <f>IFERROR(VLOOKUP(A:A,[2]Sheet1!$A:$B,2,0),)</f>
        <v>0</v>
      </c>
      <c r="P474" s="38">
        <f>IFERROR(VLOOKUP(A:A,[2]Sheet1!$A:$B,2,0),)</f>
        <v>0</v>
      </c>
      <c r="Q474" s="38">
        <f t="shared" si="7"/>
        <v>30</v>
      </c>
      <c r="R474" s="38"/>
      <c r="S474" s="38"/>
    </row>
    <row r="475" spans="1:19" hidden="1" x14ac:dyDescent="0.25">
      <c r="A475" s="38" t="str">
        <f>F475&amp;C475</f>
        <v>C04440062271</v>
      </c>
      <c r="B475" s="38" t="str">
        <f>IF(J475&gt;=SUMIFS(E:E,C:C,C475),"Good to go","Short in Qty")</f>
        <v>Short in Qty</v>
      </c>
      <c r="C475" s="40">
        <v>40062271</v>
      </c>
      <c r="D475" s="40" t="s">
        <v>441</v>
      </c>
      <c r="E475" s="66">
        <v>10</v>
      </c>
      <c r="F475" s="38" t="s">
        <v>191</v>
      </c>
      <c r="G475" s="40" t="s">
        <v>596</v>
      </c>
      <c r="H475" s="38" t="s">
        <v>594</v>
      </c>
      <c r="I475" s="38" t="s">
        <v>595</v>
      </c>
      <c r="J475" s="38">
        <f>IFERROR(VLOOKUP(C:C,'[1]S&amp;S'!$B:$F,5,0),)</f>
        <v>0</v>
      </c>
      <c r="K475" s="38">
        <f>IFERROR(VLOOKUP(A:A,[1]APO!$A:$F,6,0),)</f>
        <v>0</v>
      </c>
      <c r="L475" s="38">
        <f>IFERROR(VLOOKUP(C:C,'[1]TOTAL APO'!$A:$B,2,0),)</f>
        <v>0</v>
      </c>
      <c r="M475" s="38">
        <f>IFERROR(VLOOKUP(A:A,[1]Short!$A:$Q,17,0),)</f>
        <v>0</v>
      </c>
      <c r="N475" s="38">
        <f>IFERROR(VLOOKUP(C:C,[1]GIT!$B:$D,3,0),)</f>
        <v>0</v>
      </c>
      <c r="O475" s="38">
        <f>IFERROR(VLOOKUP(A:A,[2]Sheet1!$A:$B,2,0),)</f>
        <v>0</v>
      </c>
      <c r="P475" s="38">
        <f>IFERROR(VLOOKUP(A:A,[2]Sheet1!$A:$B,2,0),)</f>
        <v>0</v>
      </c>
      <c r="Q475" s="38">
        <f t="shared" si="7"/>
        <v>10</v>
      </c>
      <c r="R475" s="38"/>
      <c r="S475" s="38"/>
    </row>
    <row r="476" spans="1:19" hidden="1" x14ac:dyDescent="0.25">
      <c r="A476" s="38" t="str">
        <f>F476&amp;C476</f>
        <v>C04840062271</v>
      </c>
      <c r="B476" s="38" t="str">
        <f>IF(J476&gt;=SUMIFS(E:E,C:C,C476),"Good to go","Short in Qty")</f>
        <v>Short in Qty</v>
      </c>
      <c r="C476" s="40">
        <v>40062271</v>
      </c>
      <c r="D476" s="40" t="s">
        <v>441</v>
      </c>
      <c r="E476" s="66">
        <v>10</v>
      </c>
      <c r="F476" s="38" t="s">
        <v>8</v>
      </c>
      <c r="G476" s="40" t="s">
        <v>596</v>
      </c>
      <c r="H476" s="38" t="s">
        <v>594</v>
      </c>
      <c r="I476" s="38" t="s">
        <v>595</v>
      </c>
      <c r="J476" s="38">
        <f>IFERROR(VLOOKUP(C:C,'[1]S&amp;S'!$B:$F,5,0),)</f>
        <v>0</v>
      </c>
      <c r="K476" s="38">
        <f>IFERROR(VLOOKUP(A:A,[1]APO!$A:$F,6,0),)</f>
        <v>0</v>
      </c>
      <c r="L476" s="38">
        <f>IFERROR(VLOOKUP(C:C,'[1]TOTAL APO'!$A:$B,2,0),)</f>
        <v>0</v>
      </c>
      <c r="M476" s="38">
        <f>IFERROR(VLOOKUP(A:A,[1]Short!$A:$Q,17,0),)</f>
        <v>0</v>
      </c>
      <c r="N476" s="38">
        <f>IFERROR(VLOOKUP(C:C,[1]GIT!$B:$D,3,0),)</f>
        <v>0</v>
      </c>
      <c r="O476" s="38">
        <f>IFERROR(VLOOKUP(A:A,[2]Sheet1!$A:$B,2,0),)</f>
        <v>0</v>
      </c>
      <c r="P476" s="38">
        <f>IFERROR(VLOOKUP(A:A,[2]Sheet1!$A:$B,2,0),)</f>
        <v>0</v>
      </c>
      <c r="Q476" s="38">
        <f t="shared" si="7"/>
        <v>10</v>
      </c>
      <c r="R476" s="38"/>
      <c r="S476" s="38"/>
    </row>
    <row r="477" spans="1:19" hidden="1" x14ac:dyDescent="0.25">
      <c r="A477" s="38" t="str">
        <f>F477&amp;C477</f>
        <v>C04640065350</v>
      </c>
      <c r="B477" s="38" t="str">
        <f>IF(J477&gt;=SUMIFS(E:E,C:C,C477),"Good to go","Short in Qty")</f>
        <v>Good to go</v>
      </c>
      <c r="C477" s="40">
        <v>40065350</v>
      </c>
      <c r="D477" s="40" t="s">
        <v>557</v>
      </c>
      <c r="E477" s="66">
        <v>5</v>
      </c>
      <c r="F477" s="38" t="s">
        <v>13</v>
      </c>
      <c r="G477" s="40"/>
      <c r="H477" s="38" t="s">
        <v>594</v>
      </c>
      <c r="I477" s="38" t="s">
        <v>595</v>
      </c>
      <c r="J477" s="38">
        <f>IFERROR(VLOOKUP(C:C,'[1]S&amp;S'!$B:$F,5,0),)</f>
        <v>98</v>
      </c>
      <c r="K477" s="38">
        <f>IFERROR(VLOOKUP(A:A,[1]APO!$A:$F,6,0),)</f>
        <v>0</v>
      </c>
      <c r="L477" s="38">
        <f>IFERROR(VLOOKUP(C:C,'[1]TOTAL APO'!$A:$B,2,0),)</f>
        <v>0</v>
      </c>
      <c r="M477" s="38">
        <f>IFERROR(VLOOKUP(A:A,[1]Short!$A:$Q,17,0),)</f>
        <v>0</v>
      </c>
      <c r="N477" s="38">
        <f>IFERROR(VLOOKUP(C:C,[1]GIT!$B:$D,3,0),)</f>
        <v>0</v>
      </c>
      <c r="O477" s="38">
        <f>IFERROR(VLOOKUP(A:A,[2]Sheet1!$A:$B,2,0),)</f>
        <v>0</v>
      </c>
      <c r="P477" s="38">
        <f>IFERROR(VLOOKUP(A:A,[2]Sheet1!$A:$B,2,0),)</f>
        <v>0</v>
      </c>
      <c r="Q477" s="38">
        <f t="shared" si="7"/>
        <v>5</v>
      </c>
      <c r="R477" s="38"/>
      <c r="S477" s="38"/>
    </row>
    <row r="478" spans="1:19" hidden="1" x14ac:dyDescent="0.25">
      <c r="A478" s="38" t="str">
        <f>F478&amp;C478</f>
        <v>C04340061000</v>
      </c>
      <c r="B478" s="38" t="str">
        <f>IF(J478&gt;=SUMIFS(E:E,C:C,C478),"Good to go","Short in Qty")</f>
        <v>Good to go</v>
      </c>
      <c r="C478" s="40">
        <v>40061000</v>
      </c>
      <c r="D478" s="40" t="s">
        <v>273</v>
      </c>
      <c r="E478" s="66">
        <v>4</v>
      </c>
      <c r="F478" s="38" t="s">
        <v>11</v>
      </c>
      <c r="G478" s="40" t="s">
        <v>467</v>
      </c>
      <c r="H478" s="38" t="s">
        <v>84</v>
      </c>
      <c r="I478" s="38" t="s">
        <v>620</v>
      </c>
      <c r="J478" s="38">
        <f>IFERROR(VLOOKUP(C:C,'[1]S&amp;S'!$B:$F,5,0),)</f>
        <v>54</v>
      </c>
      <c r="K478" s="38">
        <f>IFERROR(VLOOKUP(A:A,[1]APO!$A:$F,6,0),)</f>
        <v>0</v>
      </c>
      <c r="L478" s="38">
        <f>IFERROR(VLOOKUP(C:C,'[1]TOTAL APO'!$A:$B,2,0),)</f>
        <v>0</v>
      </c>
      <c r="M478" s="38">
        <f>IFERROR(VLOOKUP(A:A,[1]Short!$A:$Q,17,0),)</f>
        <v>0</v>
      </c>
      <c r="N478" s="38">
        <f>IFERROR(VLOOKUP(C:C,[1]GIT!$B:$D,3,0),)</f>
        <v>20</v>
      </c>
      <c r="O478" s="38">
        <f>IFERROR(VLOOKUP(A:A,[2]Sheet1!$A:$B,2,0),)</f>
        <v>4</v>
      </c>
      <c r="P478" s="38">
        <f>IFERROR(VLOOKUP(A:A,[2]Sheet1!$A:$B,2,0),)</f>
        <v>4</v>
      </c>
      <c r="Q478" s="38">
        <f t="shared" si="7"/>
        <v>0</v>
      </c>
      <c r="R478" s="38"/>
      <c r="S478" s="38"/>
    </row>
    <row r="479" spans="1:19" hidden="1" x14ac:dyDescent="0.25">
      <c r="A479" s="38" t="str">
        <f>F479&amp;C479</f>
        <v>C13140062332</v>
      </c>
      <c r="B479" s="38" t="str">
        <f>IF(J479&gt;=SUMIFS(E:E,C:C,C479),"Good to go","Short in Qty")</f>
        <v>Good to go</v>
      </c>
      <c r="C479" s="40">
        <v>40062332</v>
      </c>
      <c r="D479" s="40" t="s">
        <v>318</v>
      </c>
      <c r="E479" s="66">
        <v>78</v>
      </c>
      <c r="F479" s="38" t="s">
        <v>17</v>
      </c>
      <c r="G479" s="40" t="s">
        <v>467</v>
      </c>
      <c r="H479" s="38" t="s">
        <v>213</v>
      </c>
      <c r="I479" s="38" t="s">
        <v>482</v>
      </c>
      <c r="J479" s="38">
        <f>IFERROR(VLOOKUP(C:C,'[1]S&amp;S'!$B:$F,5,0),)</f>
        <v>167</v>
      </c>
      <c r="K479" s="38">
        <f>IFERROR(VLOOKUP(A:A,[1]APO!$A:$F,6,0),)</f>
        <v>0</v>
      </c>
      <c r="L479" s="38">
        <f>IFERROR(VLOOKUP(C:C,'[1]TOTAL APO'!$A:$B,2,0),)</f>
        <v>0</v>
      </c>
      <c r="M479" s="38">
        <f>IFERROR(VLOOKUP(A:A,[1]Short!$A:$Q,17,0),)</f>
        <v>0</v>
      </c>
      <c r="N479" s="38">
        <f>IFERROR(VLOOKUP(C:C,[1]GIT!$B:$D,3,0),)</f>
        <v>167</v>
      </c>
      <c r="O479" s="38">
        <f>IFERROR(VLOOKUP(A:A,[2]Sheet1!$A:$B,2,0),)</f>
        <v>78</v>
      </c>
      <c r="P479" s="38">
        <f>IFERROR(VLOOKUP(A:A,[2]Sheet1!$A:$B,2,0),)</f>
        <v>78</v>
      </c>
      <c r="Q479" s="38">
        <f t="shared" si="7"/>
        <v>0</v>
      </c>
      <c r="R479" s="38"/>
      <c r="S479" s="38"/>
    </row>
    <row r="480" spans="1:19" x14ac:dyDescent="0.25">
      <c r="A480" s="38" t="str">
        <f>F480&amp;C480</f>
        <v>C11140062332</v>
      </c>
      <c r="B480" s="38" t="str">
        <f>IF(J480&gt;=SUMIFS(E:E,C:C,C480),"Good to go","Short in Qty")</f>
        <v>Good to go</v>
      </c>
      <c r="C480" s="40">
        <v>40062332</v>
      </c>
      <c r="D480" s="40" t="s">
        <v>318</v>
      </c>
      <c r="E480" s="66">
        <v>15</v>
      </c>
      <c r="F480" s="38" t="s">
        <v>16</v>
      </c>
      <c r="G480" s="40"/>
      <c r="H480" s="38" t="s">
        <v>213</v>
      </c>
      <c r="I480" s="38" t="s">
        <v>482</v>
      </c>
      <c r="J480" s="38">
        <f>IFERROR(VLOOKUP(C:C,'[1]S&amp;S'!$B:$F,5,0),)</f>
        <v>167</v>
      </c>
      <c r="K480" s="38">
        <f>IFERROR(VLOOKUP(A:A,[1]APO!$A:$F,6,0),)</f>
        <v>0</v>
      </c>
      <c r="L480" s="38">
        <f>IFERROR(VLOOKUP(C:C,'[1]TOTAL APO'!$A:$B,2,0),)</f>
        <v>0</v>
      </c>
      <c r="M480" s="38">
        <f>IFERROR(VLOOKUP(A:A,[1]Short!$A:$Q,17,0),)</f>
        <v>0</v>
      </c>
      <c r="N480" s="38">
        <f>IFERROR(VLOOKUP(C:C,[1]GIT!$B:$D,3,0),)</f>
        <v>167</v>
      </c>
      <c r="O480" s="38">
        <f>IFERROR(VLOOKUP(A:A,[2]Sheet1!$A:$B,2,0),)</f>
        <v>0</v>
      </c>
      <c r="P480" s="38">
        <f>IFERROR(VLOOKUP(A:A,[2]Sheet1!$A:$B,2,0),)</f>
        <v>0</v>
      </c>
      <c r="Q480" s="38">
        <f t="shared" si="7"/>
        <v>15</v>
      </c>
      <c r="R480" s="38"/>
      <c r="S480" s="38"/>
    </row>
    <row r="481" spans="1:19" hidden="1" x14ac:dyDescent="0.25">
      <c r="A481" s="38" t="str">
        <f>F481&amp;C481</f>
        <v>C10240062332</v>
      </c>
      <c r="B481" s="38" t="str">
        <f>IF(J481&gt;=SUMIFS(E:E,C:C,C481),"Good to go","Short in Qty")</f>
        <v>Good to go</v>
      </c>
      <c r="C481" s="40">
        <v>40062332</v>
      </c>
      <c r="D481" s="40" t="s">
        <v>318</v>
      </c>
      <c r="E481" s="66">
        <v>50</v>
      </c>
      <c r="F481" s="38" t="s">
        <v>226</v>
      </c>
      <c r="G481" s="40" t="s">
        <v>467</v>
      </c>
      <c r="H481" s="38" t="s">
        <v>213</v>
      </c>
      <c r="I481" s="38" t="s">
        <v>482</v>
      </c>
      <c r="J481" s="38">
        <f>IFERROR(VLOOKUP(C:C,'[1]S&amp;S'!$B:$F,5,0),)</f>
        <v>167</v>
      </c>
      <c r="K481" s="38">
        <f>IFERROR(VLOOKUP(A:A,[1]APO!$A:$F,6,0),)</f>
        <v>0</v>
      </c>
      <c r="L481" s="38">
        <f>IFERROR(VLOOKUP(C:C,'[1]TOTAL APO'!$A:$B,2,0),)</f>
        <v>0</v>
      </c>
      <c r="M481" s="38">
        <f>IFERROR(VLOOKUP(A:A,[1]Short!$A:$Q,17,0),)</f>
        <v>0</v>
      </c>
      <c r="N481" s="38">
        <f>IFERROR(VLOOKUP(C:C,[1]GIT!$B:$D,3,0),)</f>
        <v>167</v>
      </c>
      <c r="O481" s="38">
        <f>IFERROR(VLOOKUP(A:A,[2]Sheet1!$A:$B,2,0),)</f>
        <v>50</v>
      </c>
      <c r="P481" s="38">
        <f>IFERROR(VLOOKUP(A:A,[2]Sheet1!$A:$B,2,0),)</f>
        <v>50</v>
      </c>
      <c r="Q481" s="38">
        <f t="shared" si="7"/>
        <v>0</v>
      </c>
      <c r="R481" s="38"/>
      <c r="S481" s="38"/>
    </row>
    <row r="482" spans="1:19" hidden="1" x14ac:dyDescent="0.25">
      <c r="A482" s="38" t="str">
        <f>F482&amp;C482</f>
        <v>C04840062858</v>
      </c>
      <c r="B482" s="38" t="str">
        <f>IF(J482&gt;=SUMIFS(E:E,C:C,C482),"Good to go","Short in Qty")</f>
        <v>Good to go</v>
      </c>
      <c r="C482" s="40">
        <v>40062858</v>
      </c>
      <c r="D482" s="40" t="s">
        <v>309</v>
      </c>
      <c r="E482" s="66">
        <v>1</v>
      </c>
      <c r="F482" s="38" t="s">
        <v>8</v>
      </c>
      <c r="G482" s="40" t="s">
        <v>467</v>
      </c>
      <c r="H482" s="38" t="s">
        <v>151</v>
      </c>
      <c r="I482" s="38" t="s">
        <v>369</v>
      </c>
      <c r="J482" s="38">
        <f>IFERROR(VLOOKUP(C:C,'[1]S&amp;S'!$B:$F,5,0),)</f>
        <v>1739</v>
      </c>
      <c r="K482" s="38">
        <f>IFERROR(VLOOKUP(A:A,[1]APO!$A:$F,6,0),)</f>
        <v>0</v>
      </c>
      <c r="L482" s="38">
        <f>IFERROR(VLOOKUP(C:C,'[1]TOTAL APO'!$A:$B,2,0),)</f>
        <v>0</v>
      </c>
      <c r="M482" s="38">
        <f>IFERROR(VLOOKUP(A:A,[1]Short!$A:$Q,17,0),)</f>
        <v>0</v>
      </c>
      <c r="N482" s="38">
        <f>IFERROR(VLOOKUP(C:C,[1]GIT!$B:$D,3,0),)</f>
        <v>656</v>
      </c>
      <c r="O482" s="38">
        <f>IFERROR(VLOOKUP(A:A,[2]Sheet1!$A:$B,2,0),)</f>
        <v>1</v>
      </c>
      <c r="P482" s="38">
        <f>IFERROR(VLOOKUP(A:A,[2]Sheet1!$A:$B,2,0),)</f>
        <v>1</v>
      </c>
      <c r="Q482" s="38">
        <f t="shared" si="7"/>
        <v>0</v>
      </c>
      <c r="R482" s="38"/>
      <c r="S482" s="38"/>
    </row>
    <row r="483" spans="1:19" hidden="1" x14ac:dyDescent="0.25">
      <c r="A483" s="38" t="str">
        <f>F483&amp;C483</f>
        <v>C04440062332</v>
      </c>
      <c r="B483" s="38" t="str">
        <f>IF(J483&gt;=SUMIFS(E:E,C:C,C483),"Good to go","Short in Qty")</f>
        <v>Good to go</v>
      </c>
      <c r="C483" s="40">
        <v>40062332</v>
      </c>
      <c r="D483" s="40" t="s">
        <v>318</v>
      </c>
      <c r="E483" s="66">
        <v>4</v>
      </c>
      <c r="F483" s="38" t="s">
        <v>191</v>
      </c>
      <c r="G483" s="40"/>
      <c r="H483" s="38" t="s">
        <v>594</v>
      </c>
      <c r="I483" s="38" t="s">
        <v>595</v>
      </c>
      <c r="J483" s="38">
        <f>IFERROR(VLOOKUP(C:C,'[1]S&amp;S'!$B:$F,5,0),)</f>
        <v>167</v>
      </c>
      <c r="K483" s="38">
        <f>IFERROR(VLOOKUP(A:A,[1]APO!$A:$F,6,0),)</f>
        <v>0</v>
      </c>
      <c r="L483" s="38">
        <f>IFERROR(VLOOKUP(C:C,'[1]TOTAL APO'!$A:$B,2,0),)</f>
        <v>0</v>
      </c>
      <c r="M483" s="38">
        <f>IFERROR(VLOOKUP(A:A,[1]Short!$A:$Q,17,0),)</f>
        <v>0</v>
      </c>
      <c r="N483" s="38">
        <f>IFERROR(VLOOKUP(C:C,[1]GIT!$B:$D,3,0),)</f>
        <v>167</v>
      </c>
      <c r="O483" s="38">
        <f>IFERROR(VLOOKUP(A:A,[2]Sheet1!$A:$B,2,0),)</f>
        <v>0</v>
      </c>
      <c r="P483" s="38">
        <f>IFERROR(VLOOKUP(A:A,[2]Sheet1!$A:$B,2,0),)</f>
        <v>0</v>
      </c>
      <c r="Q483" s="38">
        <f t="shared" si="7"/>
        <v>4</v>
      </c>
      <c r="R483" s="38"/>
      <c r="S483" s="38"/>
    </row>
    <row r="484" spans="1:19" hidden="1" x14ac:dyDescent="0.25">
      <c r="A484" s="38" t="str">
        <f>F484&amp;C484</f>
        <v>C04340061084</v>
      </c>
      <c r="B484" s="38" t="str">
        <f>IF(J484&gt;=SUMIFS(E:E,C:C,C484),"Good to go","Short in Qty")</f>
        <v>Good to go</v>
      </c>
      <c r="C484" s="40">
        <v>40061084</v>
      </c>
      <c r="D484" s="40" t="s">
        <v>528</v>
      </c>
      <c r="E484" s="66">
        <v>3</v>
      </c>
      <c r="F484" s="38" t="s">
        <v>11</v>
      </c>
      <c r="G484" s="40" t="s">
        <v>467</v>
      </c>
      <c r="H484" s="38" t="s">
        <v>84</v>
      </c>
      <c r="I484" s="38" t="s">
        <v>620</v>
      </c>
      <c r="J484" s="38">
        <f>IFERROR(VLOOKUP(C:C,'[1]S&amp;S'!$B:$F,5,0),)</f>
        <v>3</v>
      </c>
      <c r="K484" s="38">
        <f>IFERROR(VLOOKUP(A:A,[1]APO!$A:$F,6,0),)</f>
        <v>0</v>
      </c>
      <c r="L484" s="38">
        <f>IFERROR(VLOOKUP(C:C,'[1]TOTAL APO'!$A:$B,2,0),)</f>
        <v>0</v>
      </c>
      <c r="M484" s="38">
        <f>IFERROR(VLOOKUP(A:A,[1]Short!$A:$Q,17,0),)</f>
        <v>0</v>
      </c>
      <c r="N484" s="38">
        <f>IFERROR(VLOOKUP(C:C,[1]GIT!$B:$D,3,0),)</f>
        <v>0</v>
      </c>
      <c r="O484" s="38">
        <f>IFERROR(VLOOKUP(A:A,[2]Sheet1!$A:$B,2,0),)</f>
        <v>3</v>
      </c>
      <c r="P484" s="38">
        <f>IFERROR(VLOOKUP(A:A,[2]Sheet1!$A:$B,2,0),)</f>
        <v>3</v>
      </c>
      <c r="Q484" s="38">
        <f t="shared" si="7"/>
        <v>0</v>
      </c>
      <c r="R484" s="38"/>
      <c r="S484" s="38"/>
    </row>
    <row r="485" spans="1:19" hidden="1" x14ac:dyDescent="0.25">
      <c r="A485" s="38" t="str">
        <f>F485&amp;C485</f>
        <v>C04640062332</v>
      </c>
      <c r="B485" s="38" t="str">
        <f>IF(J485&gt;=SUMIFS(E:E,C:C,C485),"Good to go","Short in Qty")</f>
        <v>Good to go</v>
      </c>
      <c r="C485" s="40">
        <v>40062332</v>
      </c>
      <c r="D485" s="40" t="s">
        <v>318</v>
      </c>
      <c r="E485" s="66">
        <v>5</v>
      </c>
      <c r="F485" s="38" t="s">
        <v>13</v>
      </c>
      <c r="G485" s="40"/>
      <c r="H485" s="38" t="s">
        <v>594</v>
      </c>
      <c r="I485" s="38" t="s">
        <v>595</v>
      </c>
      <c r="J485" s="38">
        <f>IFERROR(VLOOKUP(C:C,'[1]S&amp;S'!$B:$F,5,0),)</f>
        <v>167</v>
      </c>
      <c r="K485" s="38">
        <f>IFERROR(VLOOKUP(A:A,[1]APO!$A:$F,6,0),)</f>
        <v>0</v>
      </c>
      <c r="L485" s="38">
        <f>IFERROR(VLOOKUP(C:C,'[1]TOTAL APO'!$A:$B,2,0),)</f>
        <v>0</v>
      </c>
      <c r="M485" s="38">
        <f>IFERROR(VLOOKUP(A:A,[1]Short!$A:$Q,17,0),)</f>
        <v>0</v>
      </c>
      <c r="N485" s="38">
        <f>IFERROR(VLOOKUP(C:C,[1]GIT!$B:$D,3,0),)</f>
        <v>167</v>
      </c>
      <c r="O485" s="38">
        <f>IFERROR(VLOOKUP(A:A,[2]Sheet1!$A:$B,2,0),)</f>
        <v>0</v>
      </c>
      <c r="P485" s="38">
        <f>IFERROR(VLOOKUP(A:A,[2]Sheet1!$A:$B,2,0),)</f>
        <v>0</v>
      </c>
      <c r="Q485" s="38">
        <f t="shared" si="7"/>
        <v>5</v>
      </c>
      <c r="R485" s="38"/>
      <c r="S485" s="38"/>
    </row>
    <row r="486" spans="1:19" x14ac:dyDescent="0.25">
      <c r="A486" s="38" t="str">
        <f>F486&amp;C486</f>
        <v>C04840063017</v>
      </c>
      <c r="B486" s="38" t="str">
        <f>IF(J486&gt;=SUMIFS(E:E,C:C,C486),"Good to go","Short in Qty")</f>
        <v>Short in Qty</v>
      </c>
      <c r="C486" s="40">
        <v>40063017</v>
      </c>
      <c r="D486" s="40" t="s">
        <v>331</v>
      </c>
      <c r="E486" s="69">
        <v>100</v>
      </c>
      <c r="F486" s="38" t="s">
        <v>8</v>
      </c>
      <c r="G486" s="40" t="s">
        <v>195</v>
      </c>
      <c r="H486" s="38" t="s">
        <v>248</v>
      </c>
      <c r="I486" s="38" t="s">
        <v>457</v>
      </c>
      <c r="J486" s="38">
        <f>IFERROR(VLOOKUP(C:C,'[1]S&amp;S'!$B:$F,5,0),)</f>
        <v>0</v>
      </c>
      <c r="K486" s="38">
        <f>IFERROR(VLOOKUP(A:A,[1]APO!$A:$F,6,0),)</f>
        <v>0</v>
      </c>
      <c r="L486" s="38">
        <f>IFERROR(VLOOKUP(C:C,'[1]TOTAL APO'!$A:$B,2,0),)</f>
        <v>0</v>
      </c>
      <c r="M486" s="38">
        <f>IFERROR(VLOOKUP(A:A,[1]Short!$A:$Q,17,0),)</f>
        <v>0</v>
      </c>
      <c r="N486" s="38">
        <f>IFERROR(VLOOKUP(C:C,[1]GIT!$B:$D,3,0),)</f>
        <v>0</v>
      </c>
      <c r="O486" s="38">
        <f>IFERROR(VLOOKUP(A:A,[2]Sheet1!$A:$B,2,0),)</f>
        <v>0</v>
      </c>
      <c r="P486" s="38">
        <f>IFERROR(VLOOKUP(A:A,[2]Sheet1!$A:$B,2,0),)</f>
        <v>0</v>
      </c>
      <c r="Q486" s="38">
        <f t="shared" si="7"/>
        <v>100</v>
      </c>
      <c r="R486" s="38"/>
      <c r="S486" s="38"/>
    </row>
    <row r="487" spans="1:19" hidden="1" x14ac:dyDescent="0.25">
      <c r="A487" s="38" t="str">
        <f>F487&amp;C487</f>
        <v>C04240063022</v>
      </c>
      <c r="B487" s="38" t="str">
        <f>IF(J487&gt;=SUMIFS(E:E,C:C,C487),"Good to go","Short in Qty")</f>
        <v>Good to go</v>
      </c>
      <c r="C487" s="40">
        <v>40063022</v>
      </c>
      <c r="D487" s="40" t="s">
        <v>603</v>
      </c>
      <c r="E487" s="66">
        <v>70</v>
      </c>
      <c r="F487" s="38" t="s">
        <v>10</v>
      </c>
      <c r="G487" s="40" t="s">
        <v>467</v>
      </c>
      <c r="H487" s="38" t="s">
        <v>84</v>
      </c>
      <c r="I487" s="38" t="s">
        <v>620</v>
      </c>
      <c r="J487" s="38">
        <f>IFERROR(VLOOKUP(C:C,'[1]S&amp;S'!$B:$F,5,0),)</f>
        <v>224</v>
      </c>
      <c r="K487" s="38">
        <f>IFERROR(VLOOKUP(A:A,[1]APO!$A:$F,6,0),)</f>
        <v>0</v>
      </c>
      <c r="L487" s="38">
        <f>IFERROR(VLOOKUP(C:C,'[1]TOTAL APO'!$A:$B,2,0),)</f>
        <v>0</v>
      </c>
      <c r="M487" s="38">
        <f>IFERROR(VLOOKUP(A:A,[1]Short!$A:$Q,17,0),)</f>
        <v>0</v>
      </c>
      <c r="N487" s="38">
        <f>IFERROR(VLOOKUP(C:C,[1]GIT!$B:$D,3,0),)</f>
        <v>0</v>
      </c>
      <c r="O487" s="38">
        <f>IFERROR(VLOOKUP(A:A,[2]Sheet1!$A:$B,2,0),)</f>
        <v>70</v>
      </c>
      <c r="P487" s="38">
        <f>IFERROR(VLOOKUP(A:A,[2]Sheet1!$A:$B,2,0),)</f>
        <v>70</v>
      </c>
      <c r="Q487" s="38">
        <f t="shared" si="7"/>
        <v>0</v>
      </c>
      <c r="R487" s="38"/>
      <c r="S487" s="38"/>
    </row>
    <row r="488" spans="1:19" hidden="1" x14ac:dyDescent="0.25">
      <c r="A488" s="38" t="str">
        <f>F488&amp;C488</f>
        <v>C04340062265</v>
      </c>
      <c r="B488" s="38" t="str">
        <f>IF(J488&gt;=SUMIFS(E:E,C:C,C488),"Good to go","Short in Qty")</f>
        <v>Good to go</v>
      </c>
      <c r="C488" s="40">
        <v>40062265</v>
      </c>
      <c r="D488" s="40" t="s">
        <v>443</v>
      </c>
      <c r="E488" s="66">
        <v>50</v>
      </c>
      <c r="F488" s="38" t="s">
        <v>11</v>
      </c>
      <c r="G488" s="40" t="s">
        <v>467</v>
      </c>
      <c r="H488" s="38" t="s">
        <v>84</v>
      </c>
      <c r="I488" s="38" t="s">
        <v>620</v>
      </c>
      <c r="J488" s="38">
        <f>IFERROR(VLOOKUP(C:C,'[1]S&amp;S'!$B:$F,5,0),)</f>
        <v>352.99944444444401</v>
      </c>
      <c r="K488" s="38">
        <f>IFERROR(VLOOKUP(A:A,[1]APO!$A:$F,6,0),)</f>
        <v>0</v>
      </c>
      <c r="L488" s="38">
        <f>IFERROR(VLOOKUP(C:C,'[1]TOTAL APO'!$A:$B,2,0),)</f>
        <v>0</v>
      </c>
      <c r="M488" s="38">
        <f>IFERROR(VLOOKUP(A:A,[1]Short!$A:$Q,17,0),)</f>
        <v>0</v>
      </c>
      <c r="N488" s="38">
        <f>IFERROR(VLOOKUP(C:C,[1]GIT!$B:$D,3,0),)</f>
        <v>0</v>
      </c>
      <c r="O488" s="38">
        <f>IFERROR(VLOOKUP(A:A,[2]Sheet1!$A:$B,2,0),)</f>
        <v>50</v>
      </c>
      <c r="P488" s="38">
        <f>IFERROR(VLOOKUP(A:A,[2]Sheet1!$A:$B,2,0),)</f>
        <v>50</v>
      </c>
      <c r="Q488" s="38">
        <f t="shared" si="7"/>
        <v>0</v>
      </c>
      <c r="R488" s="38"/>
      <c r="S488" s="38"/>
    </row>
    <row r="489" spans="1:19" hidden="1" x14ac:dyDescent="0.25">
      <c r="A489" s="38" t="str">
        <f>F489&amp;C489</f>
        <v>C04640063022</v>
      </c>
      <c r="B489" s="38" t="str">
        <f>IF(J489&gt;=SUMIFS(E:E,C:C,C489),"Good to go","Short in Qty")</f>
        <v>Good to go</v>
      </c>
      <c r="C489" s="40">
        <v>40063022</v>
      </c>
      <c r="D489" s="40" t="s">
        <v>603</v>
      </c>
      <c r="E489" s="66">
        <v>24</v>
      </c>
      <c r="F489" s="38" t="s">
        <v>13</v>
      </c>
      <c r="G489" s="40"/>
      <c r="H489" s="38" t="s">
        <v>84</v>
      </c>
      <c r="I489" s="38" t="s">
        <v>620</v>
      </c>
      <c r="J489" s="38">
        <f>IFERROR(VLOOKUP(C:C,'[1]S&amp;S'!$B:$F,5,0),)</f>
        <v>224</v>
      </c>
      <c r="K489" s="38">
        <f>IFERROR(VLOOKUP(A:A,[1]APO!$A:$F,6,0),)</f>
        <v>0</v>
      </c>
      <c r="L489" s="38">
        <f>IFERROR(VLOOKUP(C:C,'[1]TOTAL APO'!$A:$B,2,0),)</f>
        <v>0</v>
      </c>
      <c r="M489" s="38">
        <f>IFERROR(VLOOKUP(A:A,[1]Short!$A:$Q,17,0),)</f>
        <v>0</v>
      </c>
      <c r="N489" s="38">
        <f>IFERROR(VLOOKUP(C:C,[1]GIT!$B:$D,3,0),)</f>
        <v>0</v>
      </c>
      <c r="O489" s="38">
        <f>IFERROR(VLOOKUP(A:A,[2]Sheet1!$A:$B,2,0),)</f>
        <v>0</v>
      </c>
      <c r="P489" s="38">
        <f>IFERROR(VLOOKUP(A:A,[2]Sheet1!$A:$B,2,0),)</f>
        <v>0</v>
      </c>
      <c r="Q489" s="38">
        <f t="shared" si="7"/>
        <v>24</v>
      </c>
      <c r="R489" s="38"/>
      <c r="S489" s="38"/>
    </row>
    <row r="490" spans="1:19" hidden="1" x14ac:dyDescent="0.25">
      <c r="A490" s="38" t="str">
        <f>F490&amp;C490</f>
        <v>C10240064535</v>
      </c>
      <c r="B490" s="38" t="str">
        <f>IF(J490&gt;=SUMIFS(E:E,C:C,C490),"Good to go","Short in Qty")</f>
        <v>Good to go</v>
      </c>
      <c r="C490" s="40">
        <v>40064535</v>
      </c>
      <c r="D490" s="40" t="s">
        <v>450</v>
      </c>
      <c r="E490" s="68">
        <v>200</v>
      </c>
      <c r="F490" s="38" t="s">
        <v>226</v>
      </c>
      <c r="G490" s="40" t="s">
        <v>467</v>
      </c>
      <c r="H490" s="38" t="s">
        <v>248</v>
      </c>
      <c r="I490" s="38" t="s">
        <v>457</v>
      </c>
      <c r="J490" s="38">
        <f>IFERROR(VLOOKUP(C:C,'[1]S&amp;S'!$B:$F,5,0),)</f>
        <v>807.5</v>
      </c>
      <c r="K490" s="38">
        <f>IFERROR(VLOOKUP(A:A,[1]APO!$A:$F,6,0),)</f>
        <v>0</v>
      </c>
      <c r="L490" s="38">
        <f>IFERROR(VLOOKUP(C:C,'[1]TOTAL APO'!$A:$B,2,0),)</f>
        <v>0</v>
      </c>
      <c r="M490" s="38">
        <f>IFERROR(VLOOKUP(A:A,[1]Short!$A:$Q,17,0),)</f>
        <v>0</v>
      </c>
      <c r="N490" s="38">
        <f>IFERROR(VLOOKUP(C:C,[1]GIT!$B:$D,3,0),)</f>
        <v>0</v>
      </c>
      <c r="O490" s="38">
        <f>IFERROR(VLOOKUP(A:A,[2]Sheet1!$A:$B,2,0),)</f>
        <v>200</v>
      </c>
      <c r="P490" s="38">
        <f>IFERROR(VLOOKUP(A:A,[2]Sheet1!$A:$B,2,0),)</f>
        <v>200</v>
      </c>
      <c r="Q490" s="38">
        <f t="shared" si="7"/>
        <v>0</v>
      </c>
      <c r="R490" s="38"/>
      <c r="S490" s="38"/>
    </row>
    <row r="491" spans="1:19" hidden="1" x14ac:dyDescent="0.25">
      <c r="A491" s="38" t="str">
        <f>F491&amp;C491</f>
        <v>C04240063169</v>
      </c>
      <c r="B491" s="38" t="str">
        <f>IF(J491&gt;=SUMIFS(E:E,C:C,C491),"Good to go","Short in Qty")</f>
        <v>Good to go</v>
      </c>
      <c r="C491" s="40">
        <v>40063169</v>
      </c>
      <c r="D491" s="40" t="s">
        <v>602</v>
      </c>
      <c r="E491" s="66">
        <v>7</v>
      </c>
      <c r="F491" s="38" t="s">
        <v>10</v>
      </c>
      <c r="G491" s="40" t="s">
        <v>467</v>
      </c>
      <c r="H491" s="38" t="s">
        <v>84</v>
      </c>
      <c r="I491" s="38" t="s">
        <v>620</v>
      </c>
      <c r="J491" s="38">
        <f>IFERROR(VLOOKUP(C:C,'[1]S&amp;S'!$B:$F,5,0),)</f>
        <v>87.8888888888889</v>
      </c>
      <c r="K491" s="38">
        <f>IFERROR(VLOOKUP(A:A,[1]APO!$A:$F,6,0),)</f>
        <v>0</v>
      </c>
      <c r="L491" s="38">
        <f>IFERROR(VLOOKUP(C:C,'[1]TOTAL APO'!$A:$B,2,0),)</f>
        <v>0</v>
      </c>
      <c r="M491" s="38">
        <f>IFERROR(VLOOKUP(A:A,[1]Short!$A:$Q,17,0),)</f>
        <v>0</v>
      </c>
      <c r="N491" s="38">
        <f>IFERROR(VLOOKUP(C:C,[1]GIT!$B:$D,3,0),)</f>
        <v>0</v>
      </c>
      <c r="O491" s="38">
        <f>IFERROR(VLOOKUP(A:A,[2]Sheet1!$A:$B,2,0),)</f>
        <v>7</v>
      </c>
      <c r="P491" s="38">
        <f>IFERROR(VLOOKUP(A:A,[2]Sheet1!$A:$B,2,0),)</f>
        <v>7</v>
      </c>
      <c r="Q491" s="38">
        <f t="shared" si="7"/>
        <v>0</v>
      </c>
      <c r="R491" s="38"/>
      <c r="S491" s="38"/>
    </row>
    <row r="492" spans="1:19" hidden="1" x14ac:dyDescent="0.25">
      <c r="A492" s="38" t="str">
        <f>F492&amp;C492</f>
        <v>C13140064876</v>
      </c>
      <c r="B492" s="38" t="str">
        <f>IF(J492&gt;=SUMIFS(E:E,C:C,C492),"Good to go","Short in Qty")</f>
        <v>Good to go</v>
      </c>
      <c r="C492" s="40">
        <v>40064876</v>
      </c>
      <c r="D492" s="40" t="s">
        <v>326</v>
      </c>
      <c r="E492" s="69">
        <v>500</v>
      </c>
      <c r="F492" s="38" t="s">
        <v>17</v>
      </c>
      <c r="G492" s="40" t="s">
        <v>467</v>
      </c>
      <c r="H492" s="38" t="s">
        <v>248</v>
      </c>
      <c r="I492" s="38" t="s">
        <v>457</v>
      </c>
      <c r="J492" s="38">
        <f>IFERROR(VLOOKUP(C:C,'[1]S&amp;S'!$B:$F,5,0),)</f>
        <v>2748</v>
      </c>
      <c r="K492" s="38">
        <f>IFERROR(VLOOKUP(A:A,[1]APO!$A:$F,6,0),)</f>
        <v>0</v>
      </c>
      <c r="L492" s="38">
        <f>IFERROR(VLOOKUP(C:C,'[1]TOTAL APO'!$A:$B,2,0),)</f>
        <v>0</v>
      </c>
      <c r="M492" s="38">
        <f>IFERROR(VLOOKUP(A:A,[1]Short!$A:$Q,17,0),)</f>
        <v>0</v>
      </c>
      <c r="N492" s="38">
        <f>IFERROR(VLOOKUP(C:C,[1]GIT!$B:$D,3,0),)</f>
        <v>0</v>
      </c>
      <c r="O492" s="38">
        <f>IFERROR(VLOOKUP(A:A,[2]Sheet1!$A:$B,2,0),)</f>
        <v>500</v>
      </c>
      <c r="P492" s="38">
        <f>IFERROR(VLOOKUP(A:A,[2]Sheet1!$A:$B,2,0),)</f>
        <v>500</v>
      </c>
      <c r="Q492" s="38">
        <f t="shared" si="7"/>
        <v>0</v>
      </c>
      <c r="R492" s="38"/>
      <c r="S492" s="38"/>
    </row>
    <row r="493" spans="1:19" hidden="1" x14ac:dyDescent="0.25">
      <c r="A493" s="38" t="str">
        <f>F493&amp;C493</f>
        <v>C04240064503</v>
      </c>
      <c r="B493" s="38" t="str">
        <f>IF(J493&gt;=SUMIFS(E:E,C:C,C493),"Good to go","Short in Qty")</f>
        <v>Good to go</v>
      </c>
      <c r="C493" s="40">
        <v>40064503</v>
      </c>
      <c r="D493" s="40" t="s">
        <v>352</v>
      </c>
      <c r="E493" s="66">
        <v>1</v>
      </c>
      <c r="F493" s="38" t="s">
        <v>10</v>
      </c>
      <c r="G493" s="40" t="s">
        <v>467</v>
      </c>
      <c r="H493" s="38" t="s">
        <v>9</v>
      </c>
      <c r="I493" s="38" t="s">
        <v>530</v>
      </c>
      <c r="J493" s="38">
        <f>IFERROR(VLOOKUP(C:C,'[1]S&amp;S'!$B:$F,5,0),)</f>
        <v>346</v>
      </c>
      <c r="K493" s="38">
        <f>IFERROR(VLOOKUP(A:A,[1]APO!$A:$F,6,0),)</f>
        <v>0</v>
      </c>
      <c r="L493" s="38">
        <f>IFERROR(VLOOKUP(C:C,'[1]TOTAL APO'!$A:$B,2,0),)</f>
        <v>0</v>
      </c>
      <c r="M493" s="38">
        <f>IFERROR(VLOOKUP(A:A,[1]Short!$A:$Q,17,0),)</f>
        <v>0</v>
      </c>
      <c r="N493" s="38">
        <f>IFERROR(VLOOKUP(C:C,[1]GIT!$B:$D,3,0),)</f>
        <v>0</v>
      </c>
      <c r="O493" s="38">
        <f>IFERROR(VLOOKUP(A:A,[2]Sheet1!$A:$B,2,0),)</f>
        <v>1</v>
      </c>
      <c r="P493" s="38">
        <f>IFERROR(VLOOKUP(A:A,[2]Sheet1!$A:$B,2,0),)</f>
        <v>1</v>
      </c>
      <c r="Q493" s="38">
        <f t="shared" si="7"/>
        <v>0</v>
      </c>
      <c r="R493" s="38"/>
      <c r="S493" s="38"/>
    </row>
    <row r="494" spans="1:19" hidden="1" x14ac:dyDescent="0.25">
      <c r="A494" s="38" t="str">
        <f>F494&amp;C494</f>
        <v>C04840062343</v>
      </c>
      <c r="B494" s="38" t="str">
        <f>IF(J494&gt;=SUMIFS(E:E,C:C,C494),"Good to go","Short in Qty")</f>
        <v>Good to go</v>
      </c>
      <c r="C494" s="40">
        <v>40062343</v>
      </c>
      <c r="D494" s="40" t="s">
        <v>543</v>
      </c>
      <c r="E494" s="66">
        <v>50</v>
      </c>
      <c r="F494" s="38" t="s">
        <v>8</v>
      </c>
      <c r="G494" s="40" t="s">
        <v>467</v>
      </c>
      <c r="H494" s="38" t="s">
        <v>594</v>
      </c>
      <c r="I494" s="38" t="s">
        <v>595</v>
      </c>
      <c r="J494" s="38">
        <f>IFERROR(VLOOKUP(C:C,'[1]S&amp;S'!$B:$F,5,0),)</f>
        <v>1890</v>
      </c>
      <c r="K494" s="38">
        <f>IFERROR(VLOOKUP(A:A,[1]APO!$A:$F,6,0),)</f>
        <v>0</v>
      </c>
      <c r="L494" s="38">
        <f>IFERROR(VLOOKUP(C:C,'[1]TOTAL APO'!$A:$B,2,0),)</f>
        <v>0</v>
      </c>
      <c r="M494" s="38">
        <f>IFERROR(VLOOKUP(A:A,[1]Short!$A:$Q,17,0),)</f>
        <v>0</v>
      </c>
      <c r="N494" s="38">
        <f>IFERROR(VLOOKUP(C:C,[1]GIT!$B:$D,3,0),)</f>
        <v>0</v>
      </c>
      <c r="O494" s="38">
        <f>IFERROR(VLOOKUP(A:A,[2]Sheet1!$A:$B,2,0),)</f>
        <v>50</v>
      </c>
      <c r="P494" s="38">
        <f>IFERROR(VLOOKUP(A:A,[2]Sheet1!$A:$B,2,0),)</f>
        <v>50</v>
      </c>
      <c r="Q494" s="38">
        <f t="shared" si="7"/>
        <v>0</v>
      </c>
      <c r="R494" s="38">
        <v>1</v>
      </c>
      <c r="S494" s="38"/>
    </row>
    <row r="495" spans="1:19" hidden="1" x14ac:dyDescent="0.25">
      <c r="A495" s="38" t="str">
        <f>F495&amp;C495</f>
        <v>C04340062301</v>
      </c>
      <c r="B495" s="38" t="str">
        <f>IF(J495&gt;=SUMIFS(E:E,C:C,C495),"Good to go","Short in Qty")</f>
        <v>Good to go</v>
      </c>
      <c r="C495" s="40">
        <v>40062301</v>
      </c>
      <c r="D495" s="40" t="s">
        <v>250</v>
      </c>
      <c r="E495" s="66">
        <v>9</v>
      </c>
      <c r="F495" s="38" t="s">
        <v>11</v>
      </c>
      <c r="G495" s="40" t="s">
        <v>467</v>
      </c>
      <c r="H495" s="38" t="s">
        <v>84</v>
      </c>
      <c r="I495" s="38" t="s">
        <v>620</v>
      </c>
      <c r="J495" s="38">
        <f>IFERROR(VLOOKUP(C:C,'[1]S&amp;S'!$B:$F,5,0),)</f>
        <v>9</v>
      </c>
      <c r="K495" s="38">
        <f>IFERROR(VLOOKUP(A:A,[1]APO!$A:$F,6,0),)</f>
        <v>0</v>
      </c>
      <c r="L495" s="38">
        <f>IFERROR(VLOOKUP(C:C,'[1]TOTAL APO'!$A:$B,2,0),)</f>
        <v>0</v>
      </c>
      <c r="M495" s="38">
        <f>IFERROR(VLOOKUP(A:A,[1]Short!$A:$Q,17,0),)</f>
        <v>0</v>
      </c>
      <c r="N495" s="38">
        <f>IFERROR(VLOOKUP(C:C,[1]GIT!$B:$D,3,0),)</f>
        <v>0</v>
      </c>
      <c r="O495" s="38">
        <f>IFERROR(VLOOKUP(A:A,[2]Sheet1!$A:$B,2,0),)</f>
        <v>9</v>
      </c>
      <c r="P495" s="38">
        <f>IFERROR(VLOOKUP(A:A,[2]Sheet1!$A:$B,2,0),)</f>
        <v>9</v>
      </c>
      <c r="Q495" s="38">
        <f t="shared" si="7"/>
        <v>0</v>
      </c>
      <c r="R495" s="38"/>
      <c r="S495" s="38"/>
    </row>
    <row r="496" spans="1:19" hidden="1" x14ac:dyDescent="0.25">
      <c r="A496" s="38" t="str">
        <f>F496&amp;C496</f>
        <v>C04840058544</v>
      </c>
      <c r="B496" s="38" t="str">
        <f>IF(J496&gt;=SUMIFS(E:E,C:C,C496),"Good to go","Short in Qty")</f>
        <v>Good to go</v>
      </c>
      <c r="C496" s="8">
        <v>40058544</v>
      </c>
      <c r="D496" s="8" t="s">
        <v>311</v>
      </c>
      <c r="E496" s="72">
        <v>1</v>
      </c>
      <c r="F496" s="60" t="s">
        <v>8</v>
      </c>
      <c r="G496" s="40" t="s">
        <v>467</v>
      </c>
      <c r="H496" s="38" t="s">
        <v>151</v>
      </c>
      <c r="I496" s="38" t="s">
        <v>387</v>
      </c>
      <c r="J496" s="38">
        <f>IFERROR(VLOOKUP(C:C,'[1]S&amp;S'!$B:$F,5,0),)</f>
        <v>2.0020833333333301</v>
      </c>
      <c r="K496" s="38">
        <f>IFERROR(VLOOKUP(A:A,[1]APO!$A:$F,6,0),)</f>
        <v>0</v>
      </c>
      <c r="L496" s="38">
        <f>IFERROR(VLOOKUP(C:C,'[1]TOTAL APO'!$A:$B,2,0),)</f>
        <v>0</v>
      </c>
      <c r="M496" s="38">
        <f>IFERROR(VLOOKUP(A:A,[1]Short!$A:$Q,17,0),)</f>
        <v>0</v>
      </c>
      <c r="N496" s="38">
        <f>IFERROR(VLOOKUP(C:C,[1]GIT!$B:$D,3,0),)</f>
        <v>0</v>
      </c>
      <c r="O496" s="38">
        <f>IFERROR(VLOOKUP(A:A,[2]Sheet1!$A:$B,2,0),)</f>
        <v>1</v>
      </c>
      <c r="P496" s="38">
        <f>IFERROR(VLOOKUP(A:A,[2]Sheet1!$A:$B,2,0),)</f>
        <v>1</v>
      </c>
      <c r="Q496" s="38">
        <f t="shared" si="7"/>
        <v>0</v>
      </c>
      <c r="R496" s="38"/>
      <c r="S496" s="38"/>
    </row>
    <row r="497" spans="1:19" hidden="1" x14ac:dyDescent="0.25">
      <c r="A497" s="38" t="str">
        <f>F497&amp;C497</f>
        <v>C04440059774</v>
      </c>
      <c r="B497" s="38" t="str">
        <f>IF(J497&gt;=SUMIFS(E:E,C:C,C497),"Good to go","Short in Qty")</f>
        <v>Good to go</v>
      </c>
      <c r="C497" s="40">
        <v>40059774</v>
      </c>
      <c r="D497" s="40" t="s">
        <v>571</v>
      </c>
      <c r="E497" s="66">
        <v>5</v>
      </c>
      <c r="F497" s="38" t="s">
        <v>191</v>
      </c>
      <c r="G497" s="40"/>
      <c r="H497" s="38" t="s">
        <v>594</v>
      </c>
      <c r="I497" s="38" t="s">
        <v>595</v>
      </c>
      <c r="J497" s="38">
        <f>IFERROR(VLOOKUP(C:C,'[1]S&amp;S'!$B:$F,5,0),)</f>
        <v>373</v>
      </c>
      <c r="K497" s="38">
        <f>IFERROR(VLOOKUP(A:A,[1]APO!$A:$F,6,0),)</f>
        <v>0</v>
      </c>
      <c r="L497" s="38">
        <f>IFERROR(VLOOKUP(C:C,'[1]TOTAL APO'!$A:$B,2,0),)</f>
        <v>0</v>
      </c>
      <c r="M497" s="38">
        <f>IFERROR(VLOOKUP(A:A,[1]Short!$A:$Q,17,0),)</f>
        <v>0</v>
      </c>
      <c r="N497" s="38">
        <f>IFERROR(VLOOKUP(C:C,[1]GIT!$B:$D,3,0),)</f>
        <v>0</v>
      </c>
      <c r="O497" s="38">
        <f>IFERROR(VLOOKUP(A:A,[2]Sheet1!$A:$B,2,0),)</f>
        <v>0</v>
      </c>
      <c r="P497" s="38">
        <f>IFERROR(VLOOKUP(A:A,[2]Sheet1!$A:$B,2,0),)</f>
        <v>0</v>
      </c>
      <c r="Q497" s="38">
        <f t="shared" si="7"/>
        <v>5</v>
      </c>
      <c r="R497" s="38"/>
      <c r="S497" s="38"/>
    </row>
    <row r="498" spans="1:19" hidden="1" x14ac:dyDescent="0.25">
      <c r="A498" s="38" t="str">
        <f>F498&amp;C498</f>
        <v>C04840062332</v>
      </c>
      <c r="B498" s="38" t="str">
        <f>IF(J498&gt;=SUMIFS(E:E,C:C,C498),"Good to go","Short in Qty")</f>
        <v>Good to go</v>
      </c>
      <c r="C498" s="40">
        <v>40062332</v>
      </c>
      <c r="D498" s="40" t="s">
        <v>318</v>
      </c>
      <c r="E498" s="66">
        <v>15</v>
      </c>
      <c r="F498" s="38" t="s">
        <v>8</v>
      </c>
      <c r="G498" s="40" t="s">
        <v>467</v>
      </c>
      <c r="H498" s="38" t="s">
        <v>594</v>
      </c>
      <c r="I498" s="38" t="s">
        <v>595</v>
      </c>
      <c r="J498" s="38">
        <f>IFERROR(VLOOKUP(C:C,'[1]S&amp;S'!$B:$F,5,0),)</f>
        <v>167</v>
      </c>
      <c r="K498" s="38">
        <f>IFERROR(VLOOKUP(A:A,[1]APO!$A:$F,6,0),)</f>
        <v>0</v>
      </c>
      <c r="L498" s="38">
        <f>IFERROR(VLOOKUP(C:C,'[1]TOTAL APO'!$A:$B,2,0),)</f>
        <v>0</v>
      </c>
      <c r="M498" s="38">
        <f>IFERROR(VLOOKUP(A:A,[1]Short!$A:$Q,17,0),)</f>
        <v>0</v>
      </c>
      <c r="N498" s="38">
        <f>IFERROR(VLOOKUP(C:C,[1]GIT!$B:$D,3,0),)</f>
        <v>167</v>
      </c>
      <c r="O498" s="38">
        <f>IFERROR(VLOOKUP(A:A,[2]Sheet1!$A:$B,2,0),)</f>
        <v>15</v>
      </c>
      <c r="P498" s="38">
        <f>IFERROR(VLOOKUP(A:A,[2]Sheet1!$A:$B,2,0),)</f>
        <v>15</v>
      </c>
      <c r="Q498" s="38">
        <f t="shared" si="7"/>
        <v>0</v>
      </c>
      <c r="R498" s="38"/>
      <c r="S498" s="38"/>
    </row>
    <row r="499" spans="1:19" hidden="1" x14ac:dyDescent="0.25">
      <c r="A499" s="38" t="str">
        <f>F499&amp;C499</f>
        <v>C04240064375</v>
      </c>
      <c r="B499" s="38" t="str">
        <f>IF(J499&gt;=SUMIFS(E:E,C:C,C499),"Good to go","Short in Qty")</f>
        <v>Good to go</v>
      </c>
      <c r="C499" s="40">
        <v>40064375</v>
      </c>
      <c r="D499" s="40" t="s">
        <v>427</v>
      </c>
      <c r="E499" s="66">
        <v>2</v>
      </c>
      <c r="F499" s="38" t="s">
        <v>10</v>
      </c>
      <c r="G499" s="40" t="s">
        <v>467</v>
      </c>
      <c r="H499" s="38" t="s">
        <v>213</v>
      </c>
      <c r="I499" s="38" t="s">
        <v>426</v>
      </c>
      <c r="J499" s="38">
        <f>IFERROR(VLOOKUP(C:C,'[1]S&amp;S'!$B:$F,5,0),)</f>
        <v>27</v>
      </c>
      <c r="K499" s="38">
        <f>IFERROR(VLOOKUP(A:A,[1]APO!$A:$F,6,0),)</f>
        <v>0</v>
      </c>
      <c r="L499" s="38">
        <f>IFERROR(VLOOKUP(C:C,'[1]TOTAL APO'!$A:$B,2,0),)</f>
        <v>0</v>
      </c>
      <c r="M499" s="38">
        <f>IFERROR(VLOOKUP(A:A,[1]Short!$A:$Q,17,0),)</f>
        <v>0</v>
      </c>
      <c r="N499" s="38">
        <f>IFERROR(VLOOKUP(C:C,[1]GIT!$B:$D,3,0),)</f>
        <v>0</v>
      </c>
      <c r="O499" s="38">
        <f>IFERROR(VLOOKUP(A:A,[2]Sheet1!$A:$B,2,0),)</f>
        <v>2</v>
      </c>
      <c r="P499" s="38">
        <f>IFERROR(VLOOKUP(A:A,[2]Sheet1!$A:$B,2,0),)</f>
        <v>2</v>
      </c>
      <c r="Q499" s="38">
        <f t="shared" si="7"/>
        <v>0</v>
      </c>
      <c r="R499" s="38"/>
      <c r="S499" s="38"/>
    </row>
    <row r="500" spans="1:19" hidden="1" x14ac:dyDescent="0.25">
      <c r="A500" s="38" t="str">
        <f>F500&amp;C500</f>
        <v>C04340049658</v>
      </c>
      <c r="B500" s="38" t="str">
        <f>IF(J500&gt;=SUMIFS(E:E,C:C,C500),"Good to go","Short in Qty")</f>
        <v>Good to go</v>
      </c>
      <c r="C500" s="40">
        <v>40049658</v>
      </c>
      <c r="D500" s="40" t="s">
        <v>536</v>
      </c>
      <c r="E500" s="66">
        <v>10</v>
      </c>
      <c r="F500" s="38" t="s">
        <v>11</v>
      </c>
      <c r="G500" s="40" t="s">
        <v>467</v>
      </c>
      <c r="H500" s="38" t="s">
        <v>594</v>
      </c>
      <c r="I500" s="38" t="s">
        <v>595</v>
      </c>
      <c r="J500" s="38">
        <f>IFERROR(VLOOKUP(C:C,'[1]S&amp;S'!$B:$F,5,0),)</f>
        <v>1044</v>
      </c>
      <c r="K500" s="38">
        <f>IFERROR(VLOOKUP(A:A,[1]APO!$A:$F,6,0),)</f>
        <v>0</v>
      </c>
      <c r="L500" s="38">
        <f>IFERROR(VLOOKUP(C:C,'[1]TOTAL APO'!$A:$B,2,0),)</f>
        <v>0</v>
      </c>
      <c r="M500" s="38">
        <f>IFERROR(VLOOKUP(A:A,[1]Short!$A:$Q,17,0),)</f>
        <v>0</v>
      </c>
      <c r="N500" s="38">
        <f>IFERROR(VLOOKUP(C:C,[1]GIT!$B:$D,3,0),)</f>
        <v>0</v>
      </c>
      <c r="O500" s="38">
        <f>IFERROR(VLOOKUP(A:A,[2]Sheet1!$A:$B,2,0),)</f>
        <v>10</v>
      </c>
      <c r="P500" s="38">
        <f>IFERROR(VLOOKUP(A:A,[2]Sheet1!$A:$B,2,0),)</f>
        <v>10</v>
      </c>
      <c r="Q500" s="38">
        <f t="shared" si="7"/>
        <v>0</v>
      </c>
      <c r="R500" s="38"/>
      <c r="S500" s="38"/>
    </row>
    <row r="501" spans="1:19" hidden="1" x14ac:dyDescent="0.25">
      <c r="A501" s="38" t="str">
        <f>F501&amp;C501</f>
        <v>C04440049658</v>
      </c>
      <c r="B501" s="38" t="str">
        <f>IF(J501&gt;=SUMIFS(E:E,C:C,C501),"Good to go","Short in Qty")</f>
        <v>Good to go</v>
      </c>
      <c r="C501" s="40">
        <v>40049658</v>
      </c>
      <c r="D501" s="40" t="s">
        <v>536</v>
      </c>
      <c r="E501" s="66">
        <v>10</v>
      </c>
      <c r="F501" s="38" t="s">
        <v>191</v>
      </c>
      <c r="G501" s="40"/>
      <c r="H501" s="38" t="s">
        <v>594</v>
      </c>
      <c r="I501" s="38" t="s">
        <v>595</v>
      </c>
      <c r="J501" s="38">
        <f>IFERROR(VLOOKUP(C:C,'[1]S&amp;S'!$B:$F,5,0),)</f>
        <v>1044</v>
      </c>
      <c r="K501" s="38">
        <f>IFERROR(VLOOKUP(A:A,[1]APO!$A:$F,6,0),)</f>
        <v>0</v>
      </c>
      <c r="L501" s="38">
        <f>IFERROR(VLOOKUP(C:C,'[1]TOTAL APO'!$A:$B,2,0),)</f>
        <v>0</v>
      </c>
      <c r="M501" s="38">
        <f>IFERROR(VLOOKUP(A:A,[1]Short!$A:$Q,17,0),)</f>
        <v>0</v>
      </c>
      <c r="N501" s="38">
        <f>IFERROR(VLOOKUP(C:C,[1]GIT!$B:$D,3,0),)</f>
        <v>0</v>
      </c>
      <c r="O501" s="38">
        <f>IFERROR(VLOOKUP(A:A,[2]Sheet1!$A:$B,2,0),)</f>
        <v>0</v>
      </c>
      <c r="P501" s="38">
        <f>IFERROR(VLOOKUP(A:A,[2]Sheet1!$A:$B,2,0),)</f>
        <v>0</v>
      </c>
      <c r="Q501" s="38">
        <f t="shared" si="7"/>
        <v>10</v>
      </c>
      <c r="R501" s="38"/>
      <c r="S501" s="38"/>
    </row>
    <row r="502" spans="1:19" hidden="1" x14ac:dyDescent="0.25">
      <c r="A502" s="38" t="str">
        <f>F502&amp;C502</f>
        <v>C04840059268</v>
      </c>
      <c r="B502" s="38" t="str">
        <f>IF(J502&gt;=SUMIFS(E:E,C:C,C502),"Good to go","Short in Qty")</f>
        <v>Good to go</v>
      </c>
      <c r="C502" s="40">
        <v>40059268</v>
      </c>
      <c r="D502" s="40" t="s">
        <v>317</v>
      </c>
      <c r="E502" s="66">
        <v>1</v>
      </c>
      <c r="F502" s="38" t="s">
        <v>8</v>
      </c>
      <c r="G502" s="40" t="s">
        <v>467</v>
      </c>
      <c r="H502" s="38" t="s">
        <v>151</v>
      </c>
      <c r="I502" s="38" t="s">
        <v>369</v>
      </c>
      <c r="J502" s="38">
        <f>IFERROR(VLOOKUP(C:C,'[1]S&amp;S'!$B:$F,5,0),)</f>
        <v>1</v>
      </c>
      <c r="K502" s="38">
        <f>IFERROR(VLOOKUP(A:A,[1]APO!$A:$F,6,0),)</f>
        <v>0</v>
      </c>
      <c r="L502" s="38">
        <f>IFERROR(VLOOKUP(C:C,'[1]TOTAL APO'!$A:$B,2,0),)</f>
        <v>0</v>
      </c>
      <c r="M502" s="38">
        <f>IFERROR(VLOOKUP(A:A,[1]Short!$A:$Q,17,0),)</f>
        <v>0</v>
      </c>
      <c r="N502" s="38">
        <f>IFERROR(VLOOKUP(C:C,[1]GIT!$B:$D,3,0),)</f>
        <v>0</v>
      </c>
      <c r="O502" s="38">
        <f>IFERROR(VLOOKUP(A:A,[2]Sheet1!$A:$B,2,0),)</f>
        <v>1</v>
      </c>
      <c r="P502" s="38">
        <f>IFERROR(VLOOKUP(A:A,[2]Sheet1!$A:$B,2,0),)</f>
        <v>1</v>
      </c>
      <c r="Q502" s="38">
        <f t="shared" si="7"/>
        <v>0</v>
      </c>
      <c r="R502" s="38"/>
      <c r="S502" s="38"/>
    </row>
    <row r="503" spans="1:19" hidden="1" x14ac:dyDescent="0.25">
      <c r="A503" s="38" t="str">
        <f>F503&amp;C503</f>
        <v>C04240050073</v>
      </c>
      <c r="B503" s="38" t="str">
        <f>IF(J503&gt;=SUMIFS(E:E,C:C,C503),"Good to go","Short in Qty")</f>
        <v>Good to go</v>
      </c>
      <c r="C503" s="40">
        <v>40050073</v>
      </c>
      <c r="D503" s="40" t="s">
        <v>540</v>
      </c>
      <c r="E503" s="66">
        <v>7</v>
      </c>
      <c r="F503" s="38" t="s">
        <v>10</v>
      </c>
      <c r="G503" s="40" t="s">
        <v>467</v>
      </c>
      <c r="H503" s="38" t="s">
        <v>594</v>
      </c>
      <c r="I503" s="38" t="s">
        <v>595</v>
      </c>
      <c r="J503" s="38">
        <f>IFERROR(VLOOKUP(C:C,'[1]S&amp;S'!$B:$F,5,0),)</f>
        <v>12.0833333333333</v>
      </c>
      <c r="K503" s="38">
        <f>IFERROR(VLOOKUP(A:A,[1]APO!$A:$F,6,0),)</f>
        <v>0</v>
      </c>
      <c r="L503" s="38">
        <f>IFERROR(VLOOKUP(C:C,'[1]TOTAL APO'!$A:$B,2,0),)</f>
        <v>0</v>
      </c>
      <c r="M503" s="38">
        <f>IFERROR(VLOOKUP(A:A,[1]Short!$A:$Q,17,0),)</f>
        <v>0</v>
      </c>
      <c r="N503" s="38">
        <f>IFERROR(VLOOKUP(C:C,[1]GIT!$B:$D,3,0),)</f>
        <v>0</v>
      </c>
      <c r="O503" s="38">
        <f>IFERROR(VLOOKUP(A:A,[2]Sheet1!$A:$B,2,0),)</f>
        <v>7</v>
      </c>
      <c r="P503" s="38">
        <f>IFERROR(VLOOKUP(A:A,[2]Sheet1!$A:$B,2,0),)</f>
        <v>7</v>
      </c>
      <c r="Q503" s="38">
        <f t="shared" si="7"/>
        <v>0</v>
      </c>
      <c r="R503" s="38"/>
      <c r="S503" s="38"/>
    </row>
    <row r="504" spans="1:19" hidden="1" x14ac:dyDescent="0.25">
      <c r="A504" s="38" t="str">
        <f>F504&amp;C504</f>
        <v>C04340060449</v>
      </c>
      <c r="B504" s="38" t="str">
        <f>IF(J504&gt;=SUMIFS(E:E,C:C,C504),"Good to go","Short in Qty")</f>
        <v>Good to go</v>
      </c>
      <c r="C504" s="40">
        <v>40060449</v>
      </c>
      <c r="D504" s="40" t="s">
        <v>537</v>
      </c>
      <c r="E504" s="66">
        <v>20</v>
      </c>
      <c r="F504" s="38" t="s">
        <v>11</v>
      </c>
      <c r="G504" s="40" t="s">
        <v>467</v>
      </c>
      <c r="H504" s="38" t="s">
        <v>594</v>
      </c>
      <c r="I504" s="38" t="s">
        <v>595</v>
      </c>
      <c r="J504" s="38">
        <f>IFERROR(VLOOKUP(C:C,'[1]S&amp;S'!$B:$F,5,0),)</f>
        <v>728</v>
      </c>
      <c r="K504" s="38">
        <f>IFERROR(VLOOKUP(A:A,[1]APO!$A:$F,6,0),)</f>
        <v>0</v>
      </c>
      <c r="L504" s="38">
        <f>IFERROR(VLOOKUP(C:C,'[1]TOTAL APO'!$A:$B,2,0),)</f>
        <v>0</v>
      </c>
      <c r="M504" s="38">
        <f>IFERROR(VLOOKUP(A:A,[1]Short!$A:$Q,17,0),)</f>
        <v>0</v>
      </c>
      <c r="N504" s="38">
        <f>IFERROR(VLOOKUP(C:C,[1]GIT!$B:$D,3,0),)</f>
        <v>0</v>
      </c>
      <c r="O504" s="38">
        <f>IFERROR(VLOOKUP(A:A,[2]Sheet1!$A:$B,2,0),)</f>
        <v>20</v>
      </c>
      <c r="P504" s="38">
        <f>IFERROR(VLOOKUP(A:A,[2]Sheet1!$A:$B,2,0),)</f>
        <v>20</v>
      </c>
      <c r="Q504" s="38">
        <f t="shared" si="7"/>
        <v>0</v>
      </c>
      <c r="R504" s="38"/>
      <c r="S504" s="38"/>
    </row>
    <row r="505" spans="1:19" hidden="1" x14ac:dyDescent="0.25">
      <c r="A505" s="38" t="str">
        <f>F505&amp;C505</f>
        <v>C04740060449</v>
      </c>
      <c r="B505" s="38" t="str">
        <f>IF(J505&gt;=SUMIFS(E:E,C:C,C505),"Good to go","Short in Qty")</f>
        <v>Good to go</v>
      </c>
      <c r="C505" s="40">
        <v>40060449</v>
      </c>
      <c r="D505" s="40" t="s">
        <v>537</v>
      </c>
      <c r="E505" s="66">
        <v>5</v>
      </c>
      <c r="F505" s="38" t="s">
        <v>192</v>
      </c>
      <c r="G505" s="40"/>
      <c r="H505" s="38" t="s">
        <v>594</v>
      </c>
      <c r="I505" s="38" t="s">
        <v>595</v>
      </c>
      <c r="J505" s="38">
        <f>IFERROR(VLOOKUP(C:C,'[1]S&amp;S'!$B:$F,5,0),)</f>
        <v>728</v>
      </c>
      <c r="K505" s="38">
        <f>IFERROR(VLOOKUP(A:A,[1]APO!$A:$F,6,0),)</f>
        <v>0</v>
      </c>
      <c r="L505" s="38">
        <f>IFERROR(VLOOKUP(C:C,'[1]TOTAL APO'!$A:$B,2,0),)</f>
        <v>0</v>
      </c>
      <c r="M505" s="38">
        <f>IFERROR(VLOOKUP(A:A,[1]Short!$A:$Q,17,0),)</f>
        <v>0</v>
      </c>
      <c r="N505" s="38">
        <f>IFERROR(VLOOKUP(C:C,[1]GIT!$B:$D,3,0),)</f>
        <v>0</v>
      </c>
      <c r="O505" s="38">
        <f>IFERROR(VLOOKUP(A:A,[2]Sheet1!$A:$B,2,0),)</f>
        <v>0</v>
      </c>
      <c r="P505" s="38">
        <f>IFERROR(VLOOKUP(A:A,[2]Sheet1!$A:$B,2,0),)</f>
        <v>0</v>
      </c>
      <c r="Q505" s="38">
        <f t="shared" si="7"/>
        <v>5</v>
      </c>
      <c r="R505" s="38"/>
      <c r="S505" s="38"/>
    </row>
    <row r="506" spans="1:19" hidden="1" x14ac:dyDescent="0.25">
      <c r="A506" s="38" t="str">
        <f>F506&amp;C506</f>
        <v>C04840062523</v>
      </c>
      <c r="B506" s="38" t="str">
        <f>IF(J506&gt;=SUMIFS(E:E,C:C,C506),"Good to go","Short in Qty")</f>
        <v>Good to go</v>
      </c>
      <c r="C506" s="40">
        <v>40062523</v>
      </c>
      <c r="D506" s="40" t="s">
        <v>319</v>
      </c>
      <c r="E506" s="66">
        <v>2</v>
      </c>
      <c r="F506" s="38" t="s">
        <v>8</v>
      </c>
      <c r="G506" s="40" t="s">
        <v>467</v>
      </c>
      <c r="H506" s="38" t="s">
        <v>151</v>
      </c>
      <c r="I506" s="38" t="s">
        <v>369</v>
      </c>
      <c r="J506" s="38">
        <f>IFERROR(VLOOKUP(C:C,'[1]S&amp;S'!$B:$F,5,0),)</f>
        <v>1438</v>
      </c>
      <c r="K506" s="38">
        <f>IFERROR(VLOOKUP(A:A,[1]APO!$A:$F,6,0),)</f>
        <v>0</v>
      </c>
      <c r="L506" s="38">
        <f>IFERROR(VLOOKUP(C:C,'[1]TOTAL APO'!$A:$B,2,0),)</f>
        <v>0</v>
      </c>
      <c r="M506" s="38">
        <f>IFERROR(VLOOKUP(A:A,[1]Short!$A:$Q,17,0),)</f>
        <v>0</v>
      </c>
      <c r="N506" s="38">
        <f>IFERROR(VLOOKUP(C:C,[1]GIT!$B:$D,3,0),)</f>
        <v>0</v>
      </c>
      <c r="O506" s="38">
        <f>IFERROR(VLOOKUP(A:A,[2]Sheet1!$A:$B,2,0),)</f>
        <v>2</v>
      </c>
      <c r="P506" s="38">
        <f>IFERROR(VLOOKUP(A:A,[2]Sheet1!$A:$B,2,0),)</f>
        <v>2</v>
      </c>
      <c r="Q506" s="38">
        <f t="shared" si="7"/>
        <v>0</v>
      </c>
      <c r="R506" s="38"/>
      <c r="S506" s="38"/>
    </row>
    <row r="507" spans="1:19" hidden="1" x14ac:dyDescent="0.25">
      <c r="A507" s="38" t="str">
        <f>F507&amp;C507</f>
        <v>C04240057243</v>
      </c>
      <c r="B507" s="38" t="str">
        <f>IF(J507&gt;=SUMIFS(E:E,C:C,C507),"Good to go","Short in Qty")</f>
        <v>Good to go</v>
      </c>
      <c r="C507" s="40">
        <v>40057243</v>
      </c>
      <c r="D507" s="40" t="s">
        <v>448</v>
      </c>
      <c r="E507" s="66">
        <v>100</v>
      </c>
      <c r="F507" s="38" t="s">
        <v>10</v>
      </c>
      <c r="G507" s="40" t="s">
        <v>467</v>
      </c>
      <c r="H507" s="38" t="s">
        <v>594</v>
      </c>
      <c r="I507" s="38" t="s">
        <v>595</v>
      </c>
      <c r="J507" s="38">
        <f>IFERROR(VLOOKUP(C:C,'[1]S&amp;S'!$B:$F,5,0),)</f>
        <v>1268.9994999999999</v>
      </c>
      <c r="K507" s="38">
        <f>IFERROR(VLOOKUP(A:A,[1]APO!$A:$F,6,0),)</f>
        <v>0</v>
      </c>
      <c r="L507" s="38">
        <f>IFERROR(VLOOKUP(C:C,'[1]TOTAL APO'!$A:$B,2,0),)</f>
        <v>0</v>
      </c>
      <c r="M507" s="38">
        <f>IFERROR(VLOOKUP(A:A,[1]Short!$A:$Q,17,0),)</f>
        <v>0</v>
      </c>
      <c r="N507" s="38">
        <f>IFERROR(VLOOKUP(C:C,[1]GIT!$B:$D,3,0),)</f>
        <v>0</v>
      </c>
      <c r="O507" s="38">
        <f>IFERROR(VLOOKUP(A:A,[2]Sheet1!$A:$B,2,0),)</f>
        <v>100</v>
      </c>
      <c r="P507" s="38">
        <f>IFERROR(VLOOKUP(A:A,[2]Sheet1!$A:$B,2,0),)</f>
        <v>100</v>
      </c>
      <c r="Q507" s="38">
        <f t="shared" si="7"/>
        <v>0</v>
      </c>
      <c r="R507" s="38"/>
      <c r="S507" s="38"/>
    </row>
    <row r="508" spans="1:19" hidden="1" x14ac:dyDescent="0.25">
      <c r="A508" s="38" t="str">
        <f>F508&amp;C508</f>
        <v>C04340060450</v>
      </c>
      <c r="B508" s="38" t="str">
        <f>IF(J508&gt;=SUMIFS(E:E,C:C,C508),"Good to go","Short in Qty")</f>
        <v>Good to go</v>
      </c>
      <c r="C508" s="40">
        <v>40060450</v>
      </c>
      <c r="D508" s="40" t="s">
        <v>572</v>
      </c>
      <c r="E508" s="66">
        <v>5</v>
      </c>
      <c r="F508" s="38" t="s">
        <v>11</v>
      </c>
      <c r="G508" s="40" t="s">
        <v>467</v>
      </c>
      <c r="H508" s="38" t="s">
        <v>594</v>
      </c>
      <c r="I508" s="38" t="s">
        <v>595</v>
      </c>
      <c r="J508" s="38">
        <f>IFERROR(VLOOKUP(C:C,'[1]S&amp;S'!$B:$F,5,0),)</f>
        <v>555</v>
      </c>
      <c r="K508" s="38">
        <f>IFERROR(VLOOKUP(A:A,[1]APO!$A:$F,6,0),)</f>
        <v>0</v>
      </c>
      <c r="L508" s="38">
        <f>IFERROR(VLOOKUP(C:C,'[1]TOTAL APO'!$A:$B,2,0),)</f>
        <v>0</v>
      </c>
      <c r="M508" s="38">
        <f>IFERROR(VLOOKUP(A:A,[1]Short!$A:$Q,17,0),)</f>
        <v>0</v>
      </c>
      <c r="N508" s="38">
        <f>IFERROR(VLOOKUP(C:C,[1]GIT!$B:$D,3,0),)</f>
        <v>0</v>
      </c>
      <c r="O508" s="38">
        <f>IFERROR(VLOOKUP(A:A,[2]Sheet1!$A:$B,2,0),)</f>
        <v>5</v>
      </c>
      <c r="P508" s="38">
        <f>IFERROR(VLOOKUP(A:A,[2]Sheet1!$A:$B,2,0),)</f>
        <v>5</v>
      </c>
      <c r="Q508" s="38">
        <f t="shared" si="7"/>
        <v>0</v>
      </c>
      <c r="R508" s="38"/>
      <c r="S508" s="38"/>
    </row>
    <row r="509" spans="1:19" hidden="1" x14ac:dyDescent="0.25">
      <c r="A509" s="38" t="str">
        <f>F509&amp;C509</f>
        <v>C04840058612</v>
      </c>
      <c r="B509" s="38" t="str">
        <f>IF(J509&gt;=SUMIFS(E:E,C:C,C509),"Good to go","Short in Qty")</f>
        <v>Good to go</v>
      </c>
      <c r="C509" s="40">
        <v>40058612</v>
      </c>
      <c r="D509" s="40" t="s">
        <v>321</v>
      </c>
      <c r="E509" s="66">
        <v>5</v>
      </c>
      <c r="F509" s="38" t="s">
        <v>8</v>
      </c>
      <c r="G509" s="40" t="s">
        <v>467</v>
      </c>
      <c r="H509" s="38" t="s">
        <v>151</v>
      </c>
      <c r="I509" s="38" t="s">
        <v>369</v>
      </c>
      <c r="J509" s="38">
        <f>IFERROR(VLOOKUP(C:C,'[1]S&amp;S'!$B:$F,5,0),)</f>
        <v>16</v>
      </c>
      <c r="K509" s="38">
        <f>IFERROR(VLOOKUP(A:A,[1]APO!$A:$F,6,0),)</f>
        <v>0</v>
      </c>
      <c r="L509" s="38">
        <f>IFERROR(VLOOKUP(C:C,'[1]TOTAL APO'!$A:$B,2,0),)</f>
        <v>0</v>
      </c>
      <c r="M509" s="38">
        <f>IFERROR(VLOOKUP(A:A,[1]Short!$A:$Q,17,0),)</f>
        <v>0</v>
      </c>
      <c r="N509" s="38">
        <f>IFERROR(VLOOKUP(C:C,[1]GIT!$B:$D,3,0),)</f>
        <v>0</v>
      </c>
      <c r="O509" s="38">
        <f>IFERROR(VLOOKUP(A:A,[2]Sheet1!$A:$B,2,0),)</f>
        <v>5</v>
      </c>
      <c r="P509" s="38">
        <f>IFERROR(VLOOKUP(A:A,[2]Sheet1!$A:$B,2,0),)</f>
        <v>5</v>
      </c>
      <c r="Q509" s="38">
        <f t="shared" si="7"/>
        <v>0</v>
      </c>
      <c r="R509" s="38"/>
      <c r="S509" s="38"/>
    </row>
    <row r="510" spans="1:19" hidden="1" x14ac:dyDescent="0.25">
      <c r="A510" s="38" t="str">
        <f>F510&amp;C510</f>
        <v>C10240060450</v>
      </c>
      <c r="B510" s="38" t="str">
        <f>IF(J510&gt;=SUMIFS(E:E,C:C,C510),"Good to go","Short in Qty")</f>
        <v>Good to go</v>
      </c>
      <c r="C510" s="40">
        <v>40060450</v>
      </c>
      <c r="D510" s="40" t="s">
        <v>572</v>
      </c>
      <c r="E510" s="66">
        <v>150</v>
      </c>
      <c r="F510" s="38" t="s">
        <v>226</v>
      </c>
      <c r="G510" s="40" t="s">
        <v>467</v>
      </c>
      <c r="H510" s="38" t="s">
        <v>594</v>
      </c>
      <c r="I510" s="38" t="s">
        <v>595</v>
      </c>
      <c r="J510" s="38">
        <f>IFERROR(VLOOKUP(C:C,'[1]S&amp;S'!$B:$F,5,0),)</f>
        <v>555</v>
      </c>
      <c r="K510" s="38">
        <f>IFERROR(VLOOKUP(A:A,[1]APO!$A:$F,6,0),)</f>
        <v>0</v>
      </c>
      <c r="L510" s="38">
        <f>IFERROR(VLOOKUP(C:C,'[1]TOTAL APO'!$A:$B,2,0),)</f>
        <v>0</v>
      </c>
      <c r="M510" s="38">
        <f>IFERROR(VLOOKUP(A:A,[1]Short!$A:$Q,17,0),)</f>
        <v>0</v>
      </c>
      <c r="N510" s="38">
        <f>IFERROR(VLOOKUP(C:C,[1]GIT!$B:$D,3,0),)</f>
        <v>0</v>
      </c>
      <c r="O510" s="38">
        <f>IFERROR(VLOOKUP(A:A,[2]Sheet1!$A:$B,2,0),)</f>
        <v>150</v>
      </c>
      <c r="P510" s="38">
        <f>IFERROR(VLOOKUP(A:A,[2]Sheet1!$A:$B,2,0),)</f>
        <v>150</v>
      </c>
      <c r="Q510" s="38">
        <f t="shared" si="7"/>
        <v>0</v>
      </c>
      <c r="R510" s="38"/>
      <c r="S510" s="38"/>
    </row>
    <row r="511" spans="1:19" hidden="1" x14ac:dyDescent="0.25">
      <c r="A511" s="38" t="str">
        <f>F511&amp;C511</f>
        <v>C11140060450</v>
      </c>
      <c r="B511" s="38" t="str">
        <f>IF(J511&gt;=SUMIFS(E:E,C:C,C511),"Good to go","Short in Qty")</f>
        <v>Good to go</v>
      </c>
      <c r="C511" s="40">
        <v>40060450</v>
      </c>
      <c r="D511" s="40" t="s">
        <v>572</v>
      </c>
      <c r="E511" s="66">
        <v>50</v>
      </c>
      <c r="F511" s="38" t="s">
        <v>16</v>
      </c>
      <c r="G511" s="40" t="s">
        <v>467</v>
      </c>
      <c r="H511" s="38" t="s">
        <v>594</v>
      </c>
      <c r="I511" s="38" t="s">
        <v>595</v>
      </c>
      <c r="J511" s="38">
        <f>IFERROR(VLOOKUP(C:C,'[1]S&amp;S'!$B:$F,5,0),)</f>
        <v>555</v>
      </c>
      <c r="K511" s="38">
        <f>IFERROR(VLOOKUP(A:A,[1]APO!$A:$F,6,0),)</f>
        <v>0</v>
      </c>
      <c r="L511" s="38">
        <f>IFERROR(VLOOKUP(C:C,'[1]TOTAL APO'!$A:$B,2,0),)</f>
        <v>0</v>
      </c>
      <c r="M511" s="38">
        <f>IFERROR(VLOOKUP(A:A,[1]Short!$A:$Q,17,0),)</f>
        <v>0</v>
      </c>
      <c r="N511" s="38">
        <f>IFERROR(VLOOKUP(C:C,[1]GIT!$B:$D,3,0),)</f>
        <v>0</v>
      </c>
      <c r="O511" s="38">
        <f>IFERROR(VLOOKUP(A:A,[2]Sheet1!$A:$B,2,0),)</f>
        <v>50</v>
      </c>
      <c r="P511" s="38">
        <f>IFERROR(VLOOKUP(A:A,[2]Sheet1!$A:$B,2,0),)</f>
        <v>50</v>
      </c>
      <c r="Q511" s="38">
        <f t="shared" si="7"/>
        <v>0</v>
      </c>
      <c r="R511" s="38"/>
      <c r="S511" s="38"/>
    </row>
    <row r="512" spans="1:19" hidden="1" x14ac:dyDescent="0.25">
      <c r="A512" s="38" t="str">
        <f>F512&amp;C512</f>
        <v>C13140060450</v>
      </c>
      <c r="B512" s="38" t="str">
        <f>IF(J512&gt;=SUMIFS(E:E,C:C,C512),"Good to go","Short in Qty")</f>
        <v>Good to go</v>
      </c>
      <c r="C512" s="40">
        <v>40060450</v>
      </c>
      <c r="D512" s="40" t="s">
        <v>572</v>
      </c>
      <c r="E512" s="66">
        <v>170</v>
      </c>
      <c r="F512" s="38" t="s">
        <v>17</v>
      </c>
      <c r="G512" s="40" t="s">
        <v>467</v>
      </c>
      <c r="H512" s="38" t="s">
        <v>594</v>
      </c>
      <c r="I512" s="38" t="s">
        <v>595</v>
      </c>
      <c r="J512" s="38">
        <f>IFERROR(VLOOKUP(C:C,'[1]S&amp;S'!$B:$F,5,0),)</f>
        <v>555</v>
      </c>
      <c r="K512" s="38">
        <f>IFERROR(VLOOKUP(A:A,[1]APO!$A:$F,6,0),)</f>
        <v>0</v>
      </c>
      <c r="L512" s="38">
        <f>IFERROR(VLOOKUP(C:C,'[1]TOTAL APO'!$A:$B,2,0),)</f>
        <v>0</v>
      </c>
      <c r="M512" s="38">
        <f>IFERROR(VLOOKUP(A:A,[1]Short!$A:$Q,17,0),)</f>
        <v>0</v>
      </c>
      <c r="N512" s="38">
        <f>IFERROR(VLOOKUP(C:C,[1]GIT!$B:$D,3,0),)</f>
        <v>0</v>
      </c>
      <c r="O512" s="38">
        <f>IFERROR(VLOOKUP(A:A,[2]Sheet1!$A:$B,2,0),)</f>
        <v>170</v>
      </c>
      <c r="P512" s="38">
        <f>IFERROR(VLOOKUP(A:A,[2]Sheet1!$A:$B,2,0),)</f>
        <v>170</v>
      </c>
      <c r="Q512" s="38">
        <f t="shared" si="7"/>
        <v>0</v>
      </c>
      <c r="R512" s="38"/>
      <c r="S512" s="38"/>
    </row>
    <row r="513" spans="1:19" hidden="1" x14ac:dyDescent="0.25">
      <c r="A513" s="38" t="str">
        <f>F513&amp;C513</f>
        <v>C04640060450</v>
      </c>
      <c r="B513" s="38" t="str">
        <f>IF(J513&gt;=SUMIFS(E:E,C:C,C513),"Good to go","Short in Qty")</f>
        <v>Good to go</v>
      </c>
      <c r="C513" s="40">
        <v>40060450</v>
      </c>
      <c r="D513" s="40" t="s">
        <v>572</v>
      </c>
      <c r="E513" s="66">
        <v>5</v>
      </c>
      <c r="F513" s="38" t="s">
        <v>13</v>
      </c>
      <c r="G513" s="40"/>
      <c r="H513" s="38" t="s">
        <v>594</v>
      </c>
      <c r="I513" s="38" t="s">
        <v>595</v>
      </c>
      <c r="J513" s="38">
        <f>IFERROR(VLOOKUP(C:C,'[1]S&amp;S'!$B:$F,5,0),)</f>
        <v>555</v>
      </c>
      <c r="K513" s="38">
        <f>IFERROR(VLOOKUP(A:A,[1]APO!$A:$F,6,0),)</f>
        <v>0</v>
      </c>
      <c r="L513" s="38">
        <f>IFERROR(VLOOKUP(C:C,'[1]TOTAL APO'!$A:$B,2,0),)</f>
        <v>0</v>
      </c>
      <c r="M513" s="38">
        <f>IFERROR(VLOOKUP(A:A,[1]Short!$A:$Q,17,0),)</f>
        <v>0</v>
      </c>
      <c r="N513" s="38">
        <f>IFERROR(VLOOKUP(C:C,[1]GIT!$B:$D,3,0),)</f>
        <v>0</v>
      </c>
      <c r="O513" s="38">
        <f>IFERROR(VLOOKUP(A:A,[2]Sheet1!$A:$B,2,0),)</f>
        <v>0</v>
      </c>
      <c r="P513" s="38">
        <f>IFERROR(VLOOKUP(A:A,[2]Sheet1!$A:$B,2,0),)</f>
        <v>0</v>
      </c>
      <c r="Q513" s="38">
        <f t="shared" si="7"/>
        <v>5</v>
      </c>
      <c r="R513" s="38"/>
      <c r="S513" s="38"/>
    </row>
    <row r="514" spans="1:19" hidden="1" x14ac:dyDescent="0.25">
      <c r="A514" s="38" t="str">
        <f>F514&amp;C514</f>
        <v>C04640062464</v>
      </c>
      <c r="B514" s="38" t="str">
        <f>IF(J514&gt;=SUMIFS(E:E,C:C,C514),"Good to go","Short in Qty")</f>
        <v>Good to go</v>
      </c>
      <c r="C514" s="40">
        <v>40062464</v>
      </c>
      <c r="D514" s="40" t="s">
        <v>220</v>
      </c>
      <c r="E514" s="66">
        <v>1</v>
      </c>
      <c r="F514" s="38" t="s">
        <v>13</v>
      </c>
      <c r="G514" s="40"/>
      <c r="H514" s="38" t="s">
        <v>84</v>
      </c>
      <c r="I514" s="38" t="s">
        <v>620</v>
      </c>
      <c r="J514" s="38">
        <f>IFERROR(VLOOKUP(C:C,'[1]S&amp;S'!$B:$F,5,0),)</f>
        <v>139</v>
      </c>
      <c r="K514" s="38">
        <f>IFERROR(VLOOKUP(A:A,[1]APO!$A:$F,6,0),)</f>
        <v>0</v>
      </c>
      <c r="L514" s="38">
        <f>IFERROR(VLOOKUP(C:C,'[1]TOTAL APO'!$A:$B,2,0),)</f>
        <v>0</v>
      </c>
      <c r="M514" s="38">
        <f>IFERROR(VLOOKUP(A:A,[1]Short!$A:$Q,17,0),)</f>
        <v>0</v>
      </c>
      <c r="N514" s="38">
        <f>IFERROR(VLOOKUP(C:C,[1]GIT!$B:$D,3,0),)</f>
        <v>0</v>
      </c>
      <c r="O514" s="38">
        <f>IFERROR(VLOOKUP(A:A,[2]Sheet1!$A:$B,2,0),)</f>
        <v>0</v>
      </c>
      <c r="P514" s="38">
        <f>IFERROR(VLOOKUP(A:A,[2]Sheet1!$A:$B,2,0),)</f>
        <v>0</v>
      </c>
      <c r="Q514" s="38">
        <f t="shared" si="7"/>
        <v>1</v>
      </c>
      <c r="R514" s="38"/>
      <c r="S514" s="38"/>
    </row>
    <row r="515" spans="1:19" hidden="1" x14ac:dyDescent="0.25">
      <c r="A515" s="38" t="str">
        <f>F515&amp;C515</f>
        <v>C04640065157</v>
      </c>
      <c r="B515" s="38" t="str">
        <f>IF(J515&gt;=SUMIFS(E:E,C:C,C515),"Good to go","Short in Qty")</f>
        <v>Good to go</v>
      </c>
      <c r="C515" s="40">
        <v>40065157</v>
      </c>
      <c r="D515" s="40" t="s">
        <v>444</v>
      </c>
      <c r="E515" s="69">
        <v>40</v>
      </c>
      <c r="F515" s="38" t="s">
        <v>13</v>
      </c>
      <c r="G515" s="40" t="s">
        <v>467</v>
      </c>
      <c r="H515" s="38" t="s">
        <v>248</v>
      </c>
      <c r="I515" s="38" t="s">
        <v>457</v>
      </c>
      <c r="J515" s="38">
        <f>IFERROR(VLOOKUP(C:C,'[1]S&amp;S'!$B:$F,5,0),)</f>
        <v>423</v>
      </c>
      <c r="K515" s="38">
        <f>IFERROR(VLOOKUP(A:A,[1]APO!$A:$F,6,0),)</f>
        <v>0</v>
      </c>
      <c r="L515" s="38">
        <f>IFERROR(VLOOKUP(C:C,'[1]TOTAL APO'!$A:$B,2,0),)</f>
        <v>0</v>
      </c>
      <c r="M515" s="38">
        <f>IFERROR(VLOOKUP(A:A,[1]Short!$A:$Q,17,0),)</f>
        <v>0</v>
      </c>
      <c r="N515" s="38">
        <f>IFERROR(VLOOKUP(C:C,[1]GIT!$B:$D,3,0),)</f>
        <v>0</v>
      </c>
      <c r="O515" s="38">
        <f>IFERROR(VLOOKUP(A:A,[2]Sheet1!$A:$B,2,0),)</f>
        <v>40</v>
      </c>
      <c r="P515" s="38">
        <f>IFERROR(VLOOKUP(A:A,[2]Sheet1!$A:$B,2,0),)</f>
        <v>40</v>
      </c>
      <c r="Q515" s="38">
        <f t="shared" ref="Q515:Q578" si="8">+E515-P515</f>
        <v>0</v>
      </c>
      <c r="R515" s="38"/>
      <c r="S515" s="38"/>
    </row>
    <row r="516" spans="1:19" hidden="1" x14ac:dyDescent="0.25">
      <c r="A516" s="38" t="str">
        <f>F516&amp;C516</f>
        <v>C04840062518</v>
      </c>
      <c r="B516" s="38" t="str">
        <f>IF(J516&gt;=SUMIFS(E:E,C:C,C516),"Good to go","Short in Qty")</f>
        <v>Good to go</v>
      </c>
      <c r="C516" s="40">
        <v>40062518</v>
      </c>
      <c r="D516" s="40" t="s">
        <v>544</v>
      </c>
      <c r="E516" s="66">
        <v>30</v>
      </c>
      <c r="F516" s="38" t="s">
        <v>8</v>
      </c>
      <c r="G516" s="40" t="s">
        <v>467</v>
      </c>
      <c r="H516" s="38" t="s">
        <v>594</v>
      </c>
      <c r="I516" s="38" t="s">
        <v>595</v>
      </c>
      <c r="J516" s="38">
        <f>IFERROR(VLOOKUP(C:C,'[1]S&amp;S'!$B:$F,5,0),)</f>
        <v>343</v>
      </c>
      <c r="K516" s="38">
        <f>IFERROR(VLOOKUP(A:A,[1]APO!$A:$F,6,0),)</f>
        <v>0</v>
      </c>
      <c r="L516" s="38">
        <f>IFERROR(VLOOKUP(C:C,'[1]TOTAL APO'!$A:$B,2,0),)</f>
        <v>0</v>
      </c>
      <c r="M516" s="38">
        <f>IFERROR(VLOOKUP(A:A,[1]Short!$A:$Q,17,0),)</f>
        <v>0</v>
      </c>
      <c r="N516" s="38">
        <f>IFERROR(VLOOKUP(C:C,[1]GIT!$B:$D,3,0),)</f>
        <v>12</v>
      </c>
      <c r="O516" s="38">
        <f>IFERROR(VLOOKUP(A:A,[2]Sheet1!$A:$B,2,0),)</f>
        <v>30</v>
      </c>
      <c r="P516" s="38">
        <f>IFERROR(VLOOKUP(A:A,[2]Sheet1!$A:$B,2,0),)</f>
        <v>30</v>
      </c>
      <c r="Q516" s="38">
        <f t="shared" si="8"/>
        <v>0</v>
      </c>
      <c r="R516" s="38">
        <v>1</v>
      </c>
      <c r="S516" s="38"/>
    </row>
    <row r="517" spans="1:19" hidden="1" x14ac:dyDescent="0.25">
      <c r="A517" s="38" t="str">
        <f>F517&amp;C517</f>
        <v>C04640062549</v>
      </c>
      <c r="B517" s="38" t="str">
        <f>IF(J517&gt;=SUMIFS(E:E,C:C,C517),"Good to go","Short in Qty")</f>
        <v>Good to go</v>
      </c>
      <c r="C517" s="40">
        <v>40062549</v>
      </c>
      <c r="D517" s="40" t="s">
        <v>541</v>
      </c>
      <c r="E517" s="66">
        <v>20</v>
      </c>
      <c r="F517" s="38" t="s">
        <v>13</v>
      </c>
      <c r="G517" s="40">
        <v>2</v>
      </c>
      <c r="H517" s="38" t="s">
        <v>594</v>
      </c>
      <c r="I517" s="38" t="s">
        <v>595</v>
      </c>
      <c r="J517" s="38">
        <f>IFERROR(VLOOKUP(C:C,'[1]S&amp;S'!$B:$F,5,0),)</f>
        <v>54</v>
      </c>
      <c r="K517" s="38">
        <f>IFERROR(VLOOKUP(A:A,[1]APO!$A:$F,6,0),)</f>
        <v>0</v>
      </c>
      <c r="L517" s="38">
        <f>IFERROR(VLOOKUP(C:C,'[1]TOTAL APO'!$A:$B,2,0),)</f>
        <v>0</v>
      </c>
      <c r="M517" s="38">
        <f>IFERROR(VLOOKUP(A:A,[1]Short!$A:$Q,17,0),)</f>
        <v>0</v>
      </c>
      <c r="N517" s="38">
        <f>IFERROR(VLOOKUP(C:C,[1]GIT!$B:$D,3,0),)</f>
        <v>0</v>
      </c>
      <c r="O517" s="38">
        <f>IFERROR(VLOOKUP(A:A,[2]Sheet1!$A:$B,2,0),)</f>
        <v>0</v>
      </c>
      <c r="P517" s="38">
        <f>IFERROR(VLOOKUP(A:A,[2]Sheet1!$A:$B,2,0),)</f>
        <v>0</v>
      </c>
      <c r="Q517" s="38">
        <f t="shared" si="8"/>
        <v>20</v>
      </c>
      <c r="R517" s="38">
        <v>1</v>
      </c>
      <c r="S517" s="38"/>
    </row>
    <row r="518" spans="1:19" hidden="1" x14ac:dyDescent="0.25">
      <c r="A518" s="38" t="str">
        <f>F518&amp;C518</f>
        <v>C04340062464</v>
      </c>
      <c r="B518" s="38" t="str">
        <f>IF(J518&gt;=SUMIFS(E:E,C:C,C518),"Good to go","Short in Qty")</f>
        <v>Good to go</v>
      </c>
      <c r="C518" s="40">
        <v>40062464</v>
      </c>
      <c r="D518" s="40" t="s">
        <v>220</v>
      </c>
      <c r="E518" s="66">
        <v>14</v>
      </c>
      <c r="F518" s="38" t="s">
        <v>11</v>
      </c>
      <c r="G518" s="40" t="s">
        <v>467</v>
      </c>
      <c r="H518" s="38" t="s">
        <v>84</v>
      </c>
      <c r="I518" s="38" t="s">
        <v>620</v>
      </c>
      <c r="J518" s="38">
        <f>IFERROR(VLOOKUP(C:C,'[1]S&amp;S'!$B:$F,5,0),)</f>
        <v>139</v>
      </c>
      <c r="K518" s="38">
        <f>IFERROR(VLOOKUP(A:A,[1]APO!$A:$F,6,0),)</f>
        <v>0</v>
      </c>
      <c r="L518" s="38">
        <f>IFERROR(VLOOKUP(C:C,'[1]TOTAL APO'!$A:$B,2,0),)</f>
        <v>0</v>
      </c>
      <c r="M518" s="38">
        <f>IFERROR(VLOOKUP(A:A,[1]Short!$A:$Q,17,0),)</f>
        <v>0</v>
      </c>
      <c r="N518" s="38">
        <f>IFERROR(VLOOKUP(C:C,[1]GIT!$B:$D,3,0),)</f>
        <v>0</v>
      </c>
      <c r="O518" s="38">
        <f>IFERROR(VLOOKUP(A:A,[2]Sheet1!$A:$B,2,0),)</f>
        <v>14</v>
      </c>
      <c r="P518" s="38">
        <f>IFERROR(VLOOKUP(A:A,[2]Sheet1!$A:$B,2,0),)</f>
        <v>14</v>
      </c>
      <c r="Q518" s="38">
        <f t="shared" si="8"/>
        <v>0</v>
      </c>
      <c r="R518" s="38"/>
      <c r="S518" s="38"/>
    </row>
    <row r="519" spans="1:19" hidden="1" x14ac:dyDescent="0.25">
      <c r="A519" s="38" t="str">
        <f>F519&amp;C519</f>
        <v>C04840062325</v>
      </c>
      <c r="B519" s="38" t="str">
        <f>IF(J519&gt;=SUMIFS(E:E,C:C,C519),"Good to go","Short in Qty")</f>
        <v>Good to go</v>
      </c>
      <c r="C519" s="40">
        <v>40062325</v>
      </c>
      <c r="D519" s="40" t="s">
        <v>323</v>
      </c>
      <c r="E519" s="66">
        <v>2</v>
      </c>
      <c r="F519" s="38" t="s">
        <v>8</v>
      </c>
      <c r="G519" s="40" t="s">
        <v>467</v>
      </c>
      <c r="H519" s="38" t="s">
        <v>151</v>
      </c>
      <c r="I519" s="38" t="s">
        <v>369</v>
      </c>
      <c r="J519" s="38">
        <f>IFERROR(VLOOKUP(C:C,'[1]S&amp;S'!$B:$F,5,0),)</f>
        <v>53</v>
      </c>
      <c r="K519" s="38">
        <f>IFERROR(VLOOKUP(A:A,[1]APO!$A:$F,6,0),)</f>
        <v>0</v>
      </c>
      <c r="L519" s="38">
        <f>IFERROR(VLOOKUP(C:C,'[1]TOTAL APO'!$A:$B,2,0),)</f>
        <v>0</v>
      </c>
      <c r="M519" s="38">
        <f>IFERROR(VLOOKUP(A:A,[1]Short!$A:$Q,17,0),)</f>
        <v>0</v>
      </c>
      <c r="N519" s="38">
        <f>IFERROR(VLOOKUP(C:C,[1]GIT!$B:$D,3,0),)</f>
        <v>1</v>
      </c>
      <c r="O519" s="38">
        <f>IFERROR(VLOOKUP(A:A,[2]Sheet1!$A:$B,2,0),)</f>
        <v>2</v>
      </c>
      <c r="P519" s="38">
        <f>IFERROR(VLOOKUP(A:A,[2]Sheet1!$A:$B,2,0),)</f>
        <v>2</v>
      </c>
      <c r="Q519" s="38">
        <f t="shared" si="8"/>
        <v>0</v>
      </c>
      <c r="R519" s="38"/>
      <c r="S519" s="38"/>
    </row>
    <row r="520" spans="1:19" hidden="1" x14ac:dyDescent="0.25">
      <c r="A520" s="38" t="str">
        <f>F520&amp;C520</f>
        <v>C04840062334</v>
      </c>
      <c r="B520" s="38" t="str">
        <f>IF(J520&gt;=SUMIFS(E:E,C:C,C520),"Good to go","Short in Qty")</f>
        <v>Good to go</v>
      </c>
      <c r="C520" s="40">
        <v>40062334</v>
      </c>
      <c r="D520" s="40" t="s">
        <v>324</v>
      </c>
      <c r="E520" s="66">
        <v>7</v>
      </c>
      <c r="F520" s="38" t="s">
        <v>8</v>
      </c>
      <c r="G520" s="40" t="s">
        <v>467</v>
      </c>
      <c r="H520" s="38" t="s">
        <v>151</v>
      </c>
      <c r="I520" s="38" t="s">
        <v>369</v>
      </c>
      <c r="J520" s="38">
        <f>IFERROR(VLOOKUP(C:C,'[1]S&amp;S'!$B:$F,5,0),)</f>
        <v>999</v>
      </c>
      <c r="K520" s="38">
        <f>IFERROR(VLOOKUP(A:A,[1]APO!$A:$F,6,0),)</f>
        <v>0</v>
      </c>
      <c r="L520" s="38">
        <f>IFERROR(VLOOKUP(C:C,'[1]TOTAL APO'!$A:$B,2,0),)</f>
        <v>0</v>
      </c>
      <c r="M520" s="38">
        <f>IFERROR(VLOOKUP(A:A,[1]Short!$A:$Q,17,0),)</f>
        <v>0</v>
      </c>
      <c r="N520" s="38">
        <f>IFERROR(VLOOKUP(C:C,[1]GIT!$B:$D,3,0),)</f>
        <v>5</v>
      </c>
      <c r="O520" s="38">
        <f>IFERROR(VLOOKUP(A:A,[2]Sheet1!$A:$B,2,0),)</f>
        <v>7</v>
      </c>
      <c r="P520" s="38">
        <f>IFERROR(VLOOKUP(A:A,[2]Sheet1!$A:$B,2,0),)</f>
        <v>7</v>
      </c>
      <c r="Q520" s="38">
        <f t="shared" si="8"/>
        <v>0</v>
      </c>
      <c r="R520" s="38"/>
      <c r="S520" s="38"/>
    </row>
    <row r="521" spans="1:19" hidden="1" x14ac:dyDescent="0.25">
      <c r="A521" s="38" t="str">
        <f>F521&amp;C521</f>
        <v>C04440060034</v>
      </c>
      <c r="B521" s="38" t="str">
        <f>IF(J521&gt;=SUMIFS(E:E,C:C,C521),"Good to go","Short in Qty")</f>
        <v>Short in Qty</v>
      </c>
      <c r="C521" s="40">
        <v>40060034</v>
      </c>
      <c r="D521" s="40" t="s">
        <v>463</v>
      </c>
      <c r="E521" s="66">
        <v>70</v>
      </c>
      <c r="F521" s="38" t="s">
        <v>191</v>
      </c>
      <c r="G521" s="40" t="s">
        <v>467</v>
      </c>
      <c r="H521" s="38" t="s">
        <v>84</v>
      </c>
      <c r="I521" s="38" t="s">
        <v>620</v>
      </c>
      <c r="J521" s="38">
        <f>IFERROR(VLOOKUP(C:C,'[1]S&amp;S'!$B:$F,5,0),)</f>
        <v>679.33333333333303</v>
      </c>
      <c r="K521" s="38">
        <f>IFERROR(VLOOKUP(A:A,[1]APO!$A:$F,6,0),)</f>
        <v>0</v>
      </c>
      <c r="L521" s="38">
        <f>IFERROR(VLOOKUP(C:C,'[1]TOTAL APO'!$A:$B,2,0),)</f>
        <v>0</v>
      </c>
      <c r="M521" s="38">
        <f>IFERROR(VLOOKUP(A:A,[1]Short!$A:$Q,17,0),)</f>
        <v>0</v>
      </c>
      <c r="N521" s="38">
        <f>IFERROR(VLOOKUP(C:C,[1]GIT!$B:$D,3,0),)</f>
        <v>0</v>
      </c>
      <c r="O521" s="38">
        <f>IFERROR(VLOOKUP(A:A,[2]Sheet1!$A:$B,2,0),)</f>
        <v>70</v>
      </c>
      <c r="P521" s="38">
        <f>IFERROR(VLOOKUP(A:A,[2]Sheet1!$A:$B,2,0),)</f>
        <v>70</v>
      </c>
      <c r="Q521" s="38">
        <f t="shared" si="8"/>
        <v>0</v>
      </c>
      <c r="R521" s="38"/>
      <c r="S521" s="38"/>
    </row>
    <row r="522" spans="1:19" hidden="1" x14ac:dyDescent="0.25">
      <c r="A522" s="38" t="str">
        <f>F522&amp;C522</f>
        <v>C04340064535</v>
      </c>
      <c r="B522" s="38" t="str">
        <f>IF(J522&gt;=SUMIFS(E:E,C:C,C522),"Good to go","Short in Qty")</f>
        <v>Good to go</v>
      </c>
      <c r="C522" s="40">
        <v>40064535</v>
      </c>
      <c r="D522" s="40" t="s">
        <v>450</v>
      </c>
      <c r="E522" s="66">
        <v>20</v>
      </c>
      <c r="F522" s="38" t="s">
        <v>11</v>
      </c>
      <c r="G522" s="40" t="s">
        <v>467</v>
      </c>
      <c r="H522" s="38" t="s">
        <v>594</v>
      </c>
      <c r="I522" s="38" t="s">
        <v>595</v>
      </c>
      <c r="J522" s="38">
        <f>IFERROR(VLOOKUP(C:C,'[1]S&amp;S'!$B:$F,5,0),)</f>
        <v>807.5</v>
      </c>
      <c r="K522" s="38">
        <f>IFERROR(VLOOKUP(A:A,[1]APO!$A:$F,6,0),)</f>
        <v>0</v>
      </c>
      <c r="L522" s="38">
        <f>IFERROR(VLOOKUP(C:C,'[1]TOTAL APO'!$A:$B,2,0),)</f>
        <v>0</v>
      </c>
      <c r="M522" s="38">
        <f>IFERROR(VLOOKUP(A:A,[1]Short!$A:$Q,17,0),)</f>
        <v>0</v>
      </c>
      <c r="N522" s="38">
        <f>IFERROR(VLOOKUP(C:C,[1]GIT!$B:$D,3,0),)</f>
        <v>0</v>
      </c>
      <c r="O522" s="38">
        <f>IFERROR(VLOOKUP(A:A,[2]Sheet1!$A:$B,2,0),)</f>
        <v>20</v>
      </c>
      <c r="P522" s="38">
        <f>IFERROR(VLOOKUP(A:A,[2]Sheet1!$A:$B,2,0),)</f>
        <v>20</v>
      </c>
      <c r="Q522" s="38">
        <f t="shared" si="8"/>
        <v>0</v>
      </c>
      <c r="R522" s="38"/>
      <c r="S522" s="38"/>
    </row>
    <row r="523" spans="1:19" hidden="1" x14ac:dyDescent="0.25">
      <c r="A523" s="38" t="str">
        <f>F523&amp;C523</f>
        <v>C04840059425</v>
      </c>
      <c r="B523" s="38" t="str">
        <f>IF(J523&gt;=SUMIFS(E:E,C:C,C523),"Good to go","Short in Qty")</f>
        <v>Good to go</v>
      </c>
      <c r="C523" s="40">
        <v>40059425</v>
      </c>
      <c r="D523" s="40" t="s">
        <v>325</v>
      </c>
      <c r="E523" s="66">
        <v>2</v>
      </c>
      <c r="F523" s="38" t="s">
        <v>8</v>
      </c>
      <c r="G523" s="40" t="s">
        <v>467</v>
      </c>
      <c r="H523" s="38" t="s">
        <v>151</v>
      </c>
      <c r="I523" s="38" t="s">
        <v>369</v>
      </c>
      <c r="J523" s="38">
        <f>IFERROR(VLOOKUP(C:C,'[1]S&amp;S'!$B:$F,5,0),)</f>
        <v>2</v>
      </c>
      <c r="K523" s="38">
        <f>IFERROR(VLOOKUP(A:A,[1]APO!$A:$F,6,0),)</f>
        <v>0</v>
      </c>
      <c r="L523" s="38">
        <f>IFERROR(VLOOKUP(C:C,'[1]TOTAL APO'!$A:$B,2,0),)</f>
        <v>0</v>
      </c>
      <c r="M523" s="38">
        <f>IFERROR(VLOOKUP(A:A,[1]Short!$A:$Q,17,0),)</f>
        <v>0</v>
      </c>
      <c r="N523" s="38">
        <f>IFERROR(VLOOKUP(C:C,[1]GIT!$B:$D,3,0),)</f>
        <v>0</v>
      </c>
      <c r="O523" s="38">
        <f>IFERROR(VLOOKUP(A:A,[2]Sheet1!$A:$B,2,0),)</f>
        <v>2</v>
      </c>
      <c r="P523" s="38">
        <f>IFERROR(VLOOKUP(A:A,[2]Sheet1!$A:$B,2,0),)</f>
        <v>2</v>
      </c>
      <c r="Q523" s="38">
        <f t="shared" si="8"/>
        <v>0</v>
      </c>
      <c r="R523" s="38"/>
      <c r="S523" s="38"/>
    </row>
    <row r="524" spans="1:19" x14ac:dyDescent="0.25">
      <c r="A524" s="38" t="str">
        <f>F524&amp;C524</f>
        <v>C13140063541</v>
      </c>
      <c r="B524" s="38" t="str">
        <f>IF(J524&gt;=SUMIFS(E:E,C:C,C524),"Good to go","Short in Qty")</f>
        <v>Short in Qty</v>
      </c>
      <c r="C524" s="40">
        <v>40063541</v>
      </c>
      <c r="D524" s="40" t="s">
        <v>445</v>
      </c>
      <c r="E524" s="69">
        <v>16</v>
      </c>
      <c r="F524" s="38" t="s">
        <v>17</v>
      </c>
      <c r="G524" s="40" t="s">
        <v>269</v>
      </c>
      <c r="H524" s="38" t="s">
        <v>248</v>
      </c>
      <c r="I524" s="38" t="s">
        <v>457</v>
      </c>
      <c r="J524" s="38">
        <f>IFERROR(VLOOKUP(C:C,'[1]S&amp;S'!$B:$F,5,0),)</f>
        <v>0</v>
      </c>
      <c r="K524" s="38">
        <f>IFERROR(VLOOKUP(A:A,[1]APO!$A:$F,6,0),)</f>
        <v>0</v>
      </c>
      <c r="L524" s="38">
        <f>IFERROR(VLOOKUP(C:C,'[1]TOTAL APO'!$A:$B,2,0),)</f>
        <v>0</v>
      </c>
      <c r="M524" s="38">
        <f>IFERROR(VLOOKUP(A:A,[1]Short!$A:$Q,17,0),)</f>
        <v>0</v>
      </c>
      <c r="N524" s="38">
        <f>IFERROR(VLOOKUP(C:C,[1]GIT!$B:$D,3,0),)</f>
        <v>0</v>
      </c>
      <c r="O524" s="38">
        <f>IFERROR(VLOOKUP(A:A,[2]Sheet1!$A:$B,2,0),)</f>
        <v>0</v>
      </c>
      <c r="P524" s="38">
        <f>IFERROR(VLOOKUP(A:A,[2]Sheet1!$A:$B,2,0),)</f>
        <v>0</v>
      </c>
      <c r="Q524" s="38">
        <f t="shared" si="8"/>
        <v>16</v>
      </c>
      <c r="R524" s="38"/>
      <c r="S524" s="38"/>
    </row>
    <row r="525" spans="1:19" hidden="1" x14ac:dyDescent="0.25">
      <c r="A525" s="38" t="str">
        <f>F525&amp;C525</f>
        <v>C04840062326</v>
      </c>
      <c r="B525" s="38" t="str">
        <f>IF(J525&gt;=SUMIFS(E:E,C:C,C525),"Good to go","Short in Qty")</f>
        <v>Good to go</v>
      </c>
      <c r="C525" s="40">
        <v>40062326</v>
      </c>
      <c r="D525" s="40" t="s">
        <v>328</v>
      </c>
      <c r="E525" s="66">
        <v>2</v>
      </c>
      <c r="F525" s="38" t="s">
        <v>8</v>
      </c>
      <c r="G525" s="40" t="s">
        <v>467</v>
      </c>
      <c r="H525" s="38" t="s">
        <v>151</v>
      </c>
      <c r="I525" s="38" t="s">
        <v>369</v>
      </c>
      <c r="J525" s="38">
        <f>IFERROR(VLOOKUP(C:C,'[1]S&amp;S'!$B:$F,5,0),)</f>
        <v>142</v>
      </c>
      <c r="K525" s="38">
        <f>IFERROR(VLOOKUP(A:A,[1]APO!$A:$F,6,0),)</f>
        <v>0</v>
      </c>
      <c r="L525" s="38">
        <f>IFERROR(VLOOKUP(C:C,'[1]TOTAL APO'!$A:$B,2,0),)</f>
        <v>0</v>
      </c>
      <c r="M525" s="38">
        <f>IFERROR(VLOOKUP(A:A,[1]Short!$A:$Q,17,0),)</f>
        <v>0</v>
      </c>
      <c r="N525" s="38">
        <f>IFERROR(VLOOKUP(C:C,[1]GIT!$B:$D,3,0),)</f>
        <v>0</v>
      </c>
      <c r="O525" s="38">
        <f>IFERROR(VLOOKUP(A:A,[2]Sheet1!$A:$B,2,0),)</f>
        <v>2</v>
      </c>
      <c r="P525" s="38">
        <f>IFERROR(VLOOKUP(A:A,[2]Sheet1!$A:$B,2,0),)</f>
        <v>2</v>
      </c>
      <c r="Q525" s="38">
        <f t="shared" si="8"/>
        <v>0</v>
      </c>
      <c r="R525" s="38"/>
      <c r="S525" s="38"/>
    </row>
    <row r="526" spans="1:19" hidden="1" x14ac:dyDescent="0.25">
      <c r="A526" s="38" t="str">
        <f>F526&amp;C526</f>
        <v>C04340064164</v>
      </c>
      <c r="B526" s="38" t="str">
        <f>IF(J526&gt;=SUMIFS(E:E,C:C,C526),"Good to go","Short in Qty")</f>
        <v>Good to go</v>
      </c>
      <c r="C526" s="40">
        <v>40064164</v>
      </c>
      <c r="D526" s="40" t="s">
        <v>575</v>
      </c>
      <c r="E526" s="66">
        <v>10</v>
      </c>
      <c r="F526" s="38" t="s">
        <v>11</v>
      </c>
      <c r="G526" s="40" t="s">
        <v>467</v>
      </c>
      <c r="H526" s="38" t="s">
        <v>594</v>
      </c>
      <c r="I526" s="38" t="s">
        <v>595</v>
      </c>
      <c r="J526" s="38">
        <f>IFERROR(VLOOKUP(C:C,'[1]S&amp;S'!$B:$F,5,0),)</f>
        <v>29</v>
      </c>
      <c r="K526" s="38">
        <f>IFERROR(VLOOKUP(A:A,[1]APO!$A:$F,6,0),)</f>
        <v>0</v>
      </c>
      <c r="L526" s="38">
        <f>IFERROR(VLOOKUP(C:C,'[1]TOTAL APO'!$A:$B,2,0),)</f>
        <v>0</v>
      </c>
      <c r="M526" s="38">
        <f>IFERROR(VLOOKUP(A:A,[1]Short!$A:$Q,17,0),)</f>
        <v>0</v>
      </c>
      <c r="N526" s="38">
        <f>IFERROR(VLOOKUP(C:C,[1]GIT!$B:$D,3,0),)</f>
        <v>0</v>
      </c>
      <c r="O526" s="38">
        <f>IFERROR(VLOOKUP(A:A,[2]Sheet1!$A:$B,2,0),)</f>
        <v>10</v>
      </c>
      <c r="P526" s="38">
        <f>IFERROR(VLOOKUP(A:A,[2]Sheet1!$A:$B,2,0),)</f>
        <v>10</v>
      </c>
      <c r="Q526" s="38">
        <f t="shared" si="8"/>
        <v>0</v>
      </c>
      <c r="R526" s="38"/>
      <c r="S526" s="38"/>
    </row>
    <row r="527" spans="1:19" hidden="1" x14ac:dyDescent="0.25">
      <c r="A527" s="38" t="str">
        <f>F527&amp;C527</f>
        <v>C04440064164</v>
      </c>
      <c r="B527" s="38" t="str">
        <f>IF(J527&gt;=SUMIFS(E:E,C:C,C527),"Good to go","Short in Qty")</f>
        <v>Good to go</v>
      </c>
      <c r="C527" s="40">
        <v>40064164</v>
      </c>
      <c r="D527" s="40" t="s">
        <v>575</v>
      </c>
      <c r="E527" s="66">
        <v>10</v>
      </c>
      <c r="F527" s="38" t="s">
        <v>191</v>
      </c>
      <c r="G527" s="40"/>
      <c r="H527" s="38" t="s">
        <v>594</v>
      </c>
      <c r="I527" s="38" t="s">
        <v>595</v>
      </c>
      <c r="J527" s="38">
        <f>IFERROR(VLOOKUP(C:C,'[1]S&amp;S'!$B:$F,5,0),)</f>
        <v>29</v>
      </c>
      <c r="K527" s="38">
        <f>IFERROR(VLOOKUP(A:A,[1]APO!$A:$F,6,0),)</f>
        <v>0</v>
      </c>
      <c r="L527" s="38">
        <f>IFERROR(VLOOKUP(C:C,'[1]TOTAL APO'!$A:$B,2,0),)</f>
        <v>0</v>
      </c>
      <c r="M527" s="38">
        <f>IFERROR(VLOOKUP(A:A,[1]Short!$A:$Q,17,0),)</f>
        <v>0</v>
      </c>
      <c r="N527" s="38">
        <f>IFERROR(VLOOKUP(C:C,[1]GIT!$B:$D,3,0),)</f>
        <v>0</v>
      </c>
      <c r="O527" s="38">
        <f>IFERROR(VLOOKUP(A:A,[2]Sheet1!$A:$B,2,0),)</f>
        <v>0</v>
      </c>
      <c r="P527" s="38">
        <f>IFERROR(VLOOKUP(A:A,[2]Sheet1!$A:$B,2,0),)</f>
        <v>0</v>
      </c>
      <c r="Q527" s="38">
        <f t="shared" si="8"/>
        <v>10</v>
      </c>
      <c r="R527" s="38"/>
      <c r="S527" s="38"/>
    </row>
    <row r="528" spans="1:19" hidden="1" x14ac:dyDescent="0.25">
      <c r="A528" s="38" t="str">
        <f>F528&amp;C528</f>
        <v>C04840062328</v>
      </c>
      <c r="B528" s="38" t="str">
        <f>IF(J528&gt;=SUMIFS(E:E,C:C,C528),"Good to go","Short in Qty")</f>
        <v>Good to go</v>
      </c>
      <c r="C528" s="40">
        <v>40062328</v>
      </c>
      <c r="D528" s="40" t="s">
        <v>329</v>
      </c>
      <c r="E528" s="66">
        <v>4</v>
      </c>
      <c r="F528" s="38" t="s">
        <v>8</v>
      </c>
      <c r="G528" s="40" t="s">
        <v>467</v>
      </c>
      <c r="H528" s="38" t="s">
        <v>151</v>
      </c>
      <c r="I528" s="38" t="s">
        <v>369</v>
      </c>
      <c r="J528" s="38">
        <f>IFERROR(VLOOKUP(C:C,'[1]S&amp;S'!$B:$F,5,0),)</f>
        <v>103</v>
      </c>
      <c r="K528" s="38">
        <f>IFERROR(VLOOKUP(A:A,[1]APO!$A:$F,6,0),)</f>
        <v>0</v>
      </c>
      <c r="L528" s="38">
        <f>IFERROR(VLOOKUP(C:C,'[1]TOTAL APO'!$A:$B,2,0),)</f>
        <v>0</v>
      </c>
      <c r="M528" s="38">
        <f>IFERROR(VLOOKUP(A:A,[1]Short!$A:$Q,17,0),)</f>
        <v>0</v>
      </c>
      <c r="N528" s="38">
        <f>IFERROR(VLOOKUP(C:C,[1]GIT!$B:$D,3,0),)</f>
        <v>3</v>
      </c>
      <c r="O528" s="38">
        <f>IFERROR(VLOOKUP(A:A,[2]Sheet1!$A:$B,2,0),)</f>
        <v>4</v>
      </c>
      <c r="P528" s="38">
        <f>IFERROR(VLOOKUP(A:A,[2]Sheet1!$A:$B,2,0),)</f>
        <v>4</v>
      </c>
      <c r="Q528" s="38">
        <f t="shared" si="8"/>
        <v>0</v>
      </c>
      <c r="R528" s="38"/>
      <c r="S528" s="38"/>
    </row>
    <row r="529" spans="1:19" hidden="1" x14ac:dyDescent="0.25">
      <c r="A529" s="38" t="str">
        <f>F529&amp;C529</f>
        <v>C13140063967</v>
      </c>
      <c r="B529" s="38" t="str">
        <f>IF(J529&gt;=SUMIFS(E:E,C:C,C529),"Good to go","Short in Qty")</f>
        <v>Good to go</v>
      </c>
      <c r="C529" s="40">
        <v>40063967</v>
      </c>
      <c r="D529" s="40" t="s">
        <v>239</v>
      </c>
      <c r="E529" s="66">
        <v>100</v>
      </c>
      <c r="F529" s="38" t="s">
        <v>17</v>
      </c>
      <c r="G529" s="40" t="s">
        <v>467</v>
      </c>
      <c r="H529" s="38" t="s">
        <v>594</v>
      </c>
      <c r="I529" s="38" t="s">
        <v>595</v>
      </c>
      <c r="J529" s="38">
        <f>IFERROR(VLOOKUP(C:C,'[1]S&amp;S'!$B:$F,5,0),)</f>
        <v>570</v>
      </c>
      <c r="K529" s="38">
        <f>IFERROR(VLOOKUP(A:A,[1]APO!$A:$F,6,0),)</f>
        <v>0</v>
      </c>
      <c r="L529" s="38">
        <f>IFERROR(VLOOKUP(C:C,'[1]TOTAL APO'!$A:$B,2,0),)</f>
        <v>0</v>
      </c>
      <c r="M529" s="38">
        <f>IFERROR(VLOOKUP(A:A,[1]Short!$A:$Q,17,0),)</f>
        <v>0</v>
      </c>
      <c r="N529" s="38">
        <f>IFERROR(VLOOKUP(C:C,[1]GIT!$B:$D,3,0),)</f>
        <v>0</v>
      </c>
      <c r="O529" s="38">
        <f>IFERROR(VLOOKUP(A:A,[2]Sheet1!$A:$B,2,0),)</f>
        <v>100</v>
      </c>
      <c r="P529" s="38">
        <f>IFERROR(VLOOKUP(A:A,[2]Sheet1!$A:$B,2,0),)</f>
        <v>100</v>
      </c>
      <c r="Q529" s="38">
        <f t="shared" si="8"/>
        <v>0</v>
      </c>
      <c r="R529" s="38"/>
      <c r="S529" s="38"/>
    </row>
    <row r="530" spans="1:19" x14ac:dyDescent="0.25">
      <c r="A530" s="38" t="str">
        <f>F530&amp;C530</f>
        <v>C04340063604</v>
      </c>
      <c r="B530" s="38" t="str">
        <f>IF(J530&gt;=SUMIFS(E:E,C:C,C530),"Good to go","Short in Qty")</f>
        <v>Good to go</v>
      </c>
      <c r="C530" s="40">
        <v>40063604</v>
      </c>
      <c r="D530" s="40" t="s">
        <v>282</v>
      </c>
      <c r="E530" s="66">
        <v>18</v>
      </c>
      <c r="F530" s="38" t="s">
        <v>11</v>
      </c>
      <c r="G530" s="40" t="s">
        <v>467</v>
      </c>
      <c r="H530" s="38" t="s">
        <v>9</v>
      </c>
      <c r="I530" s="38" t="s">
        <v>530</v>
      </c>
      <c r="J530" s="38">
        <f>IFERROR(VLOOKUP(C:C,'[1]S&amp;S'!$B:$F,5,0),)</f>
        <v>200</v>
      </c>
      <c r="K530" s="38">
        <f>IFERROR(VLOOKUP(A:A,[1]APO!$A:$F,6,0),)</f>
        <v>0</v>
      </c>
      <c r="L530" s="38">
        <f>IFERROR(VLOOKUP(C:C,'[1]TOTAL APO'!$A:$B,2,0),)</f>
        <v>0</v>
      </c>
      <c r="M530" s="38">
        <f>IFERROR(VLOOKUP(A:A,[1]Short!$A:$Q,17,0),)</f>
        <v>0</v>
      </c>
      <c r="N530" s="38">
        <f>IFERROR(VLOOKUP(C:C,[1]GIT!$B:$D,3,0),)</f>
        <v>0</v>
      </c>
      <c r="O530" s="38">
        <f>IFERROR(VLOOKUP(A:A,[2]Sheet1!$A:$B,2,0),)</f>
        <v>15</v>
      </c>
      <c r="P530" s="38">
        <f>IFERROR(VLOOKUP(A:A,[2]Sheet1!$A:$B,2,0),)</f>
        <v>15</v>
      </c>
      <c r="Q530" s="38">
        <f t="shared" si="8"/>
        <v>3</v>
      </c>
      <c r="R530" s="38"/>
      <c r="S530" s="38"/>
    </row>
    <row r="531" spans="1:19" hidden="1" x14ac:dyDescent="0.25">
      <c r="A531" s="38" t="str">
        <f>F531&amp;C531</f>
        <v>C04640043584</v>
      </c>
      <c r="B531" s="38" t="str">
        <f>IF(J531&gt;=SUMIFS(E:E,C:C,C531),"Good to go","Short in Qty")</f>
        <v>Good to go</v>
      </c>
      <c r="C531" s="40">
        <v>40043584</v>
      </c>
      <c r="D531" s="40" t="s">
        <v>242</v>
      </c>
      <c r="E531" s="66">
        <v>10</v>
      </c>
      <c r="F531" s="38" t="s">
        <v>13</v>
      </c>
      <c r="G531" s="40"/>
      <c r="H531" s="38" t="s">
        <v>594</v>
      </c>
      <c r="I531" s="38" t="s">
        <v>595</v>
      </c>
      <c r="J531" s="38">
        <f>IFERROR(VLOOKUP(C:C,'[1]S&amp;S'!$B:$F,5,0),)</f>
        <v>1145</v>
      </c>
      <c r="K531" s="38">
        <f>IFERROR(VLOOKUP(A:A,[1]APO!$A:$F,6,0),)</f>
        <v>0</v>
      </c>
      <c r="L531" s="38">
        <f>IFERROR(VLOOKUP(C:C,'[1]TOTAL APO'!$A:$B,2,0),)</f>
        <v>0</v>
      </c>
      <c r="M531" s="38">
        <f>IFERROR(VLOOKUP(A:A,[1]Short!$A:$Q,17,0),)</f>
        <v>0</v>
      </c>
      <c r="N531" s="38">
        <f>IFERROR(VLOOKUP(C:C,[1]GIT!$B:$D,3,0),)</f>
        <v>228</v>
      </c>
      <c r="O531" s="38">
        <f>IFERROR(VLOOKUP(A:A,[2]Sheet1!$A:$B,2,0),)</f>
        <v>0</v>
      </c>
      <c r="P531" s="38">
        <f>IFERROR(VLOOKUP(A:A,[2]Sheet1!$A:$B,2,0),)</f>
        <v>0</v>
      </c>
      <c r="Q531" s="38">
        <f t="shared" si="8"/>
        <v>10</v>
      </c>
      <c r="R531" s="38"/>
      <c r="S531" s="38"/>
    </row>
    <row r="532" spans="1:19" hidden="1" x14ac:dyDescent="0.25">
      <c r="A532" s="38" t="str">
        <f>F532&amp;C532</f>
        <v>C04740043584</v>
      </c>
      <c r="B532" s="38" t="str">
        <f>IF(J532&gt;=SUMIFS(E:E,C:C,C532),"Good to go","Short in Qty")</f>
        <v>Good to go</v>
      </c>
      <c r="C532" s="40">
        <v>40043584</v>
      </c>
      <c r="D532" s="40" t="s">
        <v>242</v>
      </c>
      <c r="E532" s="66">
        <v>5</v>
      </c>
      <c r="F532" s="38" t="s">
        <v>192</v>
      </c>
      <c r="G532" s="40"/>
      <c r="H532" s="38" t="s">
        <v>594</v>
      </c>
      <c r="I532" s="38" t="s">
        <v>595</v>
      </c>
      <c r="J532" s="38">
        <f>IFERROR(VLOOKUP(C:C,'[1]S&amp;S'!$B:$F,5,0),)</f>
        <v>1145</v>
      </c>
      <c r="K532" s="38">
        <f>IFERROR(VLOOKUP(A:A,[1]APO!$A:$F,6,0),)</f>
        <v>0</v>
      </c>
      <c r="L532" s="38">
        <f>IFERROR(VLOOKUP(C:C,'[1]TOTAL APO'!$A:$B,2,0),)</f>
        <v>0</v>
      </c>
      <c r="M532" s="38">
        <f>IFERROR(VLOOKUP(A:A,[1]Short!$A:$Q,17,0),)</f>
        <v>0</v>
      </c>
      <c r="N532" s="38">
        <f>IFERROR(VLOOKUP(C:C,[1]GIT!$B:$D,3,0),)</f>
        <v>228</v>
      </c>
      <c r="O532" s="38">
        <f>IFERROR(VLOOKUP(A:A,[2]Sheet1!$A:$B,2,0),)</f>
        <v>0</v>
      </c>
      <c r="P532" s="38">
        <f>IFERROR(VLOOKUP(A:A,[2]Sheet1!$A:$B,2,0),)</f>
        <v>0</v>
      </c>
      <c r="Q532" s="38">
        <f t="shared" si="8"/>
        <v>5</v>
      </c>
      <c r="R532" s="38"/>
      <c r="S532" s="38"/>
    </row>
    <row r="533" spans="1:19" hidden="1" x14ac:dyDescent="0.25">
      <c r="A533" s="38" t="str">
        <f>F533&amp;C533</f>
        <v>C04840059477</v>
      </c>
      <c r="B533" s="38" t="str">
        <f>IF(J533&gt;=SUMIFS(E:E,C:C,C533),"Good to go","Short in Qty")</f>
        <v>Good to go</v>
      </c>
      <c r="C533" s="40">
        <v>40059477</v>
      </c>
      <c r="D533" s="40" t="s">
        <v>330</v>
      </c>
      <c r="E533" s="66">
        <v>1</v>
      </c>
      <c r="F533" s="38" t="s">
        <v>8</v>
      </c>
      <c r="G533" s="40" t="s">
        <v>467</v>
      </c>
      <c r="H533" s="38" t="s">
        <v>151</v>
      </c>
      <c r="I533" s="38" t="s">
        <v>369</v>
      </c>
      <c r="J533" s="38">
        <f>IFERROR(VLOOKUP(C:C,'[1]S&amp;S'!$B:$F,5,0),)</f>
        <v>1</v>
      </c>
      <c r="K533" s="38">
        <f>IFERROR(VLOOKUP(A:A,[1]APO!$A:$F,6,0),)</f>
        <v>0</v>
      </c>
      <c r="L533" s="38">
        <f>IFERROR(VLOOKUP(C:C,'[1]TOTAL APO'!$A:$B,2,0),)</f>
        <v>0</v>
      </c>
      <c r="M533" s="38">
        <f>IFERROR(VLOOKUP(A:A,[1]Short!$A:$Q,17,0),)</f>
        <v>0</v>
      </c>
      <c r="N533" s="38">
        <f>IFERROR(VLOOKUP(C:C,[1]GIT!$B:$D,3,0),)</f>
        <v>0</v>
      </c>
      <c r="O533" s="38">
        <f>IFERROR(VLOOKUP(A:A,[2]Sheet1!$A:$B,2,0),)</f>
        <v>1</v>
      </c>
      <c r="P533" s="38">
        <f>IFERROR(VLOOKUP(A:A,[2]Sheet1!$A:$B,2,0),)</f>
        <v>1</v>
      </c>
      <c r="Q533" s="38">
        <f t="shared" si="8"/>
        <v>0</v>
      </c>
      <c r="R533" s="38"/>
      <c r="S533" s="38"/>
    </row>
    <row r="534" spans="1:19" hidden="1" x14ac:dyDescent="0.25">
      <c r="A534" s="38" t="str">
        <f>F534&amp;C534</f>
        <v>C04240063604</v>
      </c>
      <c r="B534" s="38" t="str">
        <f>IF(J534&gt;=SUMIFS(E:E,C:C,C534),"Good to go","Short in Qty")</f>
        <v>Good to go</v>
      </c>
      <c r="C534" s="40">
        <v>40063604</v>
      </c>
      <c r="D534" s="40" t="s">
        <v>282</v>
      </c>
      <c r="E534" s="66">
        <v>182</v>
      </c>
      <c r="F534" s="38" t="s">
        <v>10</v>
      </c>
      <c r="G534" s="40" t="s">
        <v>467</v>
      </c>
      <c r="H534" s="38" t="s">
        <v>84</v>
      </c>
      <c r="I534" s="38" t="s">
        <v>620</v>
      </c>
      <c r="J534" s="38">
        <f>IFERROR(VLOOKUP(C:C,'[1]S&amp;S'!$B:$F,5,0),)</f>
        <v>200</v>
      </c>
      <c r="K534" s="38">
        <f>IFERROR(VLOOKUP(A:A,[1]APO!$A:$F,6,0),)</f>
        <v>0</v>
      </c>
      <c r="L534" s="38">
        <f>IFERROR(VLOOKUP(C:C,'[1]TOTAL APO'!$A:$B,2,0),)</f>
        <v>0</v>
      </c>
      <c r="M534" s="38">
        <f>IFERROR(VLOOKUP(A:A,[1]Short!$A:$Q,17,0),)</f>
        <v>0</v>
      </c>
      <c r="N534" s="38">
        <f>IFERROR(VLOOKUP(C:C,[1]GIT!$B:$D,3,0),)</f>
        <v>0</v>
      </c>
      <c r="O534" s="38">
        <f>IFERROR(VLOOKUP(A:A,[2]Sheet1!$A:$B,2,0),)</f>
        <v>181</v>
      </c>
      <c r="P534" s="38">
        <f>IFERROR(VLOOKUP(A:A,[2]Sheet1!$A:$B,2,0),)</f>
        <v>181</v>
      </c>
      <c r="Q534" s="38">
        <f t="shared" si="8"/>
        <v>1</v>
      </c>
      <c r="R534" s="38"/>
      <c r="S534" s="38"/>
    </row>
    <row r="535" spans="1:19" hidden="1" x14ac:dyDescent="0.25">
      <c r="A535" s="38" t="str">
        <f>F535&amp;C535</f>
        <v>C04340063606</v>
      </c>
      <c r="B535" s="38" t="str">
        <f>IF(J535&gt;=SUMIFS(E:E,C:C,C535),"Good to go","Short in Qty")</f>
        <v>Good to go</v>
      </c>
      <c r="C535" s="40">
        <v>40063606</v>
      </c>
      <c r="D535" s="40" t="s">
        <v>438</v>
      </c>
      <c r="E535" s="68">
        <v>10</v>
      </c>
      <c r="F535" s="38" t="s">
        <v>11</v>
      </c>
      <c r="G535" s="40" t="s">
        <v>467</v>
      </c>
      <c r="H535" s="38" t="s">
        <v>248</v>
      </c>
      <c r="I535" s="38" t="s">
        <v>457</v>
      </c>
      <c r="J535" s="38">
        <f>IFERROR(VLOOKUP(C:C,'[1]S&amp;S'!$B:$F,5,0),)</f>
        <v>20</v>
      </c>
      <c r="K535" s="38">
        <f>IFERROR(VLOOKUP(A:A,[1]APO!$A:$F,6,0),)</f>
        <v>0</v>
      </c>
      <c r="L535" s="38">
        <f>IFERROR(VLOOKUP(C:C,'[1]TOTAL APO'!$A:$B,2,0),)</f>
        <v>0</v>
      </c>
      <c r="M535" s="38">
        <f>IFERROR(VLOOKUP(A:A,[1]Short!$A:$Q,17,0),)</f>
        <v>0</v>
      </c>
      <c r="N535" s="38">
        <f>IFERROR(VLOOKUP(C:C,[1]GIT!$B:$D,3,0),)</f>
        <v>0</v>
      </c>
      <c r="O535" s="38">
        <f>IFERROR(VLOOKUP(A:A,[2]Sheet1!$A:$B,2,0),)</f>
        <v>10</v>
      </c>
      <c r="P535" s="38">
        <f>IFERROR(VLOOKUP(A:A,[2]Sheet1!$A:$B,2,0),)</f>
        <v>10</v>
      </c>
      <c r="Q535" s="38">
        <f t="shared" si="8"/>
        <v>0</v>
      </c>
      <c r="R535" s="38"/>
      <c r="S535" s="38"/>
    </row>
    <row r="536" spans="1:19" hidden="1" x14ac:dyDescent="0.25">
      <c r="A536" s="38" t="str">
        <f>F536&amp;C536</f>
        <v>C04240063606</v>
      </c>
      <c r="B536" s="38" t="str">
        <f>IF(J536&gt;=SUMIFS(E:E,C:C,C536),"Good to go","Short in Qty")</f>
        <v>Good to go</v>
      </c>
      <c r="C536" s="40">
        <v>40063606</v>
      </c>
      <c r="D536" s="40" t="s">
        <v>438</v>
      </c>
      <c r="E536" s="66">
        <v>10</v>
      </c>
      <c r="F536" s="38" t="s">
        <v>10</v>
      </c>
      <c r="G536" s="40" t="s">
        <v>467</v>
      </c>
      <c r="H536" s="38" t="s">
        <v>84</v>
      </c>
      <c r="I536" s="38" t="s">
        <v>620</v>
      </c>
      <c r="J536" s="38">
        <f>IFERROR(VLOOKUP(C:C,'[1]S&amp;S'!$B:$F,5,0),)</f>
        <v>20</v>
      </c>
      <c r="K536" s="38">
        <f>IFERROR(VLOOKUP(A:A,[1]APO!$A:$F,6,0),)</f>
        <v>0</v>
      </c>
      <c r="L536" s="38">
        <f>IFERROR(VLOOKUP(C:C,'[1]TOTAL APO'!$A:$B,2,0),)</f>
        <v>0</v>
      </c>
      <c r="M536" s="38">
        <f>IFERROR(VLOOKUP(A:A,[1]Short!$A:$Q,17,0),)</f>
        <v>0</v>
      </c>
      <c r="N536" s="38">
        <f>IFERROR(VLOOKUP(C:C,[1]GIT!$B:$D,3,0),)</f>
        <v>0</v>
      </c>
      <c r="O536" s="38">
        <f>IFERROR(VLOOKUP(A:A,[2]Sheet1!$A:$B,2,0),)</f>
        <v>10</v>
      </c>
      <c r="P536" s="38">
        <f>IFERROR(VLOOKUP(A:A,[2]Sheet1!$A:$B,2,0),)</f>
        <v>10</v>
      </c>
      <c r="Q536" s="38">
        <f t="shared" si="8"/>
        <v>0</v>
      </c>
      <c r="R536" s="38"/>
      <c r="S536" s="38"/>
    </row>
    <row r="537" spans="1:19" x14ac:dyDescent="0.25">
      <c r="A537" s="38" t="str">
        <f>F537&amp;C537</f>
        <v>C04740063614</v>
      </c>
      <c r="B537" s="38" t="str">
        <f>IF(J537&gt;=SUMIFS(E:E,C:C,C537),"Good to go","Short in Qty")</f>
        <v>Good to go</v>
      </c>
      <c r="C537" s="40">
        <v>40063614</v>
      </c>
      <c r="D537" s="40" t="s">
        <v>442</v>
      </c>
      <c r="E537" s="68">
        <v>10</v>
      </c>
      <c r="F537" s="38" t="s">
        <v>192</v>
      </c>
      <c r="G537" s="40"/>
      <c r="H537" s="38" t="s">
        <v>248</v>
      </c>
      <c r="I537" s="38" t="s">
        <v>457</v>
      </c>
      <c r="J537" s="38">
        <f>IFERROR(VLOOKUP(C:C,'[1]S&amp;S'!$B:$F,5,0),)</f>
        <v>378</v>
      </c>
      <c r="K537" s="38">
        <f>IFERROR(VLOOKUP(A:A,[1]APO!$A:$F,6,0),)</f>
        <v>0</v>
      </c>
      <c r="L537" s="38">
        <f>IFERROR(VLOOKUP(C:C,'[1]TOTAL APO'!$A:$B,2,0),)</f>
        <v>0</v>
      </c>
      <c r="M537" s="38">
        <f>IFERROR(VLOOKUP(A:A,[1]Short!$A:$Q,17,0),)</f>
        <v>0</v>
      </c>
      <c r="N537" s="38">
        <f>IFERROR(VLOOKUP(C:C,[1]GIT!$B:$D,3,0),)</f>
        <v>0</v>
      </c>
      <c r="O537" s="38">
        <f>IFERROR(VLOOKUP(A:A,[2]Sheet1!$A:$B,2,0),)</f>
        <v>0</v>
      </c>
      <c r="P537" s="38">
        <f>IFERROR(VLOOKUP(A:A,[2]Sheet1!$A:$B,2,0),)</f>
        <v>0</v>
      </c>
      <c r="Q537" s="38">
        <f t="shared" si="8"/>
        <v>10</v>
      </c>
      <c r="R537" s="38"/>
      <c r="S537" s="38"/>
    </row>
    <row r="538" spans="1:19" hidden="1" x14ac:dyDescent="0.25">
      <c r="A538" s="38" t="str">
        <f>F538&amp;C538</f>
        <v>C04440061030</v>
      </c>
      <c r="B538" s="38" t="str">
        <f>IF(J538&gt;=SUMIFS(E:E,C:C,C538),"Good to go","Short in Qty")</f>
        <v>Good to go</v>
      </c>
      <c r="C538" s="40">
        <v>40061030</v>
      </c>
      <c r="D538" s="40" t="s">
        <v>577</v>
      </c>
      <c r="E538" s="66">
        <v>3</v>
      </c>
      <c r="F538" s="38" t="s">
        <v>191</v>
      </c>
      <c r="G538" s="40"/>
      <c r="H538" s="38" t="s">
        <v>594</v>
      </c>
      <c r="I538" s="38" t="s">
        <v>595</v>
      </c>
      <c r="J538" s="38">
        <f>IFERROR(VLOOKUP(C:C,'[1]S&amp;S'!$B:$F,5,0),)</f>
        <v>62</v>
      </c>
      <c r="K538" s="38">
        <f>IFERROR(VLOOKUP(A:A,[1]APO!$A:$F,6,0),)</f>
        <v>0</v>
      </c>
      <c r="L538" s="38">
        <f>IFERROR(VLOOKUP(C:C,'[1]TOTAL APO'!$A:$B,2,0),)</f>
        <v>0</v>
      </c>
      <c r="M538" s="38">
        <f>IFERROR(VLOOKUP(A:A,[1]Short!$A:$Q,17,0),)</f>
        <v>0</v>
      </c>
      <c r="N538" s="38">
        <f>IFERROR(VLOOKUP(C:C,[1]GIT!$B:$D,3,0),)</f>
        <v>0</v>
      </c>
      <c r="O538" s="38">
        <f>IFERROR(VLOOKUP(A:A,[2]Sheet1!$A:$B,2,0),)</f>
        <v>0</v>
      </c>
      <c r="P538" s="38">
        <f>IFERROR(VLOOKUP(A:A,[2]Sheet1!$A:$B,2,0),)</f>
        <v>0</v>
      </c>
      <c r="Q538" s="38">
        <f t="shared" si="8"/>
        <v>3</v>
      </c>
      <c r="R538" s="38"/>
      <c r="S538" s="38"/>
    </row>
    <row r="539" spans="1:19" hidden="1" x14ac:dyDescent="0.25">
      <c r="A539" s="38" t="str">
        <f>F539&amp;C539</f>
        <v>C04640061030</v>
      </c>
      <c r="B539" s="38" t="str">
        <f>IF(J539&gt;=SUMIFS(E:E,C:C,C539),"Good to go","Short in Qty")</f>
        <v>Good to go</v>
      </c>
      <c r="C539" s="40">
        <v>40061030</v>
      </c>
      <c r="D539" s="40" t="s">
        <v>577</v>
      </c>
      <c r="E539" s="66">
        <v>3</v>
      </c>
      <c r="F539" s="38" t="s">
        <v>13</v>
      </c>
      <c r="G539" s="40"/>
      <c r="H539" s="38" t="s">
        <v>594</v>
      </c>
      <c r="I539" s="38" t="s">
        <v>595</v>
      </c>
      <c r="J539" s="38">
        <f>IFERROR(VLOOKUP(C:C,'[1]S&amp;S'!$B:$F,5,0),)</f>
        <v>62</v>
      </c>
      <c r="K539" s="38">
        <f>IFERROR(VLOOKUP(A:A,[1]APO!$A:$F,6,0),)</f>
        <v>0</v>
      </c>
      <c r="L539" s="38">
        <f>IFERROR(VLOOKUP(C:C,'[1]TOTAL APO'!$A:$B,2,0),)</f>
        <v>0</v>
      </c>
      <c r="M539" s="38">
        <f>IFERROR(VLOOKUP(A:A,[1]Short!$A:$Q,17,0),)</f>
        <v>0</v>
      </c>
      <c r="N539" s="38">
        <f>IFERROR(VLOOKUP(C:C,[1]GIT!$B:$D,3,0),)</f>
        <v>0</v>
      </c>
      <c r="O539" s="38">
        <f>IFERROR(VLOOKUP(A:A,[2]Sheet1!$A:$B,2,0),)</f>
        <v>0</v>
      </c>
      <c r="P539" s="38">
        <f>IFERROR(VLOOKUP(A:A,[2]Sheet1!$A:$B,2,0),)</f>
        <v>0</v>
      </c>
      <c r="Q539" s="38">
        <f t="shared" si="8"/>
        <v>3</v>
      </c>
      <c r="R539" s="38"/>
      <c r="S539" s="38"/>
    </row>
    <row r="540" spans="1:19" hidden="1" x14ac:dyDescent="0.25">
      <c r="A540" s="38" t="str">
        <f>F540&amp;C540</f>
        <v>C11140063614</v>
      </c>
      <c r="B540" s="38" t="str">
        <f>IF(J540&gt;=SUMIFS(E:E,C:C,C540),"Good to go","Short in Qty")</f>
        <v>Good to go</v>
      </c>
      <c r="C540" s="40">
        <v>40063614</v>
      </c>
      <c r="D540" s="40" t="s">
        <v>442</v>
      </c>
      <c r="E540" s="66">
        <v>23</v>
      </c>
      <c r="F540" s="38" t="s">
        <v>16</v>
      </c>
      <c r="G540" s="40" t="s">
        <v>596</v>
      </c>
      <c r="H540" s="38" t="s">
        <v>594</v>
      </c>
      <c r="I540" s="38" t="s">
        <v>595</v>
      </c>
      <c r="J540" s="38">
        <f>IFERROR(VLOOKUP(C:C,'[1]S&amp;S'!$B:$F,5,0),)</f>
        <v>378</v>
      </c>
      <c r="K540" s="38">
        <f>IFERROR(VLOOKUP(A:A,[1]APO!$A:$F,6,0),)</f>
        <v>0</v>
      </c>
      <c r="L540" s="38">
        <f>IFERROR(VLOOKUP(C:C,'[1]TOTAL APO'!$A:$B,2,0),)</f>
        <v>0</v>
      </c>
      <c r="M540" s="38">
        <f>IFERROR(VLOOKUP(A:A,[1]Short!$A:$Q,17,0),)</f>
        <v>0</v>
      </c>
      <c r="N540" s="38">
        <f>IFERROR(VLOOKUP(C:C,[1]GIT!$B:$D,3,0),)</f>
        <v>0</v>
      </c>
      <c r="O540" s="38">
        <f>IFERROR(VLOOKUP(A:A,[2]Sheet1!$A:$B,2,0),)</f>
        <v>0</v>
      </c>
      <c r="P540" s="38">
        <f>IFERROR(VLOOKUP(A:A,[2]Sheet1!$A:$B,2,0),)</f>
        <v>0</v>
      </c>
      <c r="Q540" s="38">
        <f t="shared" si="8"/>
        <v>23</v>
      </c>
      <c r="R540" s="38"/>
      <c r="S540" s="38"/>
    </row>
    <row r="541" spans="1:19" hidden="1" x14ac:dyDescent="0.25">
      <c r="A541" s="38" t="str">
        <f>F541&amp;C541</f>
        <v>C04440063614</v>
      </c>
      <c r="B541" s="38" t="str">
        <f>IF(J541&gt;=SUMIFS(E:E,C:C,C541),"Good to go","Short in Qty")</f>
        <v>Good to go</v>
      </c>
      <c r="C541" s="40">
        <v>40063614</v>
      </c>
      <c r="D541" s="40" t="s">
        <v>442</v>
      </c>
      <c r="E541" s="66">
        <v>80</v>
      </c>
      <c r="F541" s="38" t="s">
        <v>191</v>
      </c>
      <c r="G541" s="40" t="s">
        <v>596</v>
      </c>
      <c r="H541" s="38" t="s">
        <v>594</v>
      </c>
      <c r="I541" s="38" t="s">
        <v>595</v>
      </c>
      <c r="J541" s="38">
        <f>IFERROR(VLOOKUP(C:C,'[1]S&amp;S'!$B:$F,5,0),)</f>
        <v>378</v>
      </c>
      <c r="K541" s="38">
        <f>IFERROR(VLOOKUP(A:A,[1]APO!$A:$F,6,0),)</f>
        <v>0</v>
      </c>
      <c r="L541" s="38">
        <f>IFERROR(VLOOKUP(C:C,'[1]TOTAL APO'!$A:$B,2,0),)</f>
        <v>0</v>
      </c>
      <c r="M541" s="38">
        <f>IFERROR(VLOOKUP(A:A,[1]Short!$A:$Q,17,0),)</f>
        <v>0</v>
      </c>
      <c r="N541" s="38">
        <f>IFERROR(VLOOKUP(C:C,[1]GIT!$B:$D,3,0),)</f>
        <v>0</v>
      </c>
      <c r="O541" s="38">
        <f>IFERROR(VLOOKUP(A:A,[2]Sheet1!$A:$B,2,0),)</f>
        <v>0</v>
      </c>
      <c r="P541" s="38">
        <f>IFERROR(VLOOKUP(A:A,[2]Sheet1!$A:$B,2,0),)</f>
        <v>0</v>
      </c>
      <c r="Q541" s="38">
        <f t="shared" si="8"/>
        <v>80</v>
      </c>
      <c r="R541" s="38"/>
      <c r="S541" s="38"/>
    </row>
    <row r="542" spans="1:19" hidden="1" x14ac:dyDescent="0.25">
      <c r="A542" s="38" t="str">
        <f>F542&amp;C542</f>
        <v>C04240063614</v>
      </c>
      <c r="B542" s="38" t="str">
        <f>IF(J542&gt;=SUMIFS(E:E,C:C,C542),"Good to go","Short in Qty")</f>
        <v>Good to go</v>
      </c>
      <c r="C542" s="40">
        <v>40063614</v>
      </c>
      <c r="D542" s="40" t="s">
        <v>442</v>
      </c>
      <c r="E542" s="66">
        <v>50</v>
      </c>
      <c r="F542" s="38" t="s">
        <v>10</v>
      </c>
      <c r="G542" s="40" t="s">
        <v>467</v>
      </c>
      <c r="H542" s="38" t="s">
        <v>465</v>
      </c>
      <c r="I542" s="38" t="s">
        <v>466</v>
      </c>
      <c r="J542" s="38">
        <f>IFERROR(VLOOKUP(C:C,'[1]S&amp;S'!$B:$F,5,0),)</f>
        <v>378</v>
      </c>
      <c r="K542" s="38">
        <f>IFERROR(VLOOKUP(A:A,[1]APO!$A:$F,6,0),)</f>
        <v>0</v>
      </c>
      <c r="L542" s="38">
        <f>IFERROR(VLOOKUP(C:C,'[1]TOTAL APO'!$A:$B,2,0),)</f>
        <v>0</v>
      </c>
      <c r="M542" s="38">
        <f>IFERROR(VLOOKUP(A:A,[1]Short!$A:$Q,17,0),)</f>
        <v>0</v>
      </c>
      <c r="N542" s="38">
        <f>IFERROR(VLOOKUP(C:C,[1]GIT!$B:$D,3,0),)</f>
        <v>0</v>
      </c>
      <c r="O542" s="38">
        <f>IFERROR(VLOOKUP(A:A,[2]Sheet1!$A:$B,2,0),)</f>
        <v>50</v>
      </c>
      <c r="P542" s="38">
        <f>IFERROR(VLOOKUP(A:A,[2]Sheet1!$A:$B,2,0),)</f>
        <v>50</v>
      </c>
      <c r="Q542" s="38">
        <f t="shared" si="8"/>
        <v>0</v>
      </c>
      <c r="R542" s="38"/>
      <c r="S542" s="38"/>
    </row>
    <row r="543" spans="1:19" hidden="1" x14ac:dyDescent="0.25">
      <c r="A543" s="38" t="str">
        <f>F543&amp;C543</f>
        <v>C04340064377</v>
      </c>
      <c r="B543" s="38" t="str">
        <f>IF(J543&gt;=SUMIFS(E:E,C:C,C543),"Good to go","Short in Qty")</f>
        <v>Good to go</v>
      </c>
      <c r="C543" s="40">
        <v>40064377</v>
      </c>
      <c r="D543" s="40" t="s">
        <v>581</v>
      </c>
      <c r="E543" s="66">
        <v>10</v>
      </c>
      <c r="F543" s="38" t="s">
        <v>11</v>
      </c>
      <c r="G543" s="40" t="s">
        <v>467</v>
      </c>
      <c r="H543" s="38" t="s">
        <v>594</v>
      </c>
      <c r="I543" s="38" t="s">
        <v>595</v>
      </c>
      <c r="J543" s="38">
        <f>IFERROR(VLOOKUP(C:C,'[1]S&amp;S'!$B:$F,5,0),)</f>
        <v>35</v>
      </c>
      <c r="K543" s="38">
        <f>IFERROR(VLOOKUP(A:A,[1]APO!$A:$F,6,0),)</f>
        <v>0</v>
      </c>
      <c r="L543" s="38">
        <f>IFERROR(VLOOKUP(C:C,'[1]TOTAL APO'!$A:$B,2,0),)</f>
        <v>0</v>
      </c>
      <c r="M543" s="38">
        <f>IFERROR(VLOOKUP(A:A,[1]Short!$A:$Q,17,0),)</f>
        <v>0</v>
      </c>
      <c r="N543" s="38">
        <f>IFERROR(VLOOKUP(C:C,[1]GIT!$B:$D,3,0),)</f>
        <v>0</v>
      </c>
      <c r="O543" s="38">
        <f>IFERROR(VLOOKUP(A:A,[2]Sheet1!$A:$B,2,0),)</f>
        <v>10</v>
      </c>
      <c r="P543" s="38">
        <f>IFERROR(VLOOKUP(A:A,[2]Sheet1!$A:$B,2,0),)</f>
        <v>10</v>
      </c>
      <c r="Q543" s="38">
        <f t="shared" si="8"/>
        <v>0</v>
      </c>
      <c r="R543" s="38"/>
      <c r="S543" s="38"/>
    </row>
    <row r="544" spans="1:19" hidden="1" x14ac:dyDescent="0.25">
      <c r="A544" s="38" t="str">
        <f>F544&amp;C544</f>
        <v>C04640063614</v>
      </c>
      <c r="B544" s="38" t="str">
        <f>IF(J544&gt;=SUMIFS(E:E,C:C,C544),"Good to go","Short in Qty")</f>
        <v>Good to go</v>
      </c>
      <c r="C544" s="40">
        <v>40063614</v>
      </c>
      <c r="D544" s="40" t="s">
        <v>442</v>
      </c>
      <c r="E544" s="68">
        <v>115</v>
      </c>
      <c r="F544" s="38" t="s">
        <v>13</v>
      </c>
      <c r="G544" s="40" t="s">
        <v>467</v>
      </c>
      <c r="H544" s="38" t="s">
        <v>248</v>
      </c>
      <c r="I544" s="38" t="s">
        <v>457</v>
      </c>
      <c r="J544" s="38">
        <f>IFERROR(VLOOKUP(C:C,'[1]S&amp;S'!$B:$F,5,0),)</f>
        <v>378</v>
      </c>
      <c r="K544" s="38">
        <f>IFERROR(VLOOKUP(A:A,[1]APO!$A:$F,6,0),)</f>
        <v>0</v>
      </c>
      <c r="L544" s="38">
        <f>IFERROR(VLOOKUP(C:C,'[1]TOTAL APO'!$A:$B,2,0),)</f>
        <v>0</v>
      </c>
      <c r="M544" s="38">
        <f>IFERROR(VLOOKUP(A:A,[1]Short!$A:$Q,17,0),)</f>
        <v>0</v>
      </c>
      <c r="N544" s="38">
        <f>IFERROR(VLOOKUP(C:C,[1]GIT!$B:$D,3,0),)</f>
        <v>0</v>
      </c>
      <c r="O544" s="38">
        <f>IFERROR(VLOOKUP(A:A,[2]Sheet1!$A:$B,2,0),)</f>
        <v>115</v>
      </c>
      <c r="P544" s="38">
        <f>IFERROR(VLOOKUP(A:A,[2]Sheet1!$A:$B,2,0),)</f>
        <v>115</v>
      </c>
      <c r="Q544" s="38">
        <f t="shared" si="8"/>
        <v>0</v>
      </c>
      <c r="R544" s="38"/>
      <c r="S544" s="38"/>
    </row>
    <row r="545" spans="1:19" hidden="1" x14ac:dyDescent="0.25">
      <c r="A545" s="38" t="str">
        <f>F545&amp;C545</f>
        <v>C04340062828</v>
      </c>
      <c r="B545" s="38" t="str">
        <f>IF(J545&gt;=SUMIFS(E:E,C:C,C545),"Good to go","Short in Qty")</f>
        <v>Good to go</v>
      </c>
      <c r="C545" s="40">
        <v>40062828</v>
      </c>
      <c r="D545" s="40" t="s">
        <v>582</v>
      </c>
      <c r="E545" s="66">
        <v>2</v>
      </c>
      <c r="F545" s="38" t="s">
        <v>11</v>
      </c>
      <c r="G545" s="40" t="s">
        <v>467</v>
      </c>
      <c r="H545" s="38" t="s">
        <v>594</v>
      </c>
      <c r="I545" s="38" t="s">
        <v>595</v>
      </c>
      <c r="J545" s="38">
        <f>IFERROR(VLOOKUP(C:C,'[1]S&amp;S'!$B:$F,5,0),)</f>
        <v>10</v>
      </c>
      <c r="K545" s="38">
        <f>IFERROR(VLOOKUP(A:A,[1]APO!$A:$F,6,0),)</f>
        <v>0</v>
      </c>
      <c r="L545" s="38">
        <f>IFERROR(VLOOKUP(C:C,'[1]TOTAL APO'!$A:$B,2,0),)</f>
        <v>0</v>
      </c>
      <c r="M545" s="38">
        <f>IFERROR(VLOOKUP(A:A,[1]Short!$A:$Q,17,0),)</f>
        <v>0</v>
      </c>
      <c r="N545" s="38">
        <f>IFERROR(VLOOKUP(C:C,[1]GIT!$B:$D,3,0),)</f>
        <v>0</v>
      </c>
      <c r="O545" s="38">
        <f>IFERROR(VLOOKUP(A:A,[2]Sheet1!$A:$B,2,0),)</f>
        <v>2</v>
      </c>
      <c r="P545" s="38">
        <f>IFERROR(VLOOKUP(A:A,[2]Sheet1!$A:$B,2,0),)</f>
        <v>2</v>
      </c>
      <c r="Q545" s="38">
        <f t="shared" si="8"/>
        <v>0</v>
      </c>
      <c r="R545" s="38"/>
      <c r="S545" s="38"/>
    </row>
    <row r="546" spans="1:19" hidden="1" x14ac:dyDescent="0.25">
      <c r="A546" s="38" t="str">
        <f>F546&amp;C546</f>
        <v>C04340062859</v>
      </c>
      <c r="B546" s="38" t="str">
        <f>IF(J546&gt;=SUMIFS(E:E,C:C,C546),"Good to go","Short in Qty")</f>
        <v>Good to go</v>
      </c>
      <c r="C546" s="40">
        <v>40062859</v>
      </c>
      <c r="D546" s="40" t="s">
        <v>589</v>
      </c>
      <c r="E546" s="66">
        <v>11</v>
      </c>
      <c r="F546" s="38" t="s">
        <v>11</v>
      </c>
      <c r="G546" s="40" t="s">
        <v>467</v>
      </c>
      <c r="H546" s="38" t="s">
        <v>84</v>
      </c>
      <c r="I546" s="38" t="s">
        <v>620</v>
      </c>
      <c r="J546" s="38">
        <f>IFERROR(VLOOKUP(C:C,'[1]S&amp;S'!$B:$F,5,0),)</f>
        <v>11</v>
      </c>
      <c r="K546" s="38">
        <f>IFERROR(VLOOKUP(A:A,[1]APO!$A:$F,6,0),)</f>
        <v>0</v>
      </c>
      <c r="L546" s="38">
        <f>IFERROR(VLOOKUP(C:C,'[1]TOTAL APO'!$A:$B,2,0),)</f>
        <v>0</v>
      </c>
      <c r="M546" s="38">
        <f>IFERROR(VLOOKUP(A:A,[1]Short!$A:$Q,17,0),)</f>
        <v>0</v>
      </c>
      <c r="N546" s="38">
        <f>IFERROR(VLOOKUP(C:C,[1]GIT!$B:$D,3,0),)</f>
        <v>0</v>
      </c>
      <c r="O546" s="38">
        <f>IFERROR(VLOOKUP(A:A,[2]Sheet1!$A:$B,2,0),)</f>
        <v>11</v>
      </c>
      <c r="P546" s="38">
        <f>IFERROR(VLOOKUP(A:A,[2]Sheet1!$A:$B,2,0),)</f>
        <v>11</v>
      </c>
      <c r="Q546" s="38">
        <f t="shared" si="8"/>
        <v>0</v>
      </c>
      <c r="R546" s="38"/>
      <c r="S546" s="38"/>
    </row>
    <row r="547" spans="1:19" hidden="1" x14ac:dyDescent="0.25">
      <c r="A547" s="38" t="str">
        <f>F547&amp;C547</f>
        <v>C04240063756</v>
      </c>
      <c r="B547" s="38" t="str">
        <f>IF(J547&gt;=SUMIFS(E:E,C:C,C547),"Good to go","Short in Qty")</f>
        <v>Good to go</v>
      </c>
      <c r="C547" s="40">
        <v>40063756</v>
      </c>
      <c r="D547" s="40" t="s">
        <v>464</v>
      </c>
      <c r="E547" s="66">
        <v>50</v>
      </c>
      <c r="F547" s="38" t="s">
        <v>10</v>
      </c>
      <c r="G547" s="73" t="s">
        <v>467</v>
      </c>
      <c r="H547" s="38" t="s">
        <v>465</v>
      </c>
      <c r="I547" s="38" t="s">
        <v>466</v>
      </c>
      <c r="J547" s="38">
        <f>IFERROR(VLOOKUP(C:C,'[1]S&amp;S'!$B:$F,5,0),)</f>
        <v>81</v>
      </c>
      <c r="K547" s="38">
        <f>IFERROR(VLOOKUP(A:A,[1]APO!$A:$F,6,0),)</f>
        <v>0</v>
      </c>
      <c r="L547" s="38">
        <f>IFERROR(VLOOKUP(C:C,'[1]TOTAL APO'!$A:$B,2,0),)</f>
        <v>0</v>
      </c>
      <c r="M547" s="38">
        <f>IFERROR(VLOOKUP(A:A,[1]Short!$A:$Q,17,0),)</f>
        <v>0</v>
      </c>
      <c r="N547" s="38">
        <f>IFERROR(VLOOKUP(C:C,[1]GIT!$B:$D,3,0),)</f>
        <v>0</v>
      </c>
      <c r="O547" s="38">
        <f>IFERROR(VLOOKUP(A:A,[2]Sheet1!$A:$B,2,0),)</f>
        <v>50</v>
      </c>
      <c r="P547" s="38">
        <f>IFERROR(VLOOKUP(A:A,[2]Sheet1!$A:$B,2,0),)</f>
        <v>50</v>
      </c>
      <c r="Q547" s="38">
        <f t="shared" si="8"/>
        <v>0</v>
      </c>
      <c r="R547" s="38"/>
      <c r="S547" s="38"/>
    </row>
    <row r="548" spans="1:19" hidden="1" x14ac:dyDescent="0.25">
      <c r="A548" s="38" t="str">
        <f>F548&amp;C548</f>
        <v>C04840062336</v>
      </c>
      <c r="B548" s="38" t="str">
        <f>IF(J548&gt;=SUMIFS(E:E,C:C,C548),"Good to go","Short in Qty")</f>
        <v>Good to go</v>
      </c>
      <c r="C548" s="40">
        <v>40062336</v>
      </c>
      <c r="D548" s="40" t="s">
        <v>332</v>
      </c>
      <c r="E548" s="66">
        <v>5</v>
      </c>
      <c r="F548" s="38" t="s">
        <v>8</v>
      </c>
      <c r="G548" s="40" t="s">
        <v>467</v>
      </c>
      <c r="H548" s="38" t="s">
        <v>151</v>
      </c>
      <c r="I548" s="38" t="s">
        <v>369</v>
      </c>
      <c r="J548" s="38">
        <f>IFERROR(VLOOKUP(C:C,'[1]S&amp;S'!$B:$F,5,0),)</f>
        <v>1282</v>
      </c>
      <c r="K548" s="38">
        <f>IFERROR(VLOOKUP(A:A,[1]APO!$A:$F,6,0),)</f>
        <v>0</v>
      </c>
      <c r="L548" s="38">
        <f>IFERROR(VLOOKUP(C:C,'[1]TOTAL APO'!$A:$B,2,0),)</f>
        <v>0</v>
      </c>
      <c r="M548" s="38">
        <f>IFERROR(VLOOKUP(A:A,[1]Short!$A:$Q,17,0),)</f>
        <v>0</v>
      </c>
      <c r="N548" s="38">
        <f>IFERROR(VLOOKUP(C:C,[1]GIT!$B:$D,3,0),)</f>
        <v>0</v>
      </c>
      <c r="O548" s="38">
        <f>IFERROR(VLOOKUP(A:A,[2]Sheet1!$A:$B,2,0),)</f>
        <v>5</v>
      </c>
      <c r="P548" s="38">
        <f>IFERROR(VLOOKUP(A:A,[2]Sheet1!$A:$B,2,0),)</f>
        <v>5</v>
      </c>
      <c r="Q548" s="38">
        <f t="shared" si="8"/>
        <v>0</v>
      </c>
      <c r="R548" s="38"/>
      <c r="S548" s="38"/>
    </row>
    <row r="549" spans="1:19" x14ac:dyDescent="0.25">
      <c r="A549" s="38" t="str">
        <f>F549&amp;C549</f>
        <v>C04740063758</v>
      </c>
      <c r="B549" s="38" t="str">
        <f>IF(J549&gt;=SUMIFS(E:E,C:C,C549),"Good to go","Short in Qty")</f>
        <v>Short in Qty</v>
      </c>
      <c r="C549" s="40">
        <v>40063758</v>
      </c>
      <c r="D549" s="40" t="s">
        <v>339</v>
      </c>
      <c r="E549" s="66">
        <v>150</v>
      </c>
      <c r="F549" s="38" t="s">
        <v>192</v>
      </c>
      <c r="G549" s="40" t="s">
        <v>269</v>
      </c>
      <c r="H549" s="38" t="s">
        <v>9</v>
      </c>
      <c r="I549" s="38" t="s">
        <v>389</v>
      </c>
      <c r="J549" s="38">
        <f>IFERROR(VLOOKUP(C:C,'[1]S&amp;S'!$B:$F,5,0),)</f>
        <v>0</v>
      </c>
      <c r="K549" s="38">
        <f>IFERROR(VLOOKUP(A:A,[1]APO!$A:$F,6,0),)</f>
        <v>0</v>
      </c>
      <c r="L549" s="38">
        <f>IFERROR(VLOOKUP(C:C,'[1]TOTAL APO'!$A:$B,2,0),)</f>
        <v>0</v>
      </c>
      <c r="M549" s="38">
        <f>IFERROR(VLOOKUP(A:A,[1]Short!$A:$Q,17,0),)</f>
        <v>0</v>
      </c>
      <c r="N549" s="38">
        <f>IFERROR(VLOOKUP(C:C,[1]GIT!$B:$D,3,0),)</f>
        <v>0</v>
      </c>
      <c r="O549" s="38">
        <f>IFERROR(VLOOKUP(A:A,[2]Sheet1!$A:$B,2,0),)</f>
        <v>0</v>
      </c>
      <c r="P549" s="38">
        <f>IFERROR(VLOOKUP(A:A,[2]Sheet1!$A:$B,2,0),)</f>
        <v>0</v>
      </c>
      <c r="Q549" s="38">
        <f t="shared" si="8"/>
        <v>150</v>
      </c>
      <c r="R549" s="38"/>
      <c r="S549" s="38"/>
    </row>
    <row r="550" spans="1:19" hidden="1" x14ac:dyDescent="0.25">
      <c r="A550" s="38" t="str">
        <f>F550&amp;C550</f>
        <v>C04640043556</v>
      </c>
      <c r="B550" s="38" t="str">
        <f>IF(J550&gt;=SUMIFS(E:E,C:C,C550),"Good to go","Short in Qty")</f>
        <v>Good to go</v>
      </c>
      <c r="C550" s="40">
        <v>40043556</v>
      </c>
      <c r="D550" s="40" t="s">
        <v>584</v>
      </c>
      <c r="E550" s="66">
        <v>5</v>
      </c>
      <c r="F550" s="38" t="s">
        <v>13</v>
      </c>
      <c r="G550" s="40"/>
      <c r="H550" s="38" t="s">
        <v>594</v>
      </c>
      <c r="I550" s="38" t="s">
        <v>595</v>
      </c>
      <c r="J550" s="38">
        <f>IFERROR(VLOOKUP(C:C,'[1]S&amp;S'!$B:$F,5,0),)</f>
        <v>335.75</v>
      </c>
      <c r="K550" s="38">
        <f>IFERROR(VLOOKUP(A:A,[1]APO!$A:$F,6,0),)</f>
        <v>0</v>
      </c>
      <c r="L550" s="38">
        <f>IFERROR(VLOOKUP(C:C,'[1]TOTAL APO'!$A:$B,2,0),)</f>
        <v>0</v>
      </c>
      <c r="M550" s="38">
        <f>IFERROR(VLOOKUP(A:A,[1]Short!$A:$Q,17,0),)</f>
        <v>0</v>
      </c>
      <c r="N550" s="38">
        <f>IFERROR(VLOOKUP(C:C,[1]GIT!$B:$D,3,0),)</f>
        <v>287</v>
      </c>
      <c r="O550" s="38">
        <f>IFERROR(VLOOKUP(A:A,[2]Sheet1!$A:$B,2,0),)</f>
        <v>0</v>
      </c>
      <c r="P550" s="38">
        <f>IFERROR(VLOOKUP(A:A,[2]Sheet1!$A:$B,2,0),)</f>
        <v>0</v>
      </c>
      <c r="Q550" s="38">
        <f t="shared" si="8"/>
        <v>5</v>
      </c>
      <c r="R550" s="38"/>
      <c r="S550" s="38"/>
    </row>
    <row r="551" spans="1:19" hidden="1" x14ac:dyDescent="0.25">
      <c r="A551" s="38" t="str">
        <f>F551&amp;C551</f>
        <v>C11140064695</v>
      </c>
      <c r="B551" s="38" t="str">
        <f>IF(J551&gt;=SUMIFS(E:E,C:C,C551),"Good to go","Short in Qty")</f>
        <v>Good to go</v>
      </c>
      <c r="C551" s="40">
        <v>40064695</v>
      </c>
      <c r="D551" s="40" t="s">
        <v>585</v>
      </c>
      <c r="E551" s="66">
        <v>40</v>
      </c>
      <c r="F551" s="38" t="s">
        <v>16</v>
      </c>
      <c r="G551" s="40" t="s">
        <v>467</v>
      </c>
      <c r="H551" s="38" t="s">
        <v>594</v>
      </c>
      <c r="I551" s="38" t="s">
        <v>595</v>
      </c>
      <c r="J551" s="38">
        <f>IFERROR(VLOOKUP(C:C,'[1]S&amp;S'!$B:$F,5,0),)</f>
        <v>98.4166666666667</v>
      </c>
      <c r="K551" s="38">
        <f>IFERROR(VLOOKUP(A:A,[1]APO!$A:$F,6,0),)</f>
        <v>0</v>
      </c>
      <c r="L551" s="38">
        <f>IFERROR(VLOOKUP(C:C,'[1]TOTAL APO'!$A:$B,2,0),)</f>
        <v>0</v>
      </c>
      <c r="M551" s="38">
        <f>IFERROR(VLOOKUP(A:A,[1]Short!$A:$Q,17,0),)</f>
        <v>0</v>
      </c>
      <c r="N551" s="38">
        <f>IFERROR(VLOOKUP(C:C,[1]GIT!$B:$D,3,0),)</f>
        <v>0</v>
      </c>
      <c r="O551" s="38">
        <f>IFERROR(VLOOKUP(A:A,[2]Sheet1!$A:$B,2,0),)</f>
        <v>40</v>
      </c>
      <c r="P551" s="38">
        <f>IFERROR(VLOOKUP(A:A,[2]Sheet1!$A:$B,2,0),)</f>
        <v>40</v>
      </c>
      <c r="Q551" s="38">
        <f t="shared" si="8"/>
        <v>0</v>
      </c>
      <c r="R551" s="38"/>
      <c r="S551" s="38"/>
    </row>
    <row r="552" spans="1:19" hidden="1" x14ac:dyDescent="0.25">
      <c r="A552" s="38" t="str">
        <f>F552&amp;C552</f>
        <v>c04340064695</v>
      </c>
      <c r="B552" s="38" t="str">
        <f>IF(J552&gt;=SUMIFS(E:E,C:C,C552),"Good to go","Short in Qty")</f>
        <v>Good to go</v>
      </c>
      <c r="C552" s="40">
        <v>40064695</v>
      </c>
      <c r="D552" s="40" t="s">
        <v>585</v>
      </c>
      <c r="E552" s="66">
        <v>25</v>
      </c>
      <c r="F552" s="38" t="s">
        <v>592</v>
      </c>
      <c r="G552" s="40" t="s">
        <v>467</v>
      </c>
      <c r="H552" s="38" t="s">
        <v>594</v>
      </c>
      <c r="I552" s="38" t="s">
        <v>595</v>
      </c>
      <c r="J552" s="38">
        <f>IFERROR(VLOOKUP(C:C,'[1]S&amp;S'!$B:$F,5,0),)</f>
        <v>98.4166666666667</v>
      </c>
      <c r="K552" s="38">
        <f>IFERROR(VLOOKUP(A:A,[1]APO!$A:$F,6,0),)</f>
        <v>0</v>
      </c>
      <c r="L552" s="38">
        <f>IFERROR(VLOOKUP(C:C,'[1]TOTAL APO'!$A:$B,2,0),)</f>
        <v>0</v>
      </c>
      <c r="M552" s="38">
        <f>IFERROR(VLOOKUP(A:A,[1]Short!$A:$Q,17,0),)</f>
        <v>0</v>
      </c>
      <c r="N552" s="38">
        <f>IFERROR(VLOOKUP(C:C,[1]GIT!$B:$D,3,0),)</f>
        <v>0</v>
      </c>
      <c r="O552" s="38">
        <f>IFERROR(VLOOKUP(A:A,[2]Sheet1!$A:$B,2,0),)</f>
        <v>25</v>
      </c>
      <c r="P552" s="38">
        <f>IFERROR(VLOOKUP(A:A,[2]Sheet1!$A:$B,2,0),)</f>
        <v>25</v>
      </c>
      <c r="Q552" s="38">
        <f t="shared" si="8"/>
        <v>0</v>
      </c>
      <c r="R552" s="38"/>
      <c r="S552" s="38"/>
    </row>
    <row r="553" spans="1:19" hidden="1" x14ac:dyDescent="0.25">
      <c r="A553" s="38" t="str">
        <f>F553&amp;C553</f>
        <v>C04640064695</v>
      </c>
      <c r="B553" s="38" t="str">
        <f>IF(J553&gt;=SUMIFS(E:E,C:C,C553),"Good to go","Short in Qty")</f>
        <v>Good to go</v>
      </c>
      <c r="C553" s="40">
        <v>40064695</v>
      </c>
      <c r="D553" s="40" t="s">
        <v>585</v>
      </c>
      <c r="E553" s="66">
        <v>15</v>
      </c>
      <c r="F553" s="38" t="s">
        <v>13</v>
      </c>
      <c r="G553" s="40"/>
      <c r="H553" s="38" t="s">
        <v>594</v>
      </c>
      <c r="I553" s="38" t="s">
        <v>595</v>
      </c>
      <c r="J553" s="38">
        <f>IFERROR(VLOOKUP(C:C,'[1]S&amp;S'!$B:$F,5,0),)</f>
        <v>98.4166666666667</v>
      </c>
      <c r="K553" s="38">
        <f>IFERROR(VLOOKUP(A:A,[1]APO!$A:$F,6,0),)</f>
        <v>0</v>
      </c>
      <c r="L553" s="38">
        <f>IFERROR(VLOOKUP(C:C,'[1]TOTAL APO'!$A:$B,2,0),)</f>
        <v>0</v>
      </c>
      <c r="M553" s="38">
        <f>IFERROR(VLOOKUP(A:A,[1]Short!$A:$Q,17,0),)</f>
        <v>0</v>
      </c>
      <c r="N553" s="38">
        <f>IFERROR(VLOOKUP(C:C,[1]GIT!$B:$D,3,0),)</f>
        <v>0</v>
      </c>
      <c r="O553" s="38">
        <f>IFERROR(VLOOKUP(A:A,[2]Sheet1!$A:$B,2,0),)</f>
        <v>0</v>
      </c>
      <c r="P553" s="38">
        <f>IFERROR(VLOOKUP(A:A,[2]Sheet1!$A:$B,2,0),)</f>
        <v>0</v>
      </c>
      <c r="Q553" s="38">
        <f t="shared" si="8"/>
        <v>15</v>
      </c>
      <c r="R553" s="38"/>
      <c r="S553" s="38"/>
    </row>
    <row r="554" spans="1:19" hidden="1" x14ac:dyDescent="0.25">
      <c r="A554" s="38" t="str">
        <f>F554&amp;C554</f>
        <v>C04240061668</v>
      </c>
      <c r="B554" s="38" t="str">
        <f>IF(J554&gt;=SUMIFS(E:E,C:C,C554),"Good to go","Short in Qty")</f>
        <v>Good to go</v>
      </c>
      <c r="C554" s="40">
        <v>40061668</v>
      </c>
      <c r="D554" s="40" t="s">
        <v>322</v>
      </c>
      <c r="E554" s="66">
        <v>150</v>
      </c>
      <c r="F554" s="38" t="s">
        <v>10</v>
      </c>
      <c r="G554" s="40" t="s">
        <v>467</v>
      </c>
      <c r="H554" s="38" t="s">
        <v>248</v>
      </c>
      <c r="I554" s="38" t="s">
        <v>473</v>
      </c>
      <c r="J554" s="38">
        <f>IFERROR(VLOOKUP(C:C,'[1]S&amp;S'!$B:$F,5,0),)</f>
        <v>1166.9583333333301</v>
      </c>
      <c r="K554" s="38">
        <f>IFERROR(VLOOKUP(A:A,[1]APO!$A:$F,6,0),)</f>
        <v>0</v>
      </c>
      <c r="L554" s="38">
        <f>IFERROR(VLOOKUP(C:C,'[1]TOTAL APO'!$A:$B,2,0),)</f>
        <v>0</v>
      </c>
      <c r="M554" s="38">
        <f>IFERROR(VLOOKUP(A:A,[1]Short!$A:$Q,17,0),)</f>
        <v>0</v>
      </c>
      <c r="N554" s="38">
        <f>IFERROR(VLOOKUP(C:C,[1]GIT!$B:$D,3,0),)</f>
        <v>0</v>
      </c>
      <c r="O554" s="38">
        <f>IFERROR(VLOOKUP(A:A,[2]Sheet1!$A:$B,2,0),)</f>
        <v>150</v>
      </c>
      <c r="P554" s="38">
        <f>IFERROR(VLOOKUP(A:A,[2]Sheet1!$A:$B,2,0),)</f>
        <v>150</v>
      </c>
      <c r="Q554" s="38">
        <f t="shared" si="8"/>
        <v>0</v>
      </c>
      <c r="R554" s="38"/>
      <c r="S554" s="38"/>
    </row>
    <row r="555" spans="1:19" hidden="1" x14ac:dyDescent="0.25">
      <c r="A555" s="38" t="str">
        <f>F555&amp;C555</f>
        <v>C04640063805</v>
      </c>
      <c r="B555" s="38" t="str">
        <f>IF(J555&gt;=SUMIFS(E:E,C:C,C555),"Good to go","Short in Qty")</f>
        <v>Good to go</v>
      </c>
      <c r="C555" s="40">
        <v>40063805</v>
      </c>
      <c r="D555" s="40" t="s">
        <v>287</v>
      </c>
      <c r="E555" s="66">
        <v>2</v>
      </c>
      <c r="F555" s="38" t="s">
        <v>13</v>
      </c>
      <c r="G555" s="40"/>
      <c r="H555" s="38" t="s">
        <v>84</v>
      </c>
      <c r="I555" s="38" t="s">
        <v>620</v>
      </c>
      <c r="J555" s="38">
        <f>IFERROR(VLOOKUP(C:C,'[1]S&amp;S'!$B:$F,5,0),)</f>
        <v>26</v>
      </c>
      <c r="K555" s="38">
        <f>IFERROR(VLOOKUP(A:A,[1]APO!$A:$F,6,0),)</f>
        <v>0</v>
      </c>
      <c r="L555" s="38">
        <f>IFERROR(VLOOKUP(C:C,'[1]TOTAL APO'!$A:$B,2,0),)</f>
        <v>0</v>
      </c>
      <c r="M555" s="38">
        <f>IFERROR(VLOOKUP(A:A,[1]Short!$A:$Q,17,0),)</f>
        <v>0</v>
      </c>
      <c r="N555" s="38">
        <f>IFERROR(VLOOKUP(C:C,[1]GIT!$B:$D,3,0),)</f>
        <v>0</v>
      </c>
      <c r="O555" s="38">
        <f>IFERROR(VLOOKUP(A:A,[2]Sheet1!$A:$B,2,0),)</f>
        <v>0</v>
      </c>
      <c r="P555" s="38">
        <f>IFERROR(VLOOKUP(A:A,[2]Sheet1!$A:$B,2,0),)</f>
        <v>0</v>
      </c>
      <c r="Q555" s="38">
        <f t="shared" si="8"/>
        <v>2</v>
      </c>
      <c r="R555" s="38"/>
      <c r="S555" s="38"/>
    </row>
    <row r="556" spans="1:19" hidden="1" x14ac:dyDescent="0.25">
      <c r="A556" s="38" t="str">
        <f>F556&amp;C556</f>
        <v>C04840064844</v>
      </c>
      <c r="B556" s="38" t="str">
        <f>IF(J556&gt;=SUMIFS(E:E,C:C,C556),"Good to go","Short in Qty")</f>
        <v>Good to go</v>
      </c>
      <c r="C556" s="40">
        <v>40064844</v>
      </c>
      <c r="D556" s="40" t="s">
        <v>267</v>
      </c>
      <c r="E556" s="66">
        <v>20</v>
      </c>
      <c r="F556" s="38" t="s">
        <v>8</v>
      </c>
      <c r="G556" s="40" t="s">
        <v>467</v>
      </c>
      <c r="H556" s="38" t="s">
        <v>9</v>
      </c>
      <c r="I556" s="38" t="s">
        <v>530</v>
      </c>
      <c r="J556" s="38">
        <f>IFERROR(VLOOKUP(C:C,'[1]S&amp;S'!$B:$F,5,0),)</f>
        <v>560</v>
      </c>
      <c r="K556" s="38">
        <f>IFERROR(VLOOKUP(A:A,[1]APO!$A:$F,6,0),)</f>
        <v>0</v>
      </c>
      <c r="L556" s="38">
        <f>IFERROR(VLOOKUP(C:C,'[1]TOTAL APO'!$A:$B,2,0),)</f>
        <v>0</v>
      </c>
      <c r="M556" s="38">
        <f>IFERROR(VLOOKUP(A:A,[1]Short!$A:$Q,17,0),)</f>
        <v>0</v>
      </c>
      <c r="N556" s="38">
        <f>IFERROR(VLOOKUP(C:C,[1]GIT!$B:$D,3,0),)</f>
        <v>560</v>
      </c>
      <c r="O556" s="38">
        <f>IFERROR(VLOOKUP(A:A,[2]Sheet1!$A:$B,2,0),)</f>
        <v>20</v>
      </c>
      <c r="P556" s="38">
        <f>IFERROR(VLOOKUP(A:A,[2]Sheet1!$A:$B,2,0),)</f>
        <v>20</v>
      </c>
      <c r="Q556" s="38">
        <f t="shared" si="8"/>
        <v>0</v>
      </c>
      <c r="R556" s="38"/>
      <c r="S556" s="38"/>
    </row>
    <row r="557" spans="1:19" hidden="1" x14ac:dyDescent="0.25">
      <c r="A557" s="38" t="str">
        <f>F557&amp;C557</f>
        <v>C04840064728</v>
      </c>
      <c r="B557" s="38" t="str">
        <f>IF(J557&gt;=SUMIFS(E:E,C:C,C557),"Good to go","Short in Qty")</f>
        <v>Good to go</v>
      </c>
      <c r="C557" s="40">
        <v>40064728</v>
      </c>
      <c r="D557" s="40" t="s">
        <v>353</v>
      </c>
      <c r="E557" s="68">
        <v>94</v>
      </c>
      <c r="F557" s="38" t="s">
        <v>8</v>
      </c>
      <c r="G557" s="40" t="s">
        <v>467</v>
      </c>
      <c r="H557" s="38" t="s">
        <v>248</v>
      </c>
      <c r="I557" s="38" t="s">
        <v>457</v>
      </c>
      <c r="J557" s="38">
        <f>IFERROR(VLOOKUP(C:C,'[1]S&amp;S'!$B:$F,5,0),)</f>
        <v>94</v>
      </c>
      <c r="K557" s="38">
        <f>IFERROR(VLOOKUP(A:A,[1]APO!$A:$F,6,0),)</f>
        <v>0</v>
      </c>
      <c r="L557" s="38">
        <f>IFERROR(VLOOKUP(C:C,'[1]TOTAL APO'!$A:$B,2,0),)</f>
        <v>0</v>
      </c>
      <c r="M557" s="38">
        <f>IFERROR(VLOOKUP(A:A,[1]Short!$A:$Q,17,0),)</f>
        <v>0</v>
      </c>
      <c r="N557" s="38">
        <f>IFERROR(VLOOKUP(C:C,[1]GIT!$B:$D,3,0),)</f>
        <v>0</v>
      </c>
      <c r="O557" s="38">
        <f>IFERROR(VLOOKUP(A:A,[2]Sheet1!$A:$B,2,0),)</f>
        <v>94</v>
      </c>
      <c r="P557" s="38">
        <f>IFERROR(VLOOKUP(A:A,[2]Sheet1!$A:$B,2,0),)</f>
        <v>94</v>
      </c>
      <c r="Q557" s="38">
        <f t="shared" si="8"/>
        <v>0</v>
      </c>
      <c r="R557" s="38"/>
      <c r="S557" s="38"/>
    </row>
    <row r="558" spans="1:19" x14ac:dyDescent="0.25">
      <c r="A558" s="38" t="str">
        <f>F558&amp;C558</f>
        <v>C04340063808</v>
      </c>
      <c r="B558" s="38" t="str">
        <f>IF(J558&gt;=SUMIFS(E:E,C:C,C558),"Good to go","Short in Qty")</f>
        <v>Good to go</v>
      </c>
      <c r="C558" s="40">
        <v>40063808</v>
      </c>
      <c r="D558" s="40" t="s">
        <v>271</v>
      </c>
      <c r="E558" s="66">
        <v>60</v>
      </c>
      <c r="F558" s="38" t="s">
        <v>11</v>
      </c>
      <c r="G558" s="40" t="s">
        <v>467</v>
      </c>
      <c r="H558" s="38" t="s">
        <v>9</v>
      </c>
      <c r="I558" s="38" t="s">
        <v>530</v>
      </c>
      <c r="J558" s="38">
        <f>IFERROR(VLOOKUP(C:C,'[1]S&amp;S'!$B:$F,5,0),)</f>
        <v>90</v>
      </c>
      <c r="K558" s="38">
        <f>IFERROR(VLOOKUP(A:A,[1]APO!$A:$F,6,0),)</f>
        <v>0</v>
      </c>
      <c r="L558" s="38">
        <f>IFERROR(VLOOKUP(C:C,'[1]TOTAL APO'!$A:$B,2,0),)</f>
        <v>0</v>
      </c>
      <c r="M558" s="38">
        <f>IFERROR(VLOOKUP(A:A,[1]Short!$A:$Q,17,0),)</f>
        <v>0</v>
      </c>
      <c r="N558" s="38">
        <f>IFERROR(VLOOKUP(C:C,[1]GIT!$B:$D,3,0),)</f>
        <v>0</v>
      </c>
      <c r="O558" s="38">
        <f>IFERROR(VLOOKUP(A:A,[2]Sheet1!$A:$B,2,0),)</f>
        <v>0</v>
      </c>
      <c r="P558" s="38">
        <f>IFERROR(VLOOKUP(A:A,[2]Sheet1!$A:$B,2,0),)</f>
        <v>0</v>
      </c>
      <c r="Q558" s="38">
        <f t="shared" si="8"/>
        <v>60</v>
      </c>
      <c r="R558" s="38"/>
      <c r="S558" s="38"/>
    </row>
    <row r="559" spans="1:19" hidden="1" x14ac:dyDescent="0.25">
      <c r="A559" s="38" t="str">
        <f>F559&amp;C559</f>
        <v>C13140063823</v>
      </c>
      <c r="B559" s="38" t="str">
        <f>IF(J559&gt;=SUMIFS(E:E,C:C,C559),"Good to go","Short in Qty")</f>
        <v>Short in Qty</v>
      </c>
      <c r="C559" s="40">
        <v>40063823</v>
      </c>
      <c r="D559" s="40" t="s">
        <v>576</v>
      </c>
      <c r="E559" s="66">
        <v>30</v>
      </c>
      <c r="F559" s="38" t="s">
        <v>17</v>
      </c>
      <c r="G559" s="40" t="s">
        <v>269</v>
      </c>
      <c r="H559" s="38" t="s">
        <v>594</v>
      </c>
      <c r="I559" s="38" t="s">
        <v>595</v>
      </c>
      <c r="J559" s="38">
        <f>IFERROR(VLOOKUP(C:C,'[1]S&amp;S'!$B:$F,5,0),)</f>
        <v>10</v>
      </c>
      <c r="K559" s="38">
        <f>IFERROR(VLOOKUP(A:A,[1]APO!$A:$F,6,0),)</f>
        <v>0</v>
      </c>
      <c r="L559" s="38">
        <f>IFERROR(VLOOKUP(C:C,'[1]TOTAL APO'!$A:$B,2,0),)</f>
        <v>0</v>
      </c>
      <c r="M559" s="38">
        <f>IFERROR(VLOOKUP(A:A,[1]Short!$A:$Q,17,0),)</f>
        <v>0</v>
      </c>
      <c r="N559" s="38">
        <f>IFERROR(VLOOKUP(C:C,[1]GIT!$B:$D,3,0),)</f>
        <v>0</v>
      </c>
      <c r="O559" s="38">
        <f>IFERROR(VLOOKUP(A:A,[2]Sheet1!$A:$B,2,0),)</f>
        <v>0</v>
      </c>
      <c r="P559" s="38">
        <f>IFERROR(VLOOKUP(A:A,[2]Sheet1!$A:$B,2,0),)</f>
        <v>0</v>
      </c>
      <c r="Q559" s="38">
        <f t="shared" si="8"/>
        <v>30</v>
      </c>
      <c r="R559" s="38"/>
      <c r="S559" s="38"/>
    </row>
    <row r="560" spans="1:19" hidden="1" x14ac:dyDescent="0.25">
      <c r="A560" s="38" t="str">
        <f>F560&amp;C560</f>
        <v>C04840063900</v>
      </c>
      <c r="B560" s="38" t="str">
        <f>IF(J560&gt;=SUMIFS(E:E,C:C,C560),"Good to go","Short in Qty")</f>
        <v>Short in Qty</v>
      </c>
      <c r="C560" s="40">
        <v>40063900</v>
      </c>
      <c r="D560" s="40" t="s">
        <v>564</v>
      </c>
      <c r="E560" s="66">
        <v>10</v>
      </c>
      <c r="F560" s="38" t="s">
        <v>8</v>
      </c>
      <c r="G560" s="40" t="s">
        <v>596</v>
      </c>
      <c r="H560" s="38" t="s">
        <v>594</v>
      </c>
      <c r="I560" s="38" t="s">
        <v>595</v>
      </c>
      <c r="J560" s="38">
        <f>IFERROR(VLOOKUP(C:C,'[1]S&amp;S'!$B:$F,5,0),)</f>
        <v>0</v>
      </c>
      <c r="K560" s="38">
        <f>IFERROR(VLOOKUP(A:A,[1]APO!$A:$F,6,0),)</f>
        <v>0</v>
      </c>
      <c r="L560" s="38">
        <f>IFERROR(VLOOKUP(C:C,'[1]TOTAL APO'!$A:$B,2,0),)</f>
        <v>0</v>
      </c>
      <c r="M560" s="38">
        <f>IFERROR(VLOOKUP(A:A,[1]Short!$A:$Q,17,0),)</f>
        <v>0</v>
      </c>
      <c r="N560" s="38">
        <f>IFERROR(VLOOKUP(C:C,[1]GIT!$B:$D,3,0),)</f>
        <v>0</v>
      </c>
      <c r="O560" s="38">
        <f>IFERROR(VLOOKUP(A:A,[2]Sheet1!$A:$B,2,0),)</f>
        <v>0</v>
      </c>
      <c r="P560" s="38">
        <f>IFERROR(VLOOKUP(A:A,[2]Sheet1!$A:$B,2,0),)</f>
        <v>0</v>
      </c>
      <c r="Q560" s="38">
        <f t="shared" si="8"/>
        <v>10</v>
      </c>
      <c r="R560" s="38"/>
      <c r="S560" s="38"/>
    </row>
    <row r="561" spans="1:19" hidden="1" x14ac:dyDescent="0.25">
      <c r="A561" s="38" t="str">
        <f>F561&amp;C561</f>
        <v>C04240063900</v>
      </c>
      <c r="B561" s="38" t="str">
        <f>IF(J561&gt;=SUMIFS(E:E,C:C,C561),"Good to go","Short in Qty")</f>
        <v>Short in Qty</v>
      </c>
      <c r="C561" s="40">
        <v>40063900</v>
      </c>
      <c r="D561" s="40" t="s">
        <v>564</v>
      </c>
      <c r="E561" s="66">
        <v>10</v>
      </c>
      <c r="F561" s="38" t="s">
        <v>10</v>
      </c>
      <c r="G561" s="40" t="s">
        <v>596</v>
      </c>
      <c r="H561" s="38" t="s">
        <v>594</v>
      </c>
      <c r="I561" s="38" t="s">
        <v>595</v>
      </c>
      <c r="J561" s="38">
        <f>IFERROR(VLOOKUP(C:C,'[1]S&amp;S'!$B:$F,5,0),)</f>
        <v>0</v>
      </c>
      <c r="K561" s="38">
        <f>IFERROR(VLOOKUP(A:A,[1]APO!$A:$F,6,0),)</f>
        <v>0</v>
      </c>
      <c r="L561" s="38">
        <f>IFERROR(VLOOKUP(C:C,'[1]TOTAL APO'!$A:$B,2,0),)</f>
        <v>0</v>
      </c>
      <c r="M561" s="38">
        <f>IFERROR(VLOOKUP(A:A,[1]Short!$A:$Q,17,0),)</f>
        <v>0</v>
      </c>
      <c r="N561" s="38">
        <f>IFERROR(VLOOKUP(C:C,[1]GIT!$B:$D,3,0),)</f>
        <v>0</v>
      </c>
      <c r="O561" s="38">
        <f>IFERROR(VLOOKUP(A:A,[2]Sheet1!$A:$B,2,0),)</f>
        <v>0</v>
      </c>
      <c r="P561" s="38">
        <f>IFERROR(VLOOKUP(A:A,[2]Sheet1!$A:$B,2,0),)</f>
        <v>0</v>
      </c>
      <c r="Q561" s="38">
        <f t="shared" si="8"/>
        <v>10</v>
      </c>
      <c r="R561" s="38"/>
      <c r="S561" s="38"/>
    </row>
    <row r="562" spans="1:19" hidden="1" x14ac:dyDescent="0.25">
      <c r="A562" s="38" t="str">
        <f>F562&amp;C562</f>
        <v>C11140063908</v>
      </c>
      <c r="B562" s="38" t="str">
        <f>IF(J562&gt;=SUMIFS(E:E,C:C,C562),"Good to go","Short in Qty")</f>
        <v>Short in Qty</v>
      </c>
      <c r="C562" s="40">
        <v>40063908</v>
      </c>
      <c r="D562" s="40" t="s">
        <v>580</v>
      </c>
      <c r="E562" s="66">
        <v>20</v>
      </c>
      <c r="F562" s="38" t="s">
        <v>16</v>
      </c>
      <c r="G562" s="40" t="s">
        <v>269</v>
      </c>
      <c r="H562" s="38" t="s">
        <v>594</v>
      </c>
      <c r="I562" s="38" t="s">
        <v>595</v>
      </c>
      <c r="J562" s="38">
        <f>IFERROR(VLOOKUP(C:C,'[1]S&amp;S'!$B:$F,5,0),)</f>
        <v>0</v>
      </c>
      <c r="K562" s="38">
        <f>IFERROR(VLOOKUP(A:A,[1]APO!$A:$F,6,0),)</f>
        <v>0</v>
      </c>
      <c r="L562" s="38">
        <f>IFERROR(VLOOKUP(C:C,'[1]TOTAL APO'!$A:$B,2,0),)</f>
        <v>0</v>
      </c>
      <c r="M562" s="38">
        <f>IFERROR(VLOOKUP(A:A,[1]Short!$A:$Q,17,0),)</f>
        <v>0</v>
      </c>
      <c r="N562" s="38">
        <f>IFERROR(VLOOKUP(C:C,[1]GIT!$B:$D,3,0),)</f>
        <v>0</v>
      </c>
      <c r="O562" s="38">
        <f>IFERROR(VLOOKUP(A:A,[2]Sheet1!$A:$B,2,0),)</f>
        <v>0</v>
      </c>
      <c r="P562" s="38">
        <f>IFERROR(VLOOKUP(A:A,[2]Sheet1!$A:$B,2,0),)</f>
        <v>0</v>
      </c>
      <c r="Q562" s="38">
        <f t="shared" si="8"/>
        <v>20</v>
      </c>
      <c r="R562" s="38"/>
      <c r="S562" s="38"/>
    </row>
    <row r="563" spans="1:19" hidden="1" x14ac:dyDescent="0.25">
      <c r="A563" s="38" t="str">
        <f>F563&amp;C563</f>
        <v>C04640064374</v>
      </c>
      <c r="B563" s="38" t="str">
        <f>IF(J563&gt;=SUMIFS(E:E,C:C,C563),"Good to go","Short in Qty")</f>
        <v>Good to go</v>
      </c>
      <c r="C563" s="40">
        <v>40064374</v>
      </c>
      <c r="D563" s="40" t="s">
        <v>360</v>
      </c>
      <c r="E563" s="66">
        <v>20</v>
      </c>
      <c r="F563" s="38" t="s">
        <v>13</v>
      </c>
      <c r="G563" s="40"/>
      <c r="H563" s="38" t="s">
        <v>594</v>
      </c>
      <c r="I563" s="38" t="s">
        <v>595</v>
      </c>
      <c r="J563" s="38">
        <f>IFERROR(VLOOKUP(C:C,'[1]S&amp;S'!$B:$F,5,0),)</f>
        <v>618</v>
      </c>
      <c r="K563" s="38">
        <f>IFERROR(VLOOKUP(A:A,[1]APO!$A:$F,6,0),)</f>
        <v>0</v>
      </c>
      <c r="L563" s="38">
        <f>IFERROR(VLOOKUP(C:C,'[1]TOTAL APO'!$A:$B,2,0),)</f>
        <v>0</v>
      </c>
      <c r="M563" s="38">
        <f>IFERROR(VLOOKUP(A:A,[1]Short!$A:$Q,17,0),)</f>
        <v>0</v>
      </c>
      <c r="N563" s="38">
        <f>IFERROR(VLOOKUP(C:C,[1]GIT!$B:$D,3,0),)</f>
        <v>0</v>
      </c>
      <c r="O563" s="38">
        <f>IFERROR(VLOOKUP(A:A,[2]Sheet1!$A:$B,2,0),)</f>
        <v>0</v>
      </c>
      <c r="P563" s="38">
        <f>IFERROR(VLOOKUP(A:A,[2]Sheet1!$A:$B,2,0),)</f>
        <v>0</v>
      </c>
      <c r="Q563" s="38">
        <f t="shared" si="8"/>
        <v>20</v>
      </c>
      <c r="R563" s="38"/>
      <c r="S563" s="38"/>
    </row>
    <row r="564" spans="1:19" hidden="1" x14ac:dyDescent="0.25">
      <c r="A564" s="38" t="str">
        <f>F564&amp;C564</f>
        <v>C11140063909</v>
      </c>
      <c r="B564" s="38" t="str">
        <f>IF(J564&gt;=SUMIFS(E:E,C:C,C564),"Good to go","Short in Qty")</f>
        <v>Short in Qty</v>
      </c>
      <c r="C564" s="40">
        <v>40063909</v>
      </c>
      <c r="D564" s="40" t="s">
        <v>579</v>
      </c>
      <c r="E564" s="66">
        <v>30</v>
      </c>
      <c r="F564" s="38" t="s">
        <v>16</v>
      </c>
      <c r="G564" s="40" t="s">
        <v>269</v>
      </c>
      <c r="H564" s="38" t="s">
        <v>594</v>
      </c>
      <c r="I564" s="38" t="s">
        <v>595</v>
      </c>
      <c r="J564" s="38">
        <f>IFERROR(VLOOKUP(C:C,'[1]S&amp;S'!$B:$F,5,0),)</f>
        <v>10</v>
      </c>
      <c r="K564" s="38">
        <f>IFERROR(VLOOKUP(A:A,[1]APO!$A:$F,6,0),)</f>
        <v>0</v>
      </c>
      <c r="L564" s="38">
        <f>IFERROR(VLOOKUP(C:C,'[1]TOTAL APO'!$A:$B,2,0),)</f>
        <v>0</v>
      </c>
      <c r="M564" s="38">
        <f>IFERROR(VLOOKUP(A:A,[1]Short!$A:$Q,17,0),)</f>
        <v>0</v>
      </c>
      <c r="N564" s="38">
        <f>IFERROR(VLOOKUP(C:C,[1]GIT!$B:$D,3,0),)</f>
        <v>0</v>
      </c>
      <c r="O564" s="38">
        <f>IFERROR(VLOOKUP(A:A,[2]Sheet1!$A:$B,2,0),)</f>
        <v>0</v>
      </c>
      <c r="P564" s="38">
        <f>IFERROR(VLOOKUP(A:A,[2]Sheet1!$A:$B,2,0),)</f>
        <v>0</v>
      </c>
      <c r="Q564" s="38">
        <f t="shared" si="8"/>
        <v>30</v>
      </c>
      <c r="R564" s="38"/>
      <c r="S564" s="38"/>
    </row>
    <row r="565" spans="1:19" hidden="1" x14ac:dyDescent="0.25">
      <c r="A565" s="38" t="str">
        <f>F565&amp;C565</f>
        <v>C04340062536</v>
      </c>
      <c r="B565" s="38" t="str">
        <f>IF(J565&gt;=SUMIFS(E:E,C:C,C565),"Good to go","Short in Qty")</f>
        <v>Good to go</v>
      </c>
      <c r="C565" s="40">
        <v>40062536</v>
      </c>
      <c r="D565" s="40" t="s">
        <v>542</v>
      </c>
      <c r="E565" s="66">
        <v>30</v>
      </c>
      <c r="F565" s="38" t="s">
        <v>11</v>
      </c>
      <c r="G565" s="40" t="s">
        <v>467</v>
      </c>
      <c r="H565" s="38" t="s">
        <v>594</v>
      </c>
      <c r="I565" s="38" t="s">
        <v>595</v>
      </c>
      <c r="J565" s="38">
        <f>IFERROR(VLOOKUP(C:C,'[1]S&amp;S'!$B:$F,5,0),)</f>
        <v>768</v>
      </c>
      <c r="K565" s="38">
        <f>IFERROR(VLOOKUP(A:A,[1]APO!$A:$F,6,0),)</f>
        <v>0</v>
      </c>
      <c r="L565" s="38">
        <f>IFERROR(VLOOKUP(C:C,'[1]TOTAL APO'!$A:$B,2,0),)</f>
        <v>0</v>
      </c>
      <c r="M565" s="38">
        <f>IFERROR(VLOOKUP(A:A,[1]Short!$A:$Q,17,0),)</f>
        <v>0</v>
      </c>
      <c r="N565" s="38">
        <f>IFERROR(VLOOKUP(C:C,[1]GIT!$B:$D,3,0),)</f>
        <v>0</v>
      </c>
      <c r="O565" s="38">
        <f>IFERROR(VLOOKUP(A:A,[2]Sheet1!$A:$B,2,0),)</f>
        <v>30</v>
      </c>
      <c r="P565" s="38">
        <f>IFERROR(VLOOKUP(A:A,[2]Sheet1!$A:$B,2,0),)</f>
        <v>30</v>
      </c>
      <c r="Q565" s="38">
        <f t="shared" si="8"/>
        <v>0</v>
      </c>
      <c r="R565" s="38"/>
      <c r="S565" s="38"/>
    </row>
    <row r="566" spans="1:19" hidden="1" x14ac:dyDescent="0.25">
      <c r="A566" s="38" t="str">
        <f>F566&amp;C566</f>
        <v>C04340062343</v>
      </c>
      <c r="B566" s="38" t="str">
        <f>IF(J566&gt;=SUMIFS(E:E,C:C,C566),"Good to go","Short in Qty")</f>
        <v>Good to go</v>
      </c>
      <c r="C566" s="40">
        <v>40062343</v>
      </c>
      <c r="D566" s="40" t="s">
        <v>543</v>
      </c>
      <c r="E566" s="66">
        <v>30</v>
      </c>
      <c r="F566" s="38" t="s">
        <v>11</v>
      </c>
      <c r="G566" s="40" t="s">
        <v>467</v>
      </c>
      <c r="H566" s="38" t="s">
        <v>594</v>
      </c>
      <c r="I566" s="38" t="s">
        <v>595</v>
      </c>
      <c r="J566" s="38">
        <f>IFERROR(VLOOKUP(C:C,'[1]S&amp;S'!$B:$F,5,0),)</f>
        <v>1890</v>
      </c>
      <c r="K566" s="38">
        <f>IFERROR(VLOOKUP(A:A,[1]APO!$A:$F,6,0),)</f>
        <v>0</v>
      </c>
      <c r="L566" s="38">
        <f>IFERROR(VLOOKUP(C:C,'[1]TOTAL APO'!$A:$B,2,0),)</f>
        <v>0</v>
      </c>
      <c r="M566" s="38">
        <f>IFERROR(VLOOKUP(A:A,[1]Short!$A:$Q,17,0),)</f>
        <v>0</v>
      </c>
      <c r="N566" s="38">
        <f>IFERROR(VLOOKUP(C:C,[1]GIT!$B:$D,3,0),)</f>
        <v>0</v>
      </c>
      <c r="O566" s="38">
        <f>IFERROR(VLOOKUP(A:A,[2]Sheet1!$A:$B,2,0),)</f>
        <v>30</v>
      </c>
      <c r="P566" s="38">
        <f>IFERROR(VLOOKUP(A:A,[2]Sheet1!$A:$B,2,0),)</f>
        <v>30</v>
      </c>
      <c r="Q566" s="38">
        <f t="shared" si="8"/>
        <v>0</v>
      </c>
      <c r="R566" s="38"/>
      <c r="S566" s="38"/>
    </row>
    <row r="567" spans="1:19" hidden="1" x14ac:dyDescent="0.25">
      <c r="A567" s="38" t="str">
        <f>F567&amp;C567</f>
        <v>C04240061999</v>
      </c>
      <c r="B567" s="38" t="str">
        <f>IF(J567&gt;=SUMIFS(E:E,C:C,C567),"Good to go","Short in Qty")</f>
        <v>Good to go</v>
      </c>
      <c r="C567" s="40">
        <v>40061999</v>
      </c>
      <c r="D567" s="40" t="s">
        <v>316</v>
      </c>
      <c r="E567" s="66">
        <v>44</v>
      </c>
      <c r="F567" s="38" t="s">
        <v>10</v>
      </c>
      <c r="G567" s="40" t="s">
        <v>467</v>
      </c>
      <c r="H567" s="38" t="s">
        <v>151</v>
      </c>
      <c r="I567" s="38" t="s">
        <v>369</v>
      </c>
      <c r="J567" s="38">
        <f>IFERROR(VLOOKUP(C:C,'[1]S&amp;S'!$B:$F,5,0),)</f>
        <v>359</v>
      </c>
      <c r="K567" s="38">
        <f>IFERROR(VLOOKUP(A:A,[1]APO!$A:$F,6,0),)</f>
        <v>0</v>
      </c>
      <c r="L567" s="38">
        <f>IFERROR(VLOOKUP(C:C,'[1]TOTAL APO'!$A:$B,2,0),)</f>
        <v>0</v>
      </c>
      <c r="M567" s="38">
        <f>IFERROR(VLOOKUP(A:A,[1]Short!$A:$Q,17,0),)</f>
        <v>0</v>
      </c>
      <c r="N567" s="38">
        <f>IFERROR(VLOOKUP(C:C,[1]GIT!$B:$D,3,0),)</f>
        <v>0</v>
      </c>
      <c r="O567" s="38">
        <f>IFERROR(VLOOKUP(A:A,[2]Sheet1!$A:$B,2,0),)</f>
        <v>44</v>
      </c>
      <c r="P567" s="38">
        <f>IFERROR(VLOOKUP(A:A,[2]Sheet1!$A:$B,2,0),)</f>
        <v>44</v>
      </c>
      <c r="Q567" s="38">
        <f t="shared" si="8"/>
        <v>0</v>
      </c>
      <c r="R567" s="38"/>
      <c r="S567" s="38"/>
    </row>
    <row r="568" spans="1:19" hidden="1" x14ac:dyDescent="0.25">
      <c r="A568" s="38" t="str">
        <f>F568&amp;C568</f>
        <v>C04340062519</v>
      </c>
      <c r="B568" s="38" t="str">
        <f>IF(J568&gt;=SUMIFS(E:E,C:C,C568),"Good to go","Short in Qty")</f>
        <v>Good to go</v>
      </c>
      <c r="C568" s="40">
        <v>40062519</v>
      </c>
      <c r="D568" s="40" t="s">
        <v>591</v>
      </c>
      <c r="E568" s="66">
        <v>5</v>
      </c>
      <c r="F568" s="38" t="s">
        <v>11</v>
      </c>
      <c r="G568" s="40" t="s">
        <v>467</v>
      </c>
      <c r="H568" s="38" t="s">
        <v>594</v>
      </c>
      <c r="I568" s="38" t="s">
        <v>595</v>
      </c>
      <c r="J568" s="38">
        <f>IFERROR(VLOOKUP(C:C,'[1]S&amp;S'!$B:$F,5,0),)</f>
        <v>119</v>
      </c>
      <c r="K568" s="38">
        <f>IFERROR(VLOOKUP(A:A,[1]APO!$A:$F,6,0),)</f>
        <v>0</v>
      </c>
      <c r="L568" s="38">
        <f>IFERROR(VLOOKUP(C:C,'[1]TOTAL APO'!$A:$B,2,0),)</f>
        <v>0</v>
      </c>
      <c r="M568" s="38">
        <f>IFERROR(VLOOKUP(A:A,[1]Short!$A:$Q,17,0),)</f>
        <v>0</v>
      </c>
      <c r="N568" s="38">
        <f>IFERROR(VLOOKUP(C:C,[1]GIT!$B:$D,3,0),)</f>
        <v>0</v>
      </c>
      <c r="O568" s="38">
        <f>IFERROR(VLOOKUP(A:A,[2]Sheet1!$A:$B,2,0),)</f>
        <v>5</v>
      </c>
      <c r="P568" s="38">
        <f>IFERROR(VLOOKUP(A:A,[2]Sheet1!$A:$B,2,0),)</f>
        <v>5</v>
      </c>
      <c r="Q568" s="38">
        <f t="shared" si="8"/>
        <v>0</v>
      </c>
      <c r="R568" s="38"/>
      <c r="S568" s="38"/>
    </row>
    <row r="569" spans="1:19" hidden="1" x14ac:dyDescent="0.25">
      <c r="A569" s="38" t="str">
        <f>F569&amp;C569</f>
        <v>C04440062519</v>
      </c>
      <c r="B569" s="38" t="str">
        <f>IF(J569&gt;=SUMIFS(E:E,C:C,C569),"Good to go","Short in Qty")</f>
        <v>Good to go</v>
      </c>
      <c r="C569" s="40">
        <v>40062519</v>
      </c>
      <c r="D569" s="40" t="s">
        <v>591</v>
      </c>
      <c r="E569" s="66">
        <v>5</v>
      </c>
      <c r="F569" s="38" t="s">
        <v>191</v>
      </c>
      <c r="G569" s="40"/>
      <c r="H569" s="38" t="s">
        <v>594</v>
      </c>
      <c r="I569" s="38" t="s">
        <v>595</v>
      </c>
      <c r="J569" s="38">
        <f>IFERROR(VLOOKUP(C:C,'[1]S&amp;S'!$B:$F,5,0),)</f>
        <v>119</v>
      </c>
      <c r="K569" s="38">
        <f>IFERROR(VLOOKUP(A:A,[1]APO!$A:$F,6,0),)</f>
        <v>0</v>
      </c>
      <c r="L569" s="38">
        <f>IFERROR(VLOOKUP(C:C,'[1]TOTAL APO'!$A:$B,2,0),)</f>
        <v>0</v>
      </c>
      <c r="M569" s="38">
        <f>IFERROR(VLOOKUP(A:A,[1]Short!$A:$Q,17,0),)</f>
        <v>0</v>
      </c>
      <c r="N569" s="38">
        <f>IFERROR(VLOOKUP(C:C,[1]GIT!$B:$D,3,0),)</f>
        <v>0</v>
      </c>
      <c r="O569" s="38">
        <f>IFERROR(VLOOKUP(A:A,[2]Sheet1!$A:$B,2,0),)</f>
        <v>0</v>
      </c>
      <c r="P569" s="38">
        <f>IFERROR(VLOOKUP(A:A,[2]Sheet1!$A:$B,2,0),)</f>
        <v>0</v>
      </c>
      <c r="Q569" s="38">
        <f t="shared" si="8"/>
        <v>5</v>
      </c>
      <c r="R569" s="38"/>
      <c r="S569" s="38"/>
    </row>
    <row r="570" spans="1:19" hidden="1" x14ac:dyDescent="0.25">
      <c r="A570" s="38" t="str">
        <f>F570&amp;C570</f>
        <v>C13140062519</v>
      </c>
      <c r="B570" s="38" t="str">
        <f>IF(J570&gt;=SUMIFS(E:E,C:C,C570),"Good to go","Short in Qty")</f>
        <v>Good to go</v>
      </c>
      <c r="C570" s="40">
        <v>40062519</v>
      </c>
      <c r="D570" s="40" t="s">
        <v>591</v>
      </c>
      <c r="E570" s="66">
        <v>30</v>
      </c>
      <c r="F570" s="38" t="s">
        <v>17</v>
      </c>
      <c r="G570" s="40" t="s">
        <v>467</v>
      </c>
      <c r="H570" s="38" t="s">
        <v>594</v>
      </c>
      <c r="I570" s="38" t="s">
        <v>595</v>
      </c>
      <c r="J570" s="38">
        <f>IFERROR(VLOOKUP(C:C,'[1]S&amp;S'!$B:$F,5,0),)</f>
        <v>119</v>
      </c>
      <c r="K570" s="38">
        <f>IFERROR(VLOOKUP(A:A,[1]APO!$A:$F,6,0),)</f>
        <v>0</v>
      </c>
      <c r="L570" s="38">
        <f>IFERROR(VLOOKUP(C:C,'[1]TOTAL APO'!$A:$B,2,0),)</f>
        <v>0</v>
      </c>
      <c r="M570" s="38">
        <f>IFERROR(VLOOKUP(A:A,[1]Short!$A:$Q,17,0),)</f>
        <v>0</v>
      </c>
      <c r="N570" s="38">
        <f>IFERROR(VLOOKUP(C:C,[1]GIT!$B:$D,3,0),)</f>
        <v>0</v>
      </c>
      <c r="O570" s="38">
        <f>IFERROR(VLOOKUP(A:A,[2]Sheet1!$A:$B,2,0),)</f>
        <v>30</v>
      </c>
      <c r="P570" s="38">
        <f>IFERROR(VLOOKUP(A:A,[2]Sheet1!$A:$B,2,0),)</f>
        <v>30</v>
      </c>
      <c r="Q570" s="38">
        <f t="shared" si="8"/>
        <v>0</v>
      </c>
      <c r="R570" s="38"/>
      <c r="S570" s="38"/>
    </row>
    <row r="571" spans="1:19" hidden="1" x14ac:dyDescent="0.25">
      <c r="A571" s="38" t="str">
        <f>F571&amp;C571</f>
        <v>C04240064430</v>
      </c>
      <c r="B571" s="38" t="str">
        <f>IF(J571&gt;=SUMIFS(E:E,C:C,C571),"Good to go","Short in Qty")</f>
        <v>Good to go</v>
      </c>
      <c r="C571" s="40">
        <v>40064430</v>
      </c>
      <c r="D571" s="40" t="s">
        <v>561</v>
      </c>
      <c r="E571" s="66">
        <v>73</v>
      </c>
      <c r="F571" s="38" t="s">
        <v>10</v>
      </c>
      <c r="G571" s="40" t="s">
        <v>467</v>
      </c>
      <c r="H571" s="38" t="s">
        <v>594</v>
      </c>
      <c r="I571" s="38" t="s">
        <v>595</v>
      </c>
      <c r="J571" s="38">
        <f>IFERROR(VLOOKUP(C:C,'[1]S&amp;S'!$B:$F,5,0),)</f>
        <v>120</v>
      </c>
      <c r="K571" s="38">
        <f>IFERROR(VLOOKUP(A:A,[1]APO!$A:$F,6,0),)</f>
        <v>0</v>
      </c>
      <c r="L571" s="38">
        <f>IFERROR(VLOOKUP(C:C,'[1]TOTAL APO'!$A:$B,2,0),)</f>
        <v>0</v>
      </c>
      <c r="M571" s="38">
        <f>IFERROR(VLOOKUP(A:A,[1]Short!$A:$Q,17,0),)</f>
        <v>0</v>
      </c>
      <c r="N571" s="38">
        <f>IFERROR(VLOOKUP(C:C,[1]GIT!$B:$D,3,0),)</f>
        <v>120</v>
      </c>
      <c r="O571" s="38">
        <f>IFERROR(VLOOKUP(A:A,[2]Sheet1!$A:$B,2,0),)</f>
        <v>73</v>
      </c>
      <c r="P571" s="38">
        <f>IFERROR(VLOOKUP(A:A,[2]Sheet1!$A:$B,2,0),)</f>
        <v>73</v>
      </c>
      <c r="Q571" s="38">
        <f t="shared" si="8"/>
        <v>0</v>
      </c>
      <c r="R571" s="38"/>
      <c r="S571" s="38"/>
    </row>
    <row r="572" spans="1:19" hidden="1" x14ac:dyDescent="0.25">
      <c r="A572" s="38" t="str">
        <f>F572&amp;C572</f>
        <v>C04340063022</v>
      </c>
      <c r="B572" s="38" t="str">
        <f>IF(J572&gt;=SUMIFS(E:E,C:C,C572),"Good to go","Short in Qty")</f>
        <v>Good to go</v>
      </c>
      <c r="C572" s="40">
        <v>40063022</v>
      </c>
      <c r="D572" s="40" t="s">
        <v>603</v>
      </c>
      <c r="E572" s="66">
        <v>65</v>
      </c>
      <c r="F572" s="38" t="s">
        <v>11</v>
      </c>
      <c r="G572" s="40" t="s">
        <v>467</v>
      </c>
      <c r="H572" s="38" t="s">
        <v>84</v>
      </c>
      <c r="I572" s="38" t="s">
        <v>620</v>
      </c>
      <c r="J572" s="38">
        <f>IFERROR(VLOOKUP(C:C,'[1]S&amp;S'!$B:$F,5,0),)</f>
        <v>224</v>
      </c>
      <c r="K572" s="38">
        <f>IFERROR(VLOOKUP(A:A,[1]APO!$A:$F,6,0),)</f>
        <v>0</v>
      </c>
      <c r="L572" s="38">
        <f>IFERROR(VLOOKUP(C:C,'[1]TOTAL APO'!$A:$B,2,0),)</f>
        <v>0</v>
      </c>
      <c r="M572" s="38">
        <f>IFERROR(VLOOKUP(A:A,[1]Short!$A:$Q,17,0),)</f>
        <v>0</v>
      </c>
      <c r="N572" s="38">
        <f>IFERROR(VLOOKUP(C:C,[1]GIT!$B:$D,3,0),)</f>
        <v>0</v>
      </c>
      <c r="O572" s="38">
        <f>IFERROR(VLOOKUP(A:A,[2]Sheet1!$A:$B,2,0),)</f>
        <v>65</v>
      </c>
      <c r="P572" s="38">
        <f>IFERROR(VLOOKUP(A:A,[2]Sheet1!$A:$B,2,0),)</f>
        <v>65</v>
      </c>
      <c r="Q572" s="38">
        <f t="shared" si="8"/>
        <v>0</v>
      </c>
      <c r="R572" s="38"/>
      <c r="S572" s="38"/>
    </row>
    <row r="573" spans="1:19" hidden="1" x14ac:dyDescent="0.25">
      <c r="A573" s="38" t="str">
        <f>F573&amp;C573</f>
        <v>C04240065291</v>
      </c>
      <c r="B573" s="38" t="str">
        <f>IF(J573&gt;=SUMIFS(E:E,C:C,C573),"Good to go","Short in Qty")</f>
        <v>Good to go</v>
      </c>
      <c r="C573" s="40">
        <v>40065291</v>
      </c>
      <c r="D573" s="40" t="s">
        <v>600</v>
      </c>
      <c r="E573" s="66">
        <v>715</v>
      </c>
      <c r="F573" s="38" t="s">
        <v>10</v>
      </c>
      <c r="G573" s="40" t="s">
        <v>467</v>
      </c>
      <c r="H573" s="38" t="s">
        <v>84</v>
      </c>
      <c r="I573" s="38" t="s">
        <v>620</v>
      </c>
      <c r="J573" s="38">
        <f>IFERROR(VLOOKUP(C:C,'[1]S&amp;S'!$B:$F,5,0),)</f>
        <v>10929</v>
      </c>
      <c r="K573" s="38">
        <f>IFERROR(VLOOKUP(A:A,[1]APO!$A:$F,6,0),)</f>
        <v>0</v>
      </c>
      <c r="L573" s="38">
        <f>IFERROR(VLOOKUP(C:C,'[1]TOTAL APO'!$A:$B,2,0),)</f>
        <v>0</v>
      </c>
      <c r="M573" s="38">
        <f>IFERROR(VLOOKUP(A:A,[1]Short!$A:$Q,17,0),)</f>
        <v>0</v>
      </c>
      <c r="N573" s="38">
        <f>IFERROR(VLOOKUP(C:C,[1]GIT!$B:$D,3,0),)</f>
        <v>2740</v>
      </c>
      <c r="O573" s="38">
        <f>IFERROR(VLOOKUP(A:A,[2]Sheet1!$A:$B,2,0),)</f>
        <v>715</v>
      </c>
      <c r="P573" s="38">
        <f>IFERROR(VLOOKUP(A:A,[2]Sheet1!$A:$B,2,0),)</f>
        <v>715</v>
      </c>
      <c r="Q573" s="38">
        <f t="shared" si="8"/>
        <v>0</v>
      </c>
      <c r="R573" s="38"/>
      <c r="S573" s="38"/>
    </row>
    <row r="574" spans="1:19" hidden="1" x14ac:dyDescent="0.25">
      <c r="A574" s="38" t="str">
        <f>F574&amp;C574</f>
        <v>C04340063016</v>
      </c>
      <c r="B574" s="38" t="str">
        <f>IF(J574&gt;=SUMIFS(E:E,C:C,C574),"Good to go","Short in Qty")</f>
        <v>Good to go</v>
      </c>
      <c r="C574" s="40">
        <v>40063016</v>
      </c>
      <c r="D574" s="40" t="s">
        <v>230</v>
      </c>
      <c r="E574" s="66">
        <v>8</v>
      </c>
      <c r="F574" s="38" t="s">
        <v>11</v>
      </c>
      <c r="G574" s="40" t="s">
        <v>467</v>
      </c>
      <c r="H574" s="38" t="s">
        <v>9</v>
      </c>
      <c r="I574" s="38" t="s">
        <v>530</v>
      </c>
      <c r="J574" s="38">
        <f>IFERROR(VLOOKUP(C:C,'[1]S&amp;S'!$B:$F,5,0),)</f>
        <v>401</v>
      </c>
      <c r="K574" s="38">
        <f>IFERROR(VLOOKUP(A:A,[1]APO!$A:$F,6,0),)</f>
        <v>0</v>
      </c>
      <c r="L574" s="38">
        <f>IFERROR(VLOOKUP(C:C,'[1]TOTAL APO'!$A:$B,2,0),)</f>
        <v>0</v>
      </c>
      <c r="M574" s="38">
        <f>IFERROR(VLOOKUP(A:A,[1]Short!$A:$Q,17,0),)</f>
        <v>0</v>
      </c>
      <c r="N574" s="38">
        <f>IFERROR(VLOOKUP(C:C,[1]GIT!$B:$D,3,0),)</f>
        <v>0</v>
      </c>
      <c r="O574" s="38">
        <f>IFERROR(VLOOKUP(A:A,[2]Sheet1!$A:$B,2,0),)</f>
        <v>8</v>
      </c>
      <c r="P574" s="38">
        <f>IFERROR(VLOOKUP(A:A,[2]Sheet1!$A:$B,2,0),)</f>
        <v>8</v>
      </c>
      <c r="Q574" s="38">
        <f t="shared" si="8"/>
        <v>0</v>
      </c>
      <c r="R574" s="38"/>
      <c r="S574" s="38"/>
    </row>
    <row r="575" spans="1:19" hidden="1" x14ac:dyDescent="0.25">
      <c r="A575" s="38" t="str">
        <f>F575&amp;C575</f>
        <v>C04240063427</v>
      </c>
      <c r="B575" s="38" t="str">
        <f>IF(J575&gt;=SUMIFS(E:E,C:C,C575),"Good to go","Short in Qty")</f>
        <v>Good to go</v>
      </c>
      <c r="C575" s="40">
        <v>40063427</v>
      </c>
      <c r="D575" s="40" t="s">
        <v>601</v>
      </c>
      <c r="E575" s="66">
        <v>4</v>
      </c>
      <c r="F575" s="38" t="s">
        <v>10</v>
      </c>
      <c r="G575" s="40" t="s">
        <v>467</v>
      </c>
      <c r="H575" s="38" t="s">
        <v>84</v>
      </c>
      <c r="I575" s="38" t="s">
        <v>620</v>
      </c>
      <c r="J575" s="38">
        <f>IFERROR(VLOOKUP(C:C,'[1]S&amp;S'!$B:$F,5,0),)</f>
        <v>30</v>
      </c>
      <c r="K575" s="38">
        <f>IFERROR(VLOOKUP(A:A,[1]APO!$A:$F,6,0),)</f>
        <v>0</v>
      </c>
      <c r="L575" s="38">
        <f>IFERROR(VLOOKUP(C:C,'[1]TOTAL APO'!$A:$B,2,0),)</f>
        <v>0</v>
      </c>
      <c r="M575" s="38">
        <f>IFERROR(VLOOKUP(A:A,[1]Short!$A:$Q,17,0),)</f>
        <v>0</v>
      </c>
      <c r="N575" s="38">
        <f>IFERROR(VLOOKUP(C:C,[1]GIT!$B:$D,3,0),)</f>
        <v>0</v>
      </c>
      <c r="O575" s="38">
        <f>IFERROR(VLOOKUP(A:A,[2]Sheet1!$A:$B,2,0),)</f>
        <v>4</v>
      </c>
      <c r="P575" s="38">
        <f>IFERROR(VLOOKUP(A:A,[2]Sheet1!$A:$B,2,0),)</f>
        <v>4</v>
      </c>
      <c r="Q575" s="38">
        <f t="shared" si="8"/>
        <v>0</v>
      </c>
      <c r="R575" s="38"/>
      <c r="S575" s="38"/>
    </row>
    <row r="576" spans="1:19" hidden="1" x14ac:dyDescent="0.25">
      <c r="A576" s="38" t="str">
        <f>F576&amp;C576</f>
        <v>C04240063968</v>
      </c>
      <c r="B576" s="38" t="str">
        <f>IF(J576&gt;=SUMIFS(E:E,C:C,C576),"Good to go","Short in Qty")</f>
        <v>Short in Qty</v>
      </c>
      <c r="C576" s="40">
        <v>40063968</v>
      </c>
      <c r="D576" s="40" t="s">
        <v>568</v>
      </c>
      <c r="E576" s="66">
        <v>1</v>
      </c>
      <c r="F576" s="38" t="s">
        <v>10</v>
      </c>
      <c r="G576" s="40" t="s">
        <v>621</v>
      </c>
      <c r="H576" s="38" t="s">
        <v>594</v>
      </c>
      <c r="I576" s="38" t="s">
        <v>595</v>
      </c>
      <c r="J576" s="38">
        <f>IFERROR(VLOOKUP(C:C,'[1]S&amp;S'!$B:$F,5,0),)</f>
        <v>0</v>
      </c>
      <c r="K576" s="38">
        <f>IFERROR(VLOOKUP(A:A,[1]APO!$A:$F,6,0),)</f>
        <v>0</v>
      </c>
      <c r="L576" s="38">
        <f>IFERROR(VLOOKUP(C:C,'[1]TOTAL APO'!$A:$B,2,0),)</f>
        <v>0</v>
      </c>
      <c r="M576" s="38">
        <f>IFERROR(VLOOKUP(A:A,[1]Short!$A:$Q,17,0),)</f>
        <v>0</v>
      </c>
      <c r="N576" s="38">
        <f>IFERROR(VLOOKUP(C:C,[1]GIT!$B:$D,3,0),)</f>
        <v>0</v>
      </c>
      <c r="O576" s="38">
        <f>IFERROR(VLOOKUP(A:A,[2]Sheet1!$A:$B,2,0),)</f>
        <v>0</v>
      </c>
      <c r="P576" s="38">
        <f>IFERROR(VLOOKUP(A:A,[2]Sheet1!$A:$B,2,0),)</f>
        <v>0</v>
      </c>
      <c r="Q576" s="38">
        <f t="shared" si="8"/>
        <v>1</v>
      </c>
      <c r="R576" s="38"/>
      <c r="S576" s="38"/>
    </row>
    <row r="577" spans="1:19" hidden="1" x14ac:dyDescent="0.25">
      <c r="A577" s="38" t="str">
        <f>F577&amp;C577</f>
        <v>C04440064103</v>
      </c>
      <c r="B577" s="38" t="str">
        <f>IF(J577&gt;=SUMIFS(E:E,C:C,C577),"Good to go","Short in Qty")</f>
        <v>Short in Qty</v>
      </c>
      <c r="C577" s="40">
        <v>40064103</v>
      </c>
      <c r="D577" s="40" t="s">
        <v>550</v>
      </c>
      <c r="E577" s="66">
        <v>20</v>
      </c>
      <c r="F577" s="38" t="s">
        <v>191</v>
      </c>
      <c r="G577" s="40" t="s">
        <v>269</v>
      </c>
      <c r="H577" s="38" t="s">
        <v>594</v>
      </c>
      <c r="I577" s="38" t="s">
        <v>595</v>
      </c>
      <c r="J577" s="38">
        <f>IFERROR(VLOOKUP(C:C,'[1]S&amp;S'!$B:$F,5,0),)</f>
        <v>0</v>
      </c>
      <c r="K577" s="38">
        <f>IFERROR(VLOOKUP(A:A,[1]APO!$A:$F,6,0),)</f>
        <v>0</v>
      </c>
      <c r="L577" s="38">
        <f>IFERROR(VLOOKUP(C:C,'[1]TOTAL APO'!$A:$B,2,0),)</f>
        <v>0</v>
      </c>
      <c r="M577" s="38">
        <f>IFERROR(VLOOKUP(A:A,[1]Short!$A:$Q,17,0),)</f>
        <v>0</v>
      </c>
      <c r="N577" s="38">
        <f>IFERROR(VLOOKUP(C:C,[1]GIT!$B:$D,3,0),)</f>
        <v>0</v>
      </c>
      <c r="O577" s="38">
        <f>IFERROR(VLOOKUP(A:A,[2]Sheet1!$A:$B,2,0),)</f>
        <v>0</v>
      </c>
      <c r="P577" s="38">
        <f>IFERROR(VLOOKUP(A:A,[2]Sheet1!$A:$B,2,0),)</f>
        <v>0</v>
      </c>
      <c r="Q577" s="38">
        <f t="shared" si="8"/>
        <v>20</v>
      </c>
      <c r="R577" s="38"/>
      <c r="S577" s="38"/>
    </row>
    <row r="578" spans="1:19" hidden="1" x14ac:dyDescent="0.25">
      <c r="A578" s="38" t="str">
        <f>F578&amp;C578</f>
        <v>C04240064428</v>
      </c>
      <c r="B578" s="38" t="str">
        <f>IF(J578&gt;=SUMIFS(E:E,C:C,C578),"Good to go","Short in Qty")</f>
        <v>Good to go</v>
      </c>
      <c r="C578" s="40">
        <v>40064428</v>
      </c>
      <c r="D578" s="40" t="s">
        <v>336</v>
      </c>
      <c r="E578" s="66">
        <v>11</v>
      </c>
      <c r="F578" s="38" t="s">
        <v>10</v>
      </c>
      <c r="G578" s="40" t="s">
        <v>467</v>
      </c>
      <c r="H578" s="38" t="s">
        <v>151</v>
      </c>
      <c r="I578" s="38" t="s">
        <v>369</v>
      </c>
      <c r="J578" s="38">
        <f>IFERROR(VLOOKUP(C:C,'[1]S&amp;S'!$B:$F,5,0),)</f>
        <v>70</v>
      </c>
      <c r="K578" s="38">
        <f>IFERROR(VLOOKUP(A:A,[1]APO!$A:$F,6,0),)</f>
        <v>0</v>
      </c>
      <c r="L578" s="38">
        <f>IFERROR(VLOOKUP(C:C,'[1]TOTAL APO'!$A:$B,2,0),)</f>
        <v>0</v>
      </c>
      <c r="M578" s="38">
        <f>IFERROR(VLOOKUP(A:A,[1]Short!$A:$Q,17,0),)</f>
        <v>0</v>
      </c>
      <c r="N578" s="38">
        <f>IFERROR(VLOOKUP(C:C,[1]GIT!$B:$D,3,0),)</f>
        <v>70</v>
      </c>
      <c r="O578" s="38">
        <f>IFERROR(VLOOKUP(A:A,[2]Sheet1!$A:$B,2,0),)</f>
        <v>11</v>
      </c>
      <c r="P578" s="38">
        <f>IFERROR(VLOOKUP(A:A,[2]Sheet1!$A:$B,2,0),)</f>
        <v>11</v>
      </c>
      <c r="Q578" s="38">
        <f t="shared" si="8"/>
        <v>0</v>
      </c>
      <c r="R578" s="38"/>
      <c r="S578" s="38"/>
    </row>
    <row r="579" spans="1:19" hidden="1" x14ac:dyDescent="0.25">
      <c r="A579" s="38" t="str">
        <f>F579&amp;C579</f>
        <v>C04340064430</v>
      </c>
      <c r="B579" s="38" t="str">
        <f>IF(J579&gt;=SUMIFS(E:E,C:C,C579),"Good to go","Short in Qty")</f>
        <v>Good to go</v>
      </c>
      <c r="C579" s="40">
        <v>40064430</v>
      </c>
      <c r="D579" s="40" t="s">
        <v>561</v>
      </c>
      <c r="E579" s="66">
        <v>20</v>
      </c>
      <c r="F579" s="38" t="s">
        <v>11</v>
      </c>
      <c r="G579" s="40" t="s">
        <v>467</v>
      </c>
      <c r="H579" s="38" t="s">
        <v>594</v>
      </c>
      <c r="I579" s="38" t="s">
        <v>595</v>
      </c>
      <c r="J579" s="38">
        <f>IFERROR(VLOOKUP(C:C,'[1]S&amp;S'!$B:$F,5,0),)</f>
        <v>120</v>
      </c>
      <c r="K579" s="38">
        <f>IFERROR(VLOOKUP(A:A,[1]APO!$A:$F,6,0),)</f>
        <v>0</v>
      </c>
      <c r="L579" s="38">
        <f>IFERROR(VLOOKUP(C:C,'[1]TOTAL APO'!$A:$B,2,0),)</f>
        <v>0</v>
      </c>
      <c r="M579" s="38">
        <f>IFERROR(VLOOKUP(A:A,[1]Short!$A:$Q,17,0),)</f>
        <v>0</v>
      </c>
      <c r="N579" s="38">
        <f>IFERROR(VLOOKUP(C:C,[1]GIT!$B:$D,3,0),)</f>
        <v>120</v>
      </c>
      <c r="O579" s="38">
        <f>IFERROR(VLOOKUP(A:A,[2]Sheet1!$A:$B,2,0),)</f>
        <v>20</v>
      </c>
      <c r="P579" s="38">
        <f>IFERROR(VLOOKUP(A:A,[2]Sheet1!$A:$B,2,0),)</f>
        <v>20</v>
      </c>
      <c r="Q579" s="38">
        <f t="shared" ref="Q579:Q642" si="9">+E579-P579</f>
        <v>0</v>
      </c>
      <c r="R579" s="38"/>
      <c r="S579" s="38"/>
    </row>
    <row r="580" spans="1:19" hidden="1" x14ac:dyDescent="0.25">
      <c r="A580" s="38" t="str">
        <f>F580&amp;C580</f>
        <v>C04240063605</v>
      </c>
      <c r="B580" s="38" t="str">
        <f>IF(J580&gt;=SUMIFS(E:E,C:C,C580),"Good to go","Short in Qty")</f>
        <v>Good to go</v>
      </c>
      <c r="C580" s="40">
        <v>40063605</v>
      </c>
      <c r="D580" s="40" t="s">
        <v>604</v>
      </c>
      <c r="E580" s="66">
        <v>3</v>
      </c>
      <c r="F580" s="38" t="s">
        <v>10</v>
      </c>
      <c r="G580" s="40" t="s">
        <v>467</v>
      </c>
      <c r="H580" s="38" t="s">
        <v>84</v>
      </c>
      <c r="I580" s="38" t="s">
        <v>620</v>
      </c>
      <c r="J580" s="38">
        <f>IFERROR(VLOOKUP(C:C,'[1]S&amp;S'!$B:$F,5,0),)</f>
        <v>3</v>
      </c>
      <c r="K580" s="38">
        <f>IFERROR(VLOOKUP(A:A,[1]APO!$A:$F,6,0),)</f>
        <v>0</v>
      </c>
      <c r="L580" s="38">
        <f>IFERROR(VLOOKUP(C:C,'[1]TOTAL APO'!$A:$B,2,0),)</f>
        <v>0</v>
      </c>
      <c r="M580" s="38">
        <f>IFERROR(VLOOKUP(A:A,[1]Short!$A:$Q,17,0),)</f>
        <v>0</v>
      </c>
      <c r="N580" s="38">
        <f>IFERROR(VLOOKUP(C:C,[1]GIT!$B:$D,3,0),)</f>
        <v>0</v>
      </c>
      <c r="O580" s="38">
        <f>IFERROR(VLOOKUP(A:A,[2]Sheet1!$A:$B,2,0),)</f>
        <v>3</v>
      </c>
      <c r="P580" s="38">
        <f>IFERROR(VLOOKUP(A:A,[2]Sheet1!$A:$B,2,0),)</f>
        <v>3</v>
      </c>
      <c r="Q580" s="38">
        <f t="shared" si="9"/>
        <v>0</v>
      </c>
      <c r="R580" s="38"/>
      <c r="S580" s="38"/>
    </row>
    <row r="581" spans="1:19" hidden="1" x14ac:dyDescent="0.25">
      <c r="A581" s="38" t="str">
        <f>F581&amp;C581</f>
        <v>C04440064430</v>
      </c>
      <c r="B581" s="38" t="str">
        <f>IF(J581&gt;=SUMIFS(E:E,C:C,C581),"Good to go","Short in Qty")</f>
        <v>Good to go</v>
      </c>
      <c r="C581" s="40">
        <v>40064430</v>
      </c>
      <c r="D581" s="40" t="s">
        <v>561</v>
      </c>
      <c r="E581" s="66">
        <v>20</v>
      </c>
      <c r="F581" s="38" t="s">
        <v>191</v>
      </c>
      <c r="G581" s="40"/>
      <c r="H581" s="38" t="s">
        <v>594</v>
      </c>
      <c r="I581" s="38" t="s">
        <v>595</v>
      </c>
      <c r="J581" s="38">
        <f>IFERROR(VLOOKUP(C:C,'[1]S&amp;S'!$B:$F,5,0),)</f>
        <v>120</v>
      </c>
      <c r="K581" s="38">
        <f>IFERROR(VLOOKUP(A:A,[1]APO!$A:$F,6,0),)</f>
        <v>0</v>
      </c>
      <c r="L581" s="38">
        <f>IFERROR(VLOOKUP(C:C,'[1]TOTAL APO'!$A:$B,2,0),)</f>
        <v>0</v>
      </c>
      <c r="M581" s="38">
        <f>IFERROR(VLOOKUP(A:A,[1]Short!$A:$Q,17,0),)</f>
        <v>0</v>
      </c>
      <c r="N581" s="38">
        <f>IFERROR(VLOOKUP(C:C,[1]GIT!$B:$D,3,0),)</f>
        <v>120</v>
      </c>
      <c r="O581" s="38">
        <f>IFERROR(VLOOKUP(A:A,[2]Sheet1!$A:$B,2,0),)</f>
        <v>0</v>
      </c>
      <c r="P581" s="38">
        <f>IFERROR(VLOOKUP(A:A,[2]Sheet1!$A:$B,2,0),)</f>
        <v>0</v>
      </c>
      <c r="Q581" s="38">
        <f t="shared" si="9"/>
        <v>20</v>
      </c>
      <c r="R581" s="38"/>
      <c r="S581" s="38"/>
    </row>
    <row r="582" spans="1:19" hidden="1" x14ac:dyDescent="0.25">
      <c r="A582" s="38" t="str">
        <f>F582&amp;C582</f>
        <v>C04640064430</v>
      </c>
      <c r="B582" s="38" t="str">
        <f>IF(J582&gt;=SUMIFS(E:E,C:C,C582),"Good to go","Short in Qty")</f>
        <v>Good to go</v>
      </c>
      <c r="C582" s="40">
        <v>40064430</v>
      </c>
      <c r="D582" s="40" t="s">
        <v>561</v>
      </c>
      <c r="E582" s="66">
        <v>5</v>
      </c>
      <c r="F582" s="38" t="s">
        <v>13</v>
      </c>
      <c r="G582" s="40"/>
      <c r="H582" s="38" t="s">
        <v>594</v>
      </c>
      <c r="I582" s="38" t="s">
        <v>595</v>
      </c>
      <c r="J582" s="38">
        <f>IFERROR(VLOOKUP(C:C,'[1]S&amp;S'!$B:$F,5,0),)</f>
        <v>120</v>
      </c>
      <c r="K582" s="38">
        <f>IFERROR(VLOOKUP(A:A,[1]APO!$A:$F,6,0),)</f>
        <v>0</v>
      </c>
      <c r="L582" s="38">
        <f>IFERROR(VLOOKUP(C:C,'[1]TOTAL APO'!$A:$B,2,0),)</f>
        <v>0</v>
      </c>
      <c r="M582" s="38">
        <f>IFERROR(VLOOKUP(A:A,[1]Short!$A:$Q,17,0),)</f>
        <v>0</v>
      </c>
      <c r="N582" s="38">
        <f>IFERROR(VLOOKUP(C:C,[1]GIT!$B:$D,3,0),)</f>
        <v>120</v>
      </c>
      <c r="O582" s="38">
        <f>IFERROR(VLOOKUP(A:A,[2]Sheet1!$A:$B,2,0),)</f>
        <v>0</v>
      </c>
      <c r="P582" s="38">
        <f>IFERROR(VLOOKUP(A:A,[2]Sheet1!$A:$B,2,0),)</f>
        <v>0</v>
      </c>
      <c r="Q582" s="38">
        <f t="shared" si="9"/>
        <v>5</v>
      </c>
      <c r="R582" s="38"/>
      <c r="S582" s="38"/>
    </row>
    <row r="583" spans="1:19" hidden="1" x14ac:dyDescent="0.25">
      <c r="A583" s="38" t="str">
        <f>F583&amp;C583</f>
        <v>C04240063016</v>
      </c>
      <c r="B583" s="38" t="str">
        <f>IF(J583&gt;=SUMIFS(E:E,C:C,C583),"Good to go","Short in Qty")</f>
        <v>Good to go</v>
      </c>
      <c r="C583" s="40">
        <v>40063016</v>
      </c>
      <c r="D583" s="40" t="s">
        <v>230</v>
      </c>
      <c r="E583" s="66">
        <v>13</v>
      </c>
      <c r="F583" s="38" t="s">
        <v>10</v>
      </c>
      <c r="G583" s="40" t="s">
        <v>467</v>
      </c>
      <c r="H583" s="38" t="s">
        <v>84</v>
      </c>
      <c r="I583" s="38" t="s">
        <v>620</v>
      </c>
      <c r="J583" s="38">
        <f>IFERROR(VLOOKUP(C:C,'[1]S&amp;S'!$B:$F,5,0),)</f>
        <v>401</v>
      </c>
      <c r="K583" s="38">
        <f>IFERROR(VLOOKUP(A:A,[1]APO!$A:$F,6,0),)</f>
        <v>0</v>
      </c>
      <c r="L583" s="38">
        <f>IFERROR(VLOOKUP(C:C,'[1]TOTAL APO'!$A:$B,2,0),)</f>
        <v>0</v>
      </c>
      <c r="M583" s="38">
        <f>IFERROR(VLOOKUP(A:A,[1]Short!$A:$Q,17,0),)</f>
        <v>0</v>
      </c>
      <c r="N583" s="38">
        <f>IFERROR(VLOOKUP(C:C,[1]GIT!$B:$D,3,0),)</f>
        <v>0</v>
      </c>
      <c r="O583" s="38">
        <f>IFERROR(VLOOKUP(A:A,[2]Sheet1!$A:$B,2,0),)</f>
        <v>13</v>
      </c>
      <c r="P583" s="38">
        <f>IFERROR(VLOOKUP(A:A,[2]Sheet1!$A:$B,2,0),)</f>
        <v>13</v>
      </c>
      <c r="Q583" s="38">
        <f t="shared" si="9"/>
        <v>0</v>
      </c>
      <c r="R583" s="38"/>
      <c r="S583" s="38"/>
    </row>
    <row r="584" spans="1:19" hidden="1" x14ac:dyDescent="0.25">
      <c r="A584" s="38" t="str">
        <f>F584&amp;C584</f>
        <v>C04240064109</v>
      </c>
      <c r="B584" s="38" t="str">
        <f>IF(J584&gt;=SUMIFS(E:E,C:C,C584),"Good to go","Short in Qty")</f>
        <v>Good to go</v>
      </c>
      <c r="C584" s="40">
        <v>40064109</v>
      </c>
      <c r="D584" s="40" t="s">
        <v>605</v>
      </c>
      <c r="E584" s="66">
        <v>10</v>
      </c>
      <c r="F584" s="38" t="s">
        <v>10</v>
      </c>
      <c r="G584" s="40" t="s">
        <v>467</v>
      </c>
      <c r="H584" s="38" t="s">
        <v>84</v>
      </c>
      <c r="I584" s="38" t="s">
        <v>620</v>
      </c>
      <c r="J584" s="38">
        <f>IFERROR(VLOOKUP(C:C,'[1]S&amp;S'!$B:$F,5,0),)</f>
        <v>50</v>
      </c>
      <c r="K584" s="38">
        <f>IFERROR(VLOOKUP(A:A,[1]APO!$A:$F,6,0),)</f>
        <v>0</v>
      </c>
      <c r="L584" s="38">
        <f>IFERROR(VLOOKUP(C:C,'[1]TOTAL APO'!$A:$B,2,0),)</f>
        <v>0</v>
      </c>
      <c r="M584" s="38">
        <f>IFERROR(VLOOKUP(A:A,[1]Short!$A:$Q,17,0),)</f>
        <v>0</v>
      </c>
      <c r="N584" s="38">
        <f>IFERROR(VLOOKUP(C:C,[1]GIT!$B:$D,3,0),)</f>
        <v>0</v>
      </c>
      <c r="O584" s="38">
        <f>IFERROR(VLOOKUP(A:A,[2]Sheet1!$A:$B,2,0),)</f>
        <v>10</v>
      </c>
      <c r="P584" s="38">
        <f>IFERROR(VLOOKUP(A:A,[2]Sheet1!$A:$B,2,0),)</f>
        <v>10</v>
      </c>
      <c r="Q584" s="38">
        <f t="shared" si="9"/>
        <v>0</v>
      </c>
      <c r="R584" s="38"/>
      <c r="S584" s="38"/>
    </row>
    <row r="585" spans="1:19" hidden="1" x14ac:dyDescent="0.25">
      <c r="A585" s="38" t="str">
        <f>F585&amp;C585</f>
        <v>C04240049729</v>
      </c>
      <c r="B585" s="38" t="str">
        <f>IF(J585&gt;=SUMIFS(E:E,C:C,C585),"Good to go","Short in Qty")</f>
        <v>Good to go</v>
      </c>
      <c r="C585" s="40">
        <v>40049729</v>
      </c>
      <c r="D585" s="40" t="s">
        <v>606</v>
      </c>
      <c r="E585" s="66">
        <v>106</v>
      </c>
      <c r="F585" s="38" t="s">
        <v>10</v>
      </c>
      <c r="G585" s="40" t="s">
        <v>467</v>
      </c>
      <c r="H585" s="38" t="s">
        <v>84</v>
      </c>
      <c r="I585" s="38" t="s">
        <v>620</v>
      </c>
      <c r="J585" s="38">
        <f>IFERROR(VLOOKUP(C:C,'[1]S&amp;S'!$B:$F,5,0),)</f>
        <v>1831</v>
      </c>
      <c r="K585" s="38">
        <f>IFERROR(VLOOKUP(A:A,[1]APO!$A:$F,6,0),)</f>
        <v>0</v>
      </c>
      <c r="L585" s="38">
        <f>IFERROR(VLOOKUP(C:C,'[1]TOTAL APO'!$A:$B,2,0),)</f>
        <v>0</v>
      </c>
      <c r="M585" s="38">
        <f>IFERROR(VLOOKUP(A:A,[1]Short!$A:$Q,17,0),)</f>
        <v>0</v>
      </c>
      <c r="N585" s="38">
        <f>IFERROR(VLOOKUP(C:C,[1]GIT!$B:$D,3,0),)</f>
        <v>0</v>
      </c>
      <c r="O585" s="38">
        <f>IFERROR(VLOOKUP(A:A,[2]Sheet1!$A:$B,2,0),)</f>
        <v>106</v>
      </c>
      <c r="P585" s="38">
        <f>IFERROR(VLOOKUP(A:A,[2]Sheet1!$A:$B,2,0),)</f>
        <v>106</v>
      </c>
      <c r="Q585" s="38">
        <f t="shared" si="9"/>
        <v>0</v>
      </c>
      <c r="R585" s="38"/>
      <c r="S585" s="38"/>
    </row>
    <row r="586" spans="1:19" hidden="1" x14ac:dyDescent="0.25">
      <c r="A586" s="38" t="str">
        <f>F586&amp;C586</f>
        <v>C04440060535</v>
      </c>
      <c r="B586" s="38" t="str">
        <f>IF(J586&gt;=SUMIFS(E:E,C:C,C586),"Good to go","Short in Qty")</f>
        <v>Good to go</v>
      </c>
      <c r="C586" s="40">
        <v>40060535</v>
      </c>
      <c r="D586" s="40" t="s">
        <v>221</v>
      </c>
      <c r="E586" s="66">
        <v>7</v>
      </c>
      <c r="F586" s="38" t="s">
        <v>191</v>
      </c>
      <c r="G586" s="40" t="s">
        <v>467</v>
      </c>
      <c r="H586" s="38" t="s">
        <v>84</v>
      </c>
      <c r="I586" s="38" t="s">
        <v>620</v>
      </c>
      <c r="J586" s="38">
        <f>IFERROR(VLOOKUP(C:C,'[1]S&amp;S'!$B:$F,5,0),)</f>
        <v>198</v>
      </c>
      <c r="K586" s="38">
        <f>IFERROR(VLOOKUP(A:A,[1]APO!$A:$F,6,0),)</f>
        <v>0</v>
      </c>
      <c r="L586" s="38">
        <f>IFERROR(VLOOKUP(C:C,'[1]TOTAL APO'!$A:$B,2,0),)</f>
        <v>0</v>
      </c>
      <c r="M586" s="38">
        <f>IFERROR(VLOOKUP(A:A,[1]Short!$A:$Q,17,0),)</f>
        <v>0</v>
      </c>
      <c r="N586" s="38">
        <f>IFERROR(VLOOKUP(C:C,[1]GIT!$B:$D,3,0),)</f>
        <v>46</v>
      </c>
      <c r="O586" s="38">
        <f>IFERROR(VLOOKUP(A:A,[2]Sheet1!$A:$B,2,0),)</f>
        <v>7</v>
      </c>
      <c r="P586" s="38">
        <f>IFERROR(VLOOKUP(A:A,[2]Sheet1!$A:$B,2,0),)</f>
        <v>7</v>
      </c>
      <c r="Q586" s="38">
        <f t="shared" si="9"/>
        <v>0</v>
      </c>
      <c r="R586" s="38"/>
      <c r="S586" s="38"/>
    </row>
    <row r="587" spans="1:19" hidden="1" x14ac:dyDescent="0.25">
      <c r="A587" s="38" t="str">
        <f>F587&amp;C587</f>
        <v>C04740063016</v>
      </c>
      <c r="B587" s="38" t="str">
        <f>IF(J587&gt;=SUMIFS(E:E,C:C,C587),"Good to go","Short in Qty")</f>
        <v>Good to go</v>
      </c>
      <c r="C587" s="40">
        <v>40063016</v>
      </c>
      <c r="D587" s="40" t="s">
        <v>230</v>
      </c>
      <c r="E587" s="66">
        <v>1</v>
      </c>
      <c r="F587" s="38" t="s">
        <v>192</v>
      </c>
      <c r="G587" s="40"/>
      <c r="H587" s="38" t="s">
        <v>84</v>
      </c>
      <c r="I587" s="38" t="s">
        <v>620</v>
      </c>
      <c r="J587" s="38">
        <f>IFERROR(VLOOKUP(C:C,'[1]S&amp;S'!$B:$F,5,0),)</f>
        <v>401</v>
      </c>
      <c r="K587" s="38">
        <f>IFERROR(VLOOKUP(A:A,[1]APO!$A:$F,6,0),)</f>
        <v>0</v>
      </c>
      <c r="L587" s="38">
        <f>IFERROR(VLOOKUP(C:C,'[1]TOTAL APO'!$A:$B,2,0),)</f>
        <v>0</v>
      </c>
      <c r="M587" s="38">
        <f>IFERROR(VLOOKUP(A:A,[1]Short!$A:$Q,17,0),)</f>
        <v>0</v>
      </c>
      <c r="N587" s="38">
        <f>IFERROR(VLOOKUP(C:C,[1]GIT!$B:$D,3,0),)</f>
        <v>0</v>
      </c>
      <c r="O587" s="38">
        <f>IFERROR(VLOOKUP(A:A,[2]Sheet1!$A:$B,2,0),)</f>
        <v>0</v>
      </c>
      <c r="P587" s="38">
        <f>IFERROR(VLOOKUP(A:A,[2]Sheet1!$A:$B,2,0),)</f>
        <v>0</v>
      </c>
      <c r="Q587" s="38">
        <f t="shared" si="9"/>
        <v>1</v>
      </c>
      <c r="R587" s="38"/>
      <c r="S587" s="38"/>
    </row>
    <row r="588" spans="1:19" hidden="1" x14ac:dyDescent="0.25">
      <c r="A588" s="38" t="str">
        <f>F588&amp;C588</f>
        <v>C04840063198</v>
      </c>
      <c r="B588" s="38" t="str">
        <f>IF(J588&gt;=SUMIFS(E:E,C:C,C588),"Good to go","Short in Qty")</f>
        <v>Good to go</v>
      </c>
      <c r="C588" s="40">
        <v>40063198</v>
      </c>
      <c r="D588" s="40" t="s">
        <v>338</v>
      </c>
      <c r="E588" s="66">
        <v>1</v>
      </c>
      <c r="F588" s="38" t="s">
        <v>8</v>
      </c>
      <c r="G588" s="40" t="s">
        <v>467</v>
      </c>
      <c r="H588" s="38" t="s">
        <v>9</v>
      </c>
      <c r="I588" s="38" t="s">
        <v>530</v>
      </c>
      <c r="J588" s="38">
        <f>IFERROR(VLOOKUP(C:C,'[1]S&amp;S'!$B:$F,5,0),)</f>
        <v>162</v>
      </c>
      <c r="K588" s="38">
        <f>IFERROR(VLOOKUP(A:A,[1]APO!$A:$F,6,0),)</f>
        <v>0</v>
      </c>
      <c r="L588" s="38">
        <f>IFERROR(VLOOKUP(C:C,'[1]TOTAL APO'!$A:$B,2,0),)</f>
        <v>0</v>
      </c>
      <c r="M588" s="38">
        <f>IFERROR(VLOOKUP(A:A,[1]Short!$A:$Q,17,0),)</f>
        <v>0</v>
      </c>
      <c r="N588" s="38">
        <f>IFERROR(VLOOKUP(C:C,[1]GIT!$B:$D,3,0),)</f>
        <v>162</v>
      </c>
      <c r="O588" s="38">
        <f>IFERROR(VLOOKUP(A:A,[2]Sheet1!$A:$B,2,0),)</f>
        <v>1</v>
      </c>
      <c r="P588" s="38">
        <f>IFERROR(VLOOKUP(A:A,[2]Sheet1!$A:$B,2,0),)</f>
        <v>1</v>
      </c>
      <c r="Q588" s="38">
        <f t="shared" si="9"/>
        <v>0</v>
      </c>
      <c r="R588" s="38"/>
      <c r="S588" s="38"/>
    </row>
    <row r="589" spans="1:19" hidden="1" x14ac:dyDescent="0.25">
      <c r="A589" s="38" t="str">
        <f>F589&amp;C589</f>
        <v>C04740063018</v>
      </c>
      <c r="B589" s="38" t="str">
        <f>IF(J589&gt;=SUMIFS(E:E,C:C,C589),"Good to go","Short in Qty")</f>
        <v>Good to go</v>
      </c>
      <c r="C589" s="40">
        <v>40063018</v>
      </c>
      <c r="D589" s="40" t="s">
        <v>511</v>
      </c>
      <c r="E589" s="66">
        <v>4</v>
      </c>
      <c r="F589" s="38" t="s">
        <v>192</v>
      </c>
      <c r="G589" s="40"/>
      <c r="H589" s="38" t="s">
        <v>84</v>
      </c>
      <c r="I589" s="38" t="s">
        <v>620</v>
      </c>
      <c r="J589" s="38">
        <f>IFERROR(VLOOKUP(C:C,'[1]S&amp;S'!$B:$F,5,0),)</f>
        <v>1061</v>
      </c>
      <c r="K589" s="38">
        <f>IFERROR(VLOOKUP(A:A,[1]APO!$A:$F,6,0),)</f>
        <v>0</v>
      </c>
      <c r="L589" s="38">
        <f>IFERROR(VLOOKUP(C:C,'[1]TOTAL APO'!$A:$B,2,0),)</f>
        <v>0</v>
      </c>
      <c r="M589" s="38">
        <f>IFERROR(VLOOKUP(A:A,[1]Short!$A:$Q,17,0),)</f>
        <v>0</v>
      </c>
      <c r="N589" s="38">
        <f>IFERROR(VLOOKUP(C:C,[1]GIT!$B:$D,3,0),)</f>
        <v>213</v>
      </c>
      <c r="O589" s="38">
        <f>IFERROR(VLOOKUP(A:A,[2]Sheet1!$A:$B,2,0),)</f>
        <v>0</v>
      </c>
      <c r="P589" s="38">
        <f>IFERROR(VLOOKUP(A:A,[2]Sheet1!$A:$B,2,0),)</f>
        <v>0</v>
      </c>
      <c r="Q589" s="38">
        <f t="shared" si="9"/>
        <v>4</v>
      </c>
      <c r="R589" s="38"/>
      <c r="S589" s="38"/>
    </row>
    <row r="590" spans="1:19" hidden="1" x14ac:dyDescent="0.25">
      <c r="A590" s="38" t="str">
        <f>F590&amp;C590</f>
        <v>C04340064497</v>
      </c>
      <c r="B590" s="38" t="str">
        <f>IF(J590&gt;=SUMIFS(E:E,C:C,C590),"Good to go","Short in Qty")</f>
        <v>Good to go</v>
      </c>
      <c r="C590" s="40">
        <v>40064497</v>
      </c>
      <c r="D590" s="40" t="s">
        <v>335</v>
      </c>
      <c r="E590" s="67">
        <v>100</v>
      </c>
      <c r="F590" s="38" t="s">
        <v>11</v>
      </c>
      <c r="G590" s="40" t="s">
        <v>467</v>
      </c>
      <c r="H590" s="38" t="s">
        <v>9</v>
      </c>
      <c r="I590" s="38" t="s">
        <v>371</v>
      </c>
      <c r="J590" s="38">
        <f>IFERROR(VLOOKUP(C:C,'[1]S&amp;S'!$B:$F,5,0),)</f>
        <v>100</v>
      </c>
      <c r="K590" s="38">
        <f>IFERROR(VLOOKUP(A:A,[1]APO!$A:$F,6,0),)</f>
        <v>0</v>
      </c>
      <c r="L590" s="38">
        <f>IFERROR(VLOOKUP(C:C,'[1]TOTAL APO'!$A:$B,2,0),)</f>
        <v>0</v>
      </c>
      <c r="M590" s="38">
        <f>IFERROR(VLOOKUP(A:A,[1]Short!$A:$Q,17,0),)</f>
        <v>0</v>
      </c>
      <c r="N590" s="38">
        <f>IFERROR(VLOOKUP(C:C,[1]GIT!$B:$D,3,0),)</f>
        <v>0</v>
      </c>
      <c r="O590" s="38">
        <f>IFERROR(VLOOKUP(A:A,[2]Sheet1!$A:$B,2,0),)</f>
        <v>100</v>
      </c>
      <c r="P590" s="38">
        <f>IFERROR(VLOOKUP(A:A,[2]Sheet1!$A:$B,2,0),)</f>
        <v>100</v>
      </c>
      <c r="Q590" s="38">
        <f t="shared" si="9"/>
        <v>0</v>
      </c>
      <c r="R590" s="38"/>
      <c r="S590" s="38"/>
    </row>
    <row r="591" spans="1:19" x14ac:dyDescent="0.25">
      <c r="A591" s="38" t="str">
        <f>F591&amp;C591</f>
        <v>C04740063020</v>
      </c>
      <c r="B591" s="38" t="str">
        <f>IF(J591&gt;=SUMIFS(E:E,C:C,C591),"Good to go","Short in Qty")</f>
        <v>Good to go</v>
      </c>
      <c r="C591" s="40">
        <v>40063020</v>
      </c>
      <c r="D591" s="40" t="s">
        <v>264</v>
      </c>
      <c r="E591" s="66">
        <v>2</v>
      </c>
      <c r="F591" s="38" t="s">
        <v>192</v>
      </c>
      <c r="G591" s="40">
        <v>1</v>
      </c>
      <c r="H591" s="38" t="s">
        <v>9</v>
      </c>
      <c r="I591" s="38" t="s">
        <v>530</v>
      </c>
      <c r="J591" s="38">
        <f>IFERROR(VLOOKUP(C:C,'[1]S&amp;S'!$B:$F,5,0),)</f>
        <v>1429</v>
      </c>
      <c r="K591" s="38">
        <f>IFERROR(VLOOKUP(A:A,[1]APO!$A:$F,6,0),)</f>
        <v>0</v>
      </c>
      <c r="L591" s="38">
        <f>IFERROR(VLOOKUP(C:C,'[1]TOTAL APO'!$A:$B,2,0),)</f>
        <v>0</v>
      </c>
      <c r="M591" s="38">
        <f>IFERROR(VLOOKUP(A:A,[1]Short!$A:$Q,17,0),)</f>
        <v>0</v>
      </c>
      <c r="N591" s="38">
        <f>IFERROR(VLOOKUP(C:C,[1]GIT!$B:$D,3,0),)</f>
        <v>700</v>
      </c>
      <c r="O591" s="38">
        <f>IFERROR(VLOOKUP(A:A,[2]Sheet1!$A:$B,2,0),)</f>
        <v>0</v>
      </c>
      <c r="P591" s="38">
        <f>IFERROR(VLOOKUP(A:A,[2]Sheet1!$A:$B,2,0),)</f>
        <v>0</v>
      </c>
      <c r="Q591" s="38">
        <f t="shared" si="9"/>
        <v>2</v>
      </c>
      <c r="R591" s="38"/>
      <c r="S591" s="38"/>
    </row>
    <row r="592" spans="1:19" hidden="1" x14ac:dyDescent="0.25">
      <c r="A592" s="38" t="str">
        <f>F592&amp;C592</f>
        <v>C04340063169</v>
      </c>
      <c r="B592" s="38" t="str">
        <f>IF(J592&gt;=SUMIFS(E:E,C:C,C592),"Good to go","Short in Qty")</f>
        <v>Good to go</v>
      </c>
      <c r="C592" s="40">
        <v>40063169</v>
      </c>
      <c r="D592" s="40" t="s">
        <v>602</v>
      </c>
      <c r="E592" s="66">
        <v>80</v>
      </c>
      <c r="F592" s="38" t="s">
        <v>11</v>
      </c>
      <c r="G592" s="40" t="s">
        <v>467</v>
      </c>
      <c r="H592" s="38" t="s">
        <v>84</v>
      </c>
      <c r="I592" s="38" t="s">
        <v>620</v>
      </c>
      <c r="J592" s="38">
        <f>IFERROR(VLOOKUP(C:C,'[1]S&amp;S'!$B:$F,5,0),)</f>
        <v>87.8888888888889</v>
      </c>
      <c r="K592" s="38">
        <f>IFERROR(VLOOKUP(A:A,[1]APO!$A:$F,6,0),)</f>
        <v>0</v>
      </c>
      <c r="L592" s="38">
        <f>IFERROR(VLOOKUP(C:C,'[1]TOTAL APO'!$A:$B,2,0),)</f>
        <v>0</v>
      </c>
      <c r="M592" s="38">
        <f>IFERROR(VLOOKUP(A:A,[1]Short!$A:$Q,17,0),)</f>
        <v>0</v>
      </c>
      <c r="N592" s="38">
        <f>IFERROR(VLOOKUP(C:C,[1]GIT!$B:$D,3,0),)</f>
        <v>0</v>
      </c>
      <c r="O592" s="38">
        <f>IFERROR(VLOOKUP(A:A,[2]Sheet1!$A:$B,2,0),)</f>
        <v>80</v>
      </c>
      <c r="P592" s="38">
        <f>IFERROR(VLOOKUP(A:A,[2]Sheet1!$A:$B,2,0),)</f>
        <v>80</v>
      </c>
      <c r="Q592" s="38">
        <f t="shared" si="9"/>
        <v>0</v>
      </c>
      <c r="R592" s="38"/>
      <c r="S592" s="38"/>
    </row>
    <row r="593" spans="1:19" hidden="1" x14ac:dyDescent="0.25">
      <c r="A593" s="38" t="str">
        <f>F593&amp;C593</f>
        <v>C04340063476</v>
      </c>
      <c r="B593" s="38" t="str">
        <f>IF(J593&gt;=SUMIFS(E:E,C:C,C593),"Good to go","Short in Qty")</f>
        <v>Good to go</v>
      </c>
      <c r="C593" s="40">
        <v>40063476</v>
      </c>
      <c r="D593" s="40" t="s">
        <v>453</v>
      </c>
      <c r="E593" s="66">
        <v>20</v>
      </c>
      <c r="F593" s="38" t="s">
        <v>11</v>
      </c>
      <c r="G593" s="40" t="s">
        <v>467</v>
      </c>
      <c r="H593" s="38" t="s">
        <v>84</v>
      </c>
      <c r="I593" s="38" t="s">
        <v>620</v>
      </c>
      <c r="J593" s="38">
        <f>IFERROR(VLOOKUP(C:C,'[1]S&amp;S'!$B:$F,5,0),)</f>
        <v>30</v>
      </c>
      <c r="K593" s="38">
        <f>IFERROR(VLOOKUP(A:A,[1]APO!$A:$F,6,0),)</f>
        <v>0</v>
      </c>
      <c r="L593" s="38">
        <f>IFERROR(VLOOKUP(C:C,'[1]TOTAL APO'!$A:$B,2,0),)</f>
        <v>0</v>
      </c>
      <c r="M593" s="38">
        <f>IFERROR(VLOOKUP(A:A,[1]Short!$A:$Q,17,0),)</f>
        <v>0</v>
      </c>
      <c r="N593" s="38">
        <f>IFERROR(VLOOKUP(C:C,[1]GIT!$B:$D,3,0),)</f>
        <v>0</v>
      </c>
      <c r="O593" s="38">
        <f>IFERROR(VLOOKUP(A:A,[2]Sheet1!$A:$B,2,0),)</f>
        <v>20</v>
      </c>
      <c r="P593" s="38">
        <f>IFERROR(VLOOKUP(A:A,[2]Sheet1!$A:$B,2,0),)</f>
        <v>20</v>
      </c>
      <c r="Q593" s="38">
        <f t="shared" si="9"/>
        <v>0</v>
      </c>
      <c r="R593" s="38"/>
      <c r="S593" s="38"/>
    </row>
    <row r="594" spans="1:19" hidden="1" x14ac:dyDescent="0.25">
      <c r="A594" s="38" t="str">
        <f>F594&amp;C594</f>
        <v>C04340063500</v>
      </c>
      <c r="B594" s="38" t="str">
        <f>IF(J594&gt;=SUMIFS(E:E,C:C,C594),"Good to go","Short in Qty")</f>
        <v>Good to go</v>
      </c>
      <c r="C594" s="40">
        <v>40063500</v>
      </c>
      <c r="D594" s="40" t="s">
        <v>522</v>
      </c>
      <c r="E594" s="66">
        <v>6</v>
      </c>
      <c r="F594" s="38" t="s">
        <v>11</v>
      </c>
      <c r="G594" s="40" t="s">
        <v>467</v>
      </c>
      <c r="H594" s="38" t="s">
        <v>84</v>
      </c>
      <c r="I594" s="38" t="s">
        <v>620</v>
      </c>
      <c r="J594" s="38">
        <f>IFERROR(VLOOKUP(C:C,'[1]S&amp;S'!$B:$F,5,0),)</f>
        <v>114</v>
      </c>
      <c r="K594" s="38">
        <f>IFERROR(VLOOKUP(A:A,[1]APO!$A:$F,6,0),)</f>
        <v>0</v>
      </c>
      <c r="L594" s="38">
        <f>IFERROR(VLOOKUP(C:C,'[1]TOTAL APO'!$A:$B,2,0),)</f>
        <v>0</v>
      </c>
      <c r="M594" s="38">
        <f>IFERROR(VLOOKUP(A:A,[1]Short!$A:$Q,17,0),)</f>
        <v>0</v>
      </c>
      <c r="N594" s="38">
        <f>IFERROR(VLOOKUP(C:C,[1]GIT!$B:$D,3,0),)</f>
        <v>0</v>
      </c>
      <c r="O594" s="38">
        <f>IFERROR(VLOOKUP(A:A,[2]Sheet1!$A:$B,2,0),)</f>
        <v>6</v>
      </c>
      <c r="P594" s="38">
        <f>IFERROR(VLOOKUP(A:A,[2]Sheet1!$A:$B,2,0),)</f>
        <v>6</v>
      </c>
      <c r="Q594" s="38">
        <f t="shared" si="9"/>
        <v>0</v>
      </c>
      <c r="R594" s="38"/>
      <c r="S594" s="38"/>
    </row>
    <row r="595" spans="1:19" hidden="1" x14ac:dyDescent="0.25">
      <c r="A595" s="38" t="str">
        <f>F595&amp;C595</f>
        <v>C04440062018</v>
      </c>
      <c r="B595" s="38" t="str">
        <f>IF(J595&gt;=SUMIFS(E:E,C:C,C595),"Good to go","Short in Qty")</f>
        <v>Good to go</v>
      </c>
      <c r="C595" s="40">
        <v>40062018</v>
      </c>
      <c r="D595" s="40" t="s">
        <v>272</v>
      </c>
      <c r="E595" s="66">
        <v>6</v>
      </c>
      <c r="F595" s="38" t="s">
        <v>191</v>
      </c>
      <c r="G595" s="40" t="s">
        <v>467</v>
      </c>
      <c r="H595" s="38" t="s">
        <v>84</v>
      </c>
      <c r="I595" s="38" t="s">
        <v>620</v>
      </c>
      <c r="J595" s="38">
        <f>IFERROR(VLOOKUP(C:C,'[1]S&amp;S'!$B:$F,5,0),)</f>
        <v>260</v>
      </c>
      <c r="K595" s="38">
        <f>IFERROR(VLOOKUP(A:A,[1]APO!$A:$F,6,0),)</f>
        <v>0</v>
      </c>
      <c r="L595" s="38">
        <f>IFERROR(VLOOKUP(C:C,'[1]TOTAL APO'!$A:$B,2,0),)</f>
        <v>0</v>
      </c>
      <c r="M595" s="38">
        <f>IFERROR(VLOOKUP(A:A,[1]Short!$A:$Q,17,0),)</f>
        <v>0</v>
      </c>
      <c r="N595" s="38">
        <f>IFERROR(VLOOKUP(C:C,[1]GIT!$B:$D,3,0),)</f>
        <v>0</v>
      </c>
      <c r="O595" s="38">
        <f>IFERROR(VLOOKUP(A:A,[2]Sheet1!$A:$B,2,0),)</f>
        <v>6</v>
      </c>
      <c r="P595" s="38">
        <f>IFERROR(VLOOKUP(A:A,[2]Sheet1!$A:$B,2,0),)</f>
        <v>6</v>
      </c>
      <c r="Q595" s="38">
        <f t="shared" si="9"/>
        <v>0</v>
      </c>
      <c r="R595" s="38"/>
      <c r="S595" s="38"/>
    </row>
    <row r="596" spans="1:19" hidden="1" x14ac:dyDescent="0.25">
      <c r="A596" s="38" t="str">
        <f>F596&amp;C596</f>
        <v>C04340063168</v>
      </c>
      <c r="B596" s="38" t="str">
        <f>IF(J596&gt;=SUMIFS(E:E,C:C,C596),"Good to go","Short in Qty")</f>
        <v>Good to go</v>
      </c>
      <c r="C596" s="40">
        <v>40063168</v>
      </c>
      <c r="D596" s="40" t="s">
        <v>277</v>
      </c>
      <c r="E596" s="66">
        <v>13</v>
      </c>
      <c r="F596" s="38" t="s">
        <v>11</v>
      </c>
      <c r="G596" s="40" t="s">
        <v>467</v>
      </c>
      <c r="H596" s="38" t="s">
        <v>9</v>
      </c>
      <c r="I596" s="38" t="s">
        <v>530</v>
      </c>
      <c r="J596" s="38">
        <f>IFERROR(VLOOKUP(C:C,'[1]S&amp;S'!$B:$F,5,0),)</f>
        <v>539</v>
      </c>
      <c r="K596" s="38">
        <f>IFERROR(VLOOKUP(A:A,[1]APO!$A:$F,6,0),)</f>
        <v>0</v>
      </c>
      <c r="L596" s="38">
        <f>IFERROR(VLOOKUP(C:C,'[1]TOTAL APO'!$A:$B,2,0),)</f>
        <v>0</v>
      </c>
      <c r="M596" s="38">
        <f>IFERROR(VLOOKUP(A:A,[1]Short!$A:$Q,17,0),)</f>
        <v>0</v>
      </c>
      <c r="N596" s="38">
        <f>IFERROR(VLOOKUP(C:C,[1]GIT!$B:$D,3,0),)</f>
        <v>0</v>
      </c>
      <c r="O596" s="38">
        <f>IFERROR(VLOOKUP(A:A,[2]Sheet1!$A:$B,2,0),)</f>
        <v>13</v>
      </c>
      <c r="P596" s="38">
        <f>IFERROR(VLOOKUP(A:A,[2]Sheet1!$A:$B,2,0),)</f>
        <v>13</v>
      </c>
      <c r="Q596" s="38">
        <f t="shared" si="9"/>
        <v>0</v>
      </c>
      <c r="R596" s="38"/>
      <c r="S596" s="38"/>
    </row>
    <row r="597" spans="1:19" hidden="1" x14ac:dyDescent="0.25">
      <c r="A597" s="38" t="str">
        <f>F597&amp;C597</f>
        <v>C04840065278</v>
      </c>
      <c r="B597" s="38" t="str">
        <f>IF(J597&gt;=SUMIFS(E:E,C:C,C597),"Good to go","Short in Qty")</f>
        <v>Good to go</v>
      </c>
      <c r="C597" s="40">
        <v>40065278</v>
      </c>
      <c r="D597" s="40" t="s">
        <v>559</v>
      </c>
      <c r="E597" s="66">
        <v>150</v>
      </c>
      <c r="F597" s="38" t="s">
        <v>8</v>
      </c>
      <c r="G597" s="40" t="s">
        <v>467</v>
      </c>
      <c r="H597" s="38" t="s">
        <v>84</v>
      </c>
      <c r="I597" s="38" t="s">
        <v>620</v>
      </c>
      <c r="J597" s="38">
        <f>IFERROR(VLOOKUP(C:C,'[1]S&amp;S'!$B:$F,5,0),)</f>
        <v>350</v>
      </c>
      <c r="K597" s="38">
        <f>IFERROR(VLOOKUP(A:A,[1]APO!$A:$F,6,0),)</f>
        <v>0</v>
      </c>
      <c r="L597" s="38">
        <f>IFERROR(VLOOKUP(C:C,'[1]TOTAL APO'!$A:$B,2,0),)</f>
        <v>0</v>
      </c>
      <c r="M597" s="38">
        <f>IFERROR(VLOOKUP(A:A,[1]Short!$A:$Q,17,0),)</f>
        <v>0</v>
      </c>
      <c r="N597" s="38">
        <f>IFERROR(VLOOKUP(C:C,[1]GIT!$B:$D,3,0),)</f>
        <v>0</v>
      </c>
      <c r="O597" s="38">
        <f>IFERROR(VLOOKUP(A:A,[2]Sheet1!$A:$B,2,0),)</f>
        <v>150</v>
      </c>
      <c r="P597" s="38">
        <f>IFERROR(VLOOKUP(A:A,[2]Sheet1!$A:$B,2,0),)</f>
        <v>150</v>
      </c>
      <c r="Q597" s="38">
        <f t="shared" si="9"/>
        <v>0</v>
      </c>
      <c r="R597" s="38"/>
      <c r="S597" s="38"/>
    </row>
    <row r="598" spans="1:19" hidden="1" x14ac:dyDescent="0.25">
      <c r="A598" s="38" t="str">
        <f>F598&amp;C598</f>
        <v>C04840063178</v>
      </c>
      <c r="B598" s="38" t="str">
        <f>IF(J598&gt;=SUMIFS(E:E,C:C,C598),"Good to go","Short in Qty")</f>
        <v>Good to go</v>
      </c>
      <c r="C598" s="40">
        <v>40063178</v>
      </c>
      <c r="D598" s="40" t="s">
        <v>504</v>
      </c>
      <c r="E598" s="66">
        <v>126</v>
      </c>
      <c r="F598" s="38" t="s">
        <v>8</v>
      </c>
      <c r="G598" s="40" t="s">
        <v>467</v>
      </c>
      <c r="H598" s="38" t="s">
        <v>84</v>
      </c>
      <c r="I598" s="38" t="s">
        <v>620</v>
      </c>
      <c r="J598" s="38">
        <f>IFERROR(VLOOKUP(C:C,'[1]S&amp;S'!$B:$F,5,0),)</f>
        <v>383</v>
      </c>
      <c r="K598" s="38">
        <f>IFERROR(VLOOKUP(A:A,[1]APO!$A:$F,6,0),)</f>
        <v>0</v>
      </c>
      <c r="L598" s="38">
        <f>IFERROR(VLOOKUP(C:C,'[1]TOTAL APO'!$A:$B,2,0),)</f>
        <v>0</v>
      </c>
      <c r="M598" s="38">
        <f>IFERROR(VLOOKUP(A:A,[1]Short!$A:$Q,17,0),)</f>
        <v>0</v>
      </c>
      <c r="N598" s="38">
        <f>IFERROR(VLOOKUP(C:C,[1]GIT!$B:$D,3,0),)</f>
        <v>0</v>
      </c>
      <c r="O598" s="38">
        <f>IFERROR(VLOOKUP(A:A,[2]Sheet1!$A:$B,2,0),)</f>
        <v>126</v>
      </c>
      <c r="P598" s="38">
        <f>IFERROR(VLOOKUP(A:A,[2]Sheet1!$A:$B,2,0),)</f>
        <v>126</v>
      </c>
      <c r="Q598" s="38">
        <f t="shared" si="9"/>
        <v>0</v>
      </c>
      <c r="R598" s="38"/>
      <c r="S598" s="38"/>
    </row>
    <row r="599" spans="1:19" hidden="1" x14ac:dyDescent="0.25">
      <c r="A599" s="38" t="str">
        <f>F599&amp;C599</f>
        <v>C04240064505</v>
      </c>
      <c r="B599" s="38" t="str">
        <f>IF(J599&gt;=SUMIFS(E:E,C:C,C599),"Good to go","Short in Qty")</f>
        <v>Short in Qty</v>
      </c>
      <c r="C599" s="40">
        <v>40064505</v>
      </c>
      <c r="D599" s="40" t="s">
        <v>583</v>
      </c>
      <c r="E599" s="66">
        <v>50</v>
      </c>
      <c r="F599" s="38" t="s">
        <v>10</v>
      </c>
      <c r="G599" s="40" t="s">
        <v>596</v>
      </c>
      <c r="H599" s="38" t="s">
        <v>594</v>
      </c>
      <c r="I599" s="38" t="s">
        <v>595</v>
      </c>
      <c r="J599" s="38">
        <f>IFERROR(VLOOKUP(C:C,'[1]S&amp;S'!$B:$F,5,0),)</f>
        <v>0</v>
      </c>
      <c r="K599" s="38">
        <f>IFERROR(VLOOKUP(A:A,[1]APO!$A:$F,6,0),)</f>
        <v>0</v>
      </c>
      <c r="L599" s="38">
        <f>IFERROR(VLOOKUP(C:C,'[1]TOTAL APO'!$A:$B,2,0),)</f>
        <v>0</v>
      </c>
      <c r="M599" s="38">
        <f>IFERROR(VLOOKUP(A:A,[1]Short!$A:$Q,17,0),)</f>
        <v>0</v>
      </c>
      <c r="N599" s="38">
        <f>IFERROR(VLOOKUP(C:C,[1]GIT!$B:$D,3,0),)</f>
        <v>0</v>
      </c>
      <c r="O599" s="38">
        <f>IFERROR(VLOOKUP(A:A,[2]Sheet1!$A:$B,2,0),)</f>
        <v>0</v>
      </c>
      <c r="P599" s="38">
        <f>IFERROR(VLOOKUP(A:A,[2]Sheet1!$A:$B,2,0),)</f>
        <v>0</v>
      </c>
      <c r="Q599" s="38">
        <f t="shared" si="9"/>
        <v>50</v>
      </c>
      <c r="R599" s="38"/>
      <c r="S599" s="38"/>
    </row>
    <row r="600" spans="1:19" hidden="1" x14ac:dyDescent="0.25">
      <c r="A600" s="38" t="str">
        <f>F600&amp;C600</f>
        <v>C04340063614</v>
      </c>
      <c r="B600" s="38" t="str">
        <f>IF(J600&gt;=SUMIFS(E:E,C:C,C600),"Good to go","Short in Qty")</f>
        <v>Good to go</v>
      </c>
      <c r="C600" s="40">
        <v>40063614</v>
      </c>
      <c r="D600" s="40" t="s">
        <v>442</v>
      </c>
      <c r="E600" s="66">
        <v>100</v>
      </c>
      <c r="F600" s="38" t="s">
        <v>11</v>
      </c>
      <c r="G600" s="40" t="s">
        <v>467</v>
      </c>
      <c r="H600" s="38" t="s">
        <v>84</v>
      </c>
      <c r="I600" s="38" t="s">
        <v>620</v>
      </c>
      <c r="J600" s="38">
        <f>IFERROR(VLOOKUP(C:C,'[1]S&amp;S'!$B:$F,5,0),)</f>
        <v>378</v>
      </c>
      <c r="K600" s="38">
        <f>IFERROR(VLOOKUP(A:A,[1]APO!$A:$F,6,0),)</f>
        <v>0</v>
      </c>
      <c r="L600" s="38">
        <f>IFERROR(VLOOKUP(C:C,'[1]TOTAL APO'!$A:$B,2,0),)</f>
        <v>0</v>
      </c>
      <c r="M600" s="38">
        <f>IFERROR(VLOOKUP(A:A,[1]Short!$A:$Q,17,0),)</f>
        <v>0</v>
      </c>
      <c r="N600" s="38">
        <f>IFERROR(VLOOKUP(C:C,[1]GIT!$B:$D,3,0),)</f>
        <v>0</v>
      </c>
      <c r="O600" s="38">
        <f>IFERROR(VLOOKUP(A:A,[2]Sheet1!$A:$B,2,0),)</f>
        <v>100</v>
      </c>
      <c r="P600" s="38">
        <f>IFERROR(VLOOKUP(A:A,[2]Sheet1!$A:$B,2,0),)</f>
        <v>100</v>
      </c>
      <c r="Q600" s="38">
        <f t="shared" si="9"/>
        <v>0</v>
      </c>
      <c r="R600" s="38"/>
      <c r="S600" s="38"/>
    </row>
    <row r="601" spans="1:19" x14ac:dyDescent="0.25">
      <c r="A601" s="38" t="str">
        <f>F601&amp;C601</f>
        <v>C04640063483</v>
      </c>
      <c r="B601" s="38" t="str">
        <f>IF(J601&gt;=SUMIFS(E:E,C:C,C601),"Good to go","Short in Qty")</f>
        <v>Good to go</v>
      </c>
      <c r="C601" s="40">
        <v>40063483</v>
      </c>
      <c r="D601" s="40" t="s">
        <v>300</v>
      </c>
      <c r="E601" s="66">
        <v>110</v>
      </c>
      <c r="F601" s="38" t="s">
        <v>13</v>
      </c>
      <c r="G601" s="40">
        <v>83</v>
      </c>
      <c r="H601" s="38" t="s">
        <v>9</v>
      </c>
      <c r="I601" s="38" t="s">
        <v>530</v>
      </c>
      <c r="J601" s="38">
        <f>IFERROR(VLOOKUP(C:C,'[1]S&amp;S'!$B:$F,5,0),)</f>
        <v>7084.38288333333</v>
      </c>
      <c r="K601" s="38">
        <f>IFERROR(VLOOKUP(A:A,[1]APO!$A:$F,6,0),)</f>
        <v>0</v>
      </c>
      <c r="L601" s="38">
        <f>IFERROR(VLOOKUP(C:C,'[1]TOTAL APO'!$A:$B,2,0),)</f>
        <v>0</v>
      </c>
      <c r="M601" s="38">
        <f>IFERROR(VLOOKUP(A:A,[1]Short!$A:$Q,17,0),)</f>
        <v>0</v>
      </c>
      <c r="N601" s="38">
        <f>IFERROR(VLOOKUP(C:C,[1]GIT!$B:$D,3,0),)</f>
        <v>0</v>
      </c>
      <c r="O601" s="38">
        <f>IFERROR(VLOOKUP(A:A,[2]Sheet1!$A:$B,2,0),)</f>
        <v>0</v>
      </c>
      <c r="P601" s="38">
        <f>IFERROR(VLOOKUP(A:A,[2]Sheet1!$A:$B,2,0),)</f>
        <v>0</v>
      </c>
      <c r="Q601" s="38">
        <f t="shared" si="9"/>
        <v>110</v>
      </c>
      <c r="R601" s="38"/>
      <c r="S601" s="38"/>
    </row>
    <row r="602" spans="1:19" hidden="1" x14ac:dyDescent="0.25">
      <c r="A602" s="38" t="str">
        <f>F602&amp;C602</f>
        <v>C04340064505</v>
      </c>
      <c r="B602" s="38" t="str">
        <f>IF(J602&gt;=SUMIFS(E:E,C:C,C602),"Good to go","Short in Qty")</f>
        <v>Short in Qty</v>
      </c>
      <c r="C602" s="40">
        <v>40064505</v>
      </c>
      <c r="D602" s="40" t="s">
        <v>583</v>
      </c>
      <c r="E602" s="66">
        <v>10</v>
      </c>
      <c r="F602" s="38" t="s">
        <v>11</v>
      </c>
      <c r="G602" s="40" t="s">
        <v>596</v>
      </c>
      <c r="H602" s="38" t="s">
        <v>594</v>
      </c>
      <c r="I602" s="38" t="s">
        <v>595</v>
      </c>
      <c r="J602" s="38">
        <f>IFERROR(VLOOKUP(C:C,'[1]S&amp;S'!$B:$F,5,0),)</f>
        <v>0</v>
      </c>
      <c r="K602" s="38">
        <f>IFERROR(VLOOKUP(A:A,[1]APO!$A:$F,6,0),)</f>
        <v>0</v>
      </c>
      <c r="L602" s="38">
        <f>IFERROR(VLOOKUP(C:C,'[1]TOTAL APO'!$A:$B,2,0),)</f>
        <v>0</v>
      </c>
      <c r="M602" s="38">
        <f>IFERROR(VLOOKUP(A:A,[1]Short!$A:$Q,17,0),)</f>
        <v>0</v>
      </c>
      <c r="N602" s="38">
        <f>IFERROR(VLOOKUP(C:C,[1]GIT!$B:$D,3,0),)</f>
        <v>0</v>
      </c>
      <c r="O602" s="38">
        <f>IFERROR(VLOOKUP(A:A,[2]Sheet1!$A:$B,2,0),)</f>
        <v>0</v>
      </c>
      <c r="P602" s="38">
        <f>IFERROR(VLOOKUP(A:A,[2]Sheet1!$A:$B,2,0),)</f>
        <v>0</v>
      </c>
      <c r="Q602" s="38">
        <f t="shared" si="9"/>
        <v>10</v>
      </c>
      <c r="R602" s="38"/>
      <c r="S602" s="38"/>
    </row>
    <row r="603" spans="1:19" hidden="1" x14ac:dyDescent="0.25">
      <c r="A603" s="38" t="str">
        <f>F603&amp;C603</f>
        <v>C04640064505</v>
      </c>
      <c r="B603" s="38" t="str">
        <f>IF(J603&gt;=SUMIFS(E:E,C:C,C603),"Good to go","Short in Qty")</f>
        <v>Short in Qty</v>
      </c>
      <c r="C603" s="40">
        <v>40064505</v>
      </c>
      <c r="D603" s="40" t="s">
        <v>583</v>
      </c>
      <c r="E603" s="66">
        <v>20</v>
      </c>
      <c r="F603" s="38" t="s">
        <v>13</v>
      </c>
      <c r="G603" s="40" t="s">
        <v>596</v>
      </c>
      <c r="H603" s="38" t="s">
        <v>594</v>
      </c>
      <c r="I603" s="38" t="s">
        <v>595</v>
      </c>
      <c r="J603" s="38">
        <f>IFERROR(VLOOKUP(C:C,'[1]S&amp;S'!$B:$F,5,0),)</f>
        <v>0</v>
      </c>
      <c r="K603" s="38">
        <f>IFERROR(VLOOKUP(A:A,[1]APO!$A:$F,6,0),)</f>
        <v>0</v>
      </c>
      <c r="L603" s="38">
        <f>IFERROR(VLOOKUP(C:C,'[1]TOTAL APO'!$A:$B,2,0),)</f>
        <v>0</v>
      </c>
      <c r="M603" s="38">
        <f>IFERROR(VLOOKUP(A:A,[1]Short!$A:$Q,17,0),)</f>
        <v>0</v>
      </c>
      <c r="N603" s="38">
        <f>IFERROR(VLOOKUP(C:C,[1]GIT!$B:$D,3,0),)</f>
        <v>0</v>
      </c>
      <c r="O603" s="38">
        <f>IFERROR(VLOOKUP(A:A,[2]Sheet1!$A:$B,2,0),)</f>
        <v>0</v>
      </c>
      <c r="P603" s="38">
        <f>IFERROR(VLOOKUP(A:A,[2]Sheet1!$A:$B,2,0),)</f>
        <v>0</v>
      </c>
      <c r="Q603" s="38">
        <f t="shared" si="9"/>
        <v>20</v>
      </c>
      <c r="R603" s="38"/>
      <c r="S603" s="38"/>
    </row>
    <row r="604" spans="1:19" hidden="1" x14ac:dyDescent="0.25">
      <c r="A604" s="38" t="str">
        <f>F604&amp;C604</f>
        <v>C04340063698</v>
      </c>
      <c r="B604" s="38" t="str">
        <f>IF(J604&gt;=SUMIFS(E:E,C:C,C604),"Good to go","Short in Qty")</f>
        <v>Good to go</v>
      </c>
      <c r="C604" s="40">
        <v>40063698</v>
      </c>
      <c r="D604" s="40" t="s">
        <v>611</v>
      </c>
      <c r="E604" s="66">
        <v>1</v>
      </c>
      <c r="F604" s="38" t="s">
        <v>11</v>
      </c>
      <c r="G604" s="40" t="s">
        <v>467</v>
      </c>
      <c r="H604" s="38" t="s">
        <v>84</v>
      </c>
      <c r="I604" s="38" t="s">
        <v>620</v>
      </c>
      <c r="J604" s="38">
        <f>IFERROR(VLOOKUP(C:C,'[1]S&amp;S'!$B:$F,5,0),)</f>
        <v>17</v>
      </c>
      <c r="K604" s="38">
        <f>IFERROR(VLOOKUP(A:A,[1]APO!$A:$F,6,0),)</f>
        <v>0</v>
      </c>
      <c r="L604" s="38">
        <f>IFERROR(VLOOKUP(C:C,'[1]TOTAL APO'!$A:$B,2,0),)</f>
        <v>0</v>
      </c>
      <c r="M604" s="38">
        <f>IFERROR(VLOOKUP(A:A,[1]Short!$A:$Q,17,0),)</f>
        <v>0</v>
      </c>
      <c r="N604" s="38">
        <f>IFERROR(VLOOKUP(C:C,[1]GIT!$B:$D,3,0),)</f>
        <v>0</v>
      </c>
      <c r="O604" s="38">
        <f>IFERROR(VLOOKUP(A:A,[2]Sheet1!$A:$B,2,0),)</f>
        <v>1</v>
      </c>
      <c r="P604" s="38">
        <f>IFERROR(VLOOKUP(A:A,[2]Sheet1!$A:$B,2,0),)</f>
        <v>1</v>
      </c>
      <c r="Q604" s="38">
        <f t="shared" si="9"/>
        <v>0</v>
      </c>
      <c r="R604" s="38"/>
      <c r="S604" s="38"/>
    </row>
    <row r="605" spans="1:19" x14ac:dyDescent="0.25">
      <c r="A605" s="38" t="str">
        <f>F605&amp;C605</f>
        <v>C04740063483</v>
      </c>
      <c r="B605" s="38" t="str">
        <f>IF(J605&gt;=SUMIFS(E:E,C:C,C605),"Good to go","Short in Qty")</f>
        <v>Good to go</v>
      </c>
      <c r="C605" s="40">
        <v>40063483</v>
      </c>
      <c r="D605" s="40" t="s">
        <v>300</v>
      </c>
      <c r="E605" s="66">
        <v>23</v>
      </c>
      <c r="F605" s="38" t="s">
        <v>192</v>
      </c>
      <c r="G605" s="40">
        <v>22</v>
      </c>
      <c r="H605" s="38" t="s">
        <v>9</v>
      </c>
      <c r="I605" s="38" t="s">
        <v>530</v>
      </c>
      <c r="J605" s="38">
        <f>IFERROR(VLOOKUP(C:C,'[1]S&amp;S'!$B:$F,5,0),)</f>
        <v>7084.38288333333</v>
      </c>
      <c r="K605" s="38">
        <f>IFERROR(VLOOKUP(A:A,[1]APO!$A:$F,6,0),)</f>
        <v>0</v>
      </c>
      <c r="L605" s="38">
        <f>IFERROR(VLOOKUP(C:C,'[1]TOTAL APO'!$A:$B,2,0),)</f>
        <v>0</v>
      </c>
      <c r="M605" s="38">
        <f>IFERROR(VLOOKUP(A:A,[1]Short!$A:$Q,17,0),)</f>
        <v>0</v>
      </c>
      <c r="N605" s="38">
        <f>IFERROR(VLOOKUP(C:C,[1]GIT!$B:$D,3,0),)</f>
        <v>0</v>
      </c>
      <c r="O605" s="38">
        <f>IFERROR(VLOOKUP(A:A,[2]Sheet1!$A:$B,2,0),)</f>
        <v>0</v>
      </c>
      <c r="P605" s="38">
        <f>IFERROR(VLOOKUP(A:A,[2]Sheet1!$A:$B,2,0),)</f>
        <v>0</v>
      </c>
      <c r="Q605" s="38">
        <f t="shared" si="9"/>
        <v>23</v>
      </c>
      <c r="R605" s="38"/>
      <c r="S605" s="38"/>
    </row>
    <row r="606" spans="1:19" hidden="1" x14ac:dyDescent="0.25">
      <c r="A606" s="38" t="str">
        <f>F606&amp;C606</f>
        <v>C04340063781</v>
      </c>
      <c r="B606" s="38" t="str">
        <f>IF(J606&gt;=SUMIFS(E:E,C:C,C606),"Good to go","Short in Qty")</f>
        <v>Good to go</v>
      </c>
      <c r="C606" s="40">
        <v>40063781</v>
      </c>
      <c r="D606" s="40" t="s">
        <v>610</v>
      </c>
      <c r="E606" s="66">
        <v>76</v>
      </c>
      <c r="F606" s="38" t="s">
        <v>11</v>
      </c>
      <c r="G606" s="40" t="s">
        <v>467</v>
      </c>
      <c r="H606" s="38" t="s">
        <v>84</v>
      </c>
      <c r="I606" s="38" t="s">
        <v>620</v>
      </c>
      <c r="J606" s="38">
        <f>IFERROR(VLOOKUP(C:C,'[1]S&amp;S'!$B:$F,5,0),)</f>
        <v>1359.72</v>
      </c>
      <c r="K606" s="38">
        <f>IFERROR(VLOOKUP(A:A,[1]APO!$A:$F,6,0),)</f>
        <v>0</v>
      </c>
      <c r="L606" s="38">
        <f>IFERROR(VLOOKUP(C:C,'[1]TOTAL APO'!$A:$B,2,0),)</f>
        <v>0</v>
      </c>
      <c r="M606" s="38">
        <f>IFERROR(VLOOKUP(A:A,[1]Short!$A:$Q,17,0),)</f>
        <v>0</v>
      </c>
      <c r="N606" s="38">
        <f>IFERROR(VLOOKUP(C:C,[1]GIT!$B:$D,3,0),)</f>
        <v>790</v>
      </c>
      <c r="O606" s="38">
        <f>IFERROR(VLOOKUP(A:A,[2]Sheet1!$A:$B,2,0),)</f>
        <v>76</v>
      </c>
      <c r="P606" s="38">
        <f>IFERROR(VLOOKUP(A:A,[2]Sheet1!$A:$B,2,0),)</f>
        <v>76</v>
      </c>
      <c r="Q606" s="38">
        <f t="shared" si="9"/>
        <v>0</v>
      </c>
      <c r="R606" s="38"/>
      <c r="S606" s="38"/>
    </row>
    <row r="607" spans="1:19" hidden="1" x14ac:dyDescent="0.25">
      <c r="A607" s="38" t="str">
        <f>F607&amp;C607</f>
        <v>C04340064108</v>
      </c>
      <c r="B607" s="38" t="str">
        <f>IF(J607&gt;=SUMIFS(E:E,C:C,C607),"Good to go","Short in Qty")</f>
        <v>Good to go</v>
      </c>
      <c r="C607" s="40">
        <v>40064108</v>
      </c>
      <c r="D607" s="40" t="s">
        <v>608</v>
      </c>
      <c r="E607" s="66">
        <v>5</v>
      </c>
      <c r="F607" s="38" t="s">
        <v>11</v>
      </c>
      <c r="G607" s="40" t="s">
        <v>467</v>
      </c>
      <c r="H607" s="38" t="s">
        <v>84</v>
      </c>
      <c r="I607" s="38" t="s">
        <v>620</v>
      </c>
      <c r="J607" s="38">
        <f>IFERROR(VLOOKUP(C:C,'[1]S&amp;S'!$B:$F,5,0),)</f>
        <v>8</v>
      </c>
      <c r="K607" s="38">
        <f>IFERROR(VLOOKUP(A:A,[1]APO!$A:$F,6,0),)</f>
        <v>0</v>
      </c>
      <c r="L607" s="38">
        <f>IFERROR(VLOOKUP(C:C,'[1]TOTAL APO'!$A:$B,2,0),)</f>
        <v>0</v>
      </c>
      <c r="M607" s="38">
        <f>IFERROR(VLOOKUP(A:A,[1]Short!$A:$Q,17,0),)</f>
        <v>0</v>
      </c>
      <c r="N607" s="38">
        <f>IFERROR(VLOOKUP(C:C,[1]GIT!$B:$D,3,0),)</f>
        <v>0</v>
      </c>
      <c r="O607" s="38">
        <f>IFERROR(VLOOKUP(A:A,[2]Sheet1!$A:$B,2,0),)</f>
        <v>5</v>
      </c>
      <c r="P607" s="38">
        <f>IFERROR(VLOOKUP(A:A,[2]Sheet1!$A:$B,2,0),)</f>
        <v>5</v>
      </c>
      <c r="Q607" s="38">
        <f t="shared" si="9"/>
        <v>0</v>
      </c>
      <c r="R607" s="38"/>
      <c r="S607" s="38"/>
    </row>
    <row r="608" spans="1:19" hidden="1" x14ac:dyDescent="0.25">
      <c r="A608" s="38" t="str">
        <f>F608&amp;C608</f>
        <v>C04440063016</v>
      </c>
      <c r="B608" s="38" t="str">
        <f>IF(J608&gt;=SUMIFS(E:E,C:C,C608),"Good to go","Short in Qty")</f>
        <v>Good to go</v>
      </c>
      <c r="C608" s="40">
        <v>40063016</v>
      </c>
      <c r="D608" s="40" t="s">
        <v>230</v>
      </c>
      <c r="E608" s="66">
        <v>4</v>
      </c>
      <c r="F608" s="38" t="s">
        <v>191</v>
      </c>
      <c r="G608" s="40" t="s">
        <v>467</v>
      </c>
      <c r="H608" s="38" t="s">
        <v>84</v>
      </c>
      <c r="I608" s="38" t="s">
        <v>620</v>
      </c>
      <c r="J608" s="38">
        <f>IFERROR(VLOOKUP(C:C,'[1]S&amp;S'!$B:$F,5,0),)</f>
        <v>401</v>
      </c>
      <c r="K608" s="38">
        <f>IFERROR(VLOOKUP(A:A,[1]APO!$A:$F,6,0),)</f>
        <v>0</v>
      </c>
      <c r="L608" s="38">
        <f>IFERROR(VLOOKUP(C:C,'[1]TOTAL APO'!$A:$B,2,0),)</f>
        <v>0</v>
      </c>
      <c r="M608" s="38">
        <f>IFERROR(VLOOKUP(A:A,[1]Short!$A:$Q,17,0),)</f>
        <v>0</v>
      </c>
      <c r="N608" s="38">
        <f>IFERROR(VLOOKUP(C:C,[1]GIT!$B:$D,3,0),)</f>
        <v>0</v>
      </c>
      <c r="O608" s="38">
        <f>IFERROR(VLOOKUP(A:A,[2]Sheet1!$A:$B,2,0),)</f>
        <v>4</v>
      </c>
      <c r="P608" s="38">
        <f>IFERROR(VLOOKUP(A:A,[2]Sheet1!$A:$B,2,0),)</f>
        <v>4</v>
      </c>
      <c r="Q608" s="38">
        <f t="shared" si="9"/>
        <v>0</v>
      </c>
      <c r="R608" s="38"/>
      <c r="S608" s="38"/>
    </row>
    <row r="609" spans="1:19" hidden="1" x14ac:dyDescent="0.25">
      <c r="A609" s="38" t="str">
        <f>F609&amp;C609</f>
        <v>C04340064109</v>
      </c>
      <c r="B609" s="38" t="str">
        <f>IF(J609&gt;=SUMIFS(E:E,C:C,C609),"Good to go","Short in Qty")</f>
        <v>Good to go</v>
      </c>
      <c r="C609" s="40">
        <v>40064109</v>
      </c>
      <c r="D609" s="40" t="s">
        <v>605</v>
      </c>
      <c r="E609" s="66">
        <v>10</v>
      </c>
      <c r="F609" s="38" t="s">
        <v>11</v>
      </c>
      <c r="G609" s="40" t="s">
        <v>467</v>
      </c>
      <c r="H609" s="38" t="s">
        <v>84</v>
      </c>
      <c r="I609" s="38" t="s">
        <v>620</v>
      </c>
      <c r="J609" s="38">
        <f>IFERROR(VLOOKUP(C:C,'[1]S&amp;S'!$B:$F,5,0),)</f>
        <v>50</v>
      </c>
      <c r="K609" s="38">
        <f>IFERROR(VLOOKUP(A:A,[1]APO!$A:$F,6,0),)</f>
        <v>0</v>
      </c>
      <c r="L609" s="38">
        <f>IFERROR(VLOOKUP(C:C,'[1]TOTAL APO'!$A:$B,2,0),)</f>
        <v>0</v>
      </c>
      <c r="M609" s="38">
        <f>IFERROR(VLOOKUP(A:A,[1]Short!$A:$Q,17,0),)</f>
        <v>0</v>
      </c>
      <c r="N609" s="38">
        <f>IFERROR(VLOOKUP(C:C,[1]GIT!$B:$D,3,0),)</f>
        <v>0</v>
      </c>
      <c r="O609" s="38">
        <f>IFERROR(VLOOKUP(A:A,[2]Sheet1!$A:$B,2,0),)</f>
        <v>10</v>
      </c>
      <c r="P609" s="38">
        <f>IFERROR(VLOOKUP(A:A,[2]Sheet1!$A:$B,2,0),)</f>
        <v>10</v>
      </c>
      <c r="Q609" s="38">
        <f t="shared" si="9"/>
        <v>0</v>
      </c>
      <c r="R609" s="38"/>
      <c r="S609" s="38"/>
    </row>
    <row r="610" spans="1:19" hidden="1" x14ac:dyDescent="0.25">
      <c r="A610" s="38" t="str">
        <f>F610&amp;C610</f>
        <v>C04840064505</v>
      </c>
      <c r="B610" s="38" t="str">
        <f>IF(J610&gt;=SUMIFS(E:E,C:C,C610),"Good to go","Short in Qty")</f>
        <v>Short in Qty</v>
      </c>
      <c r="C610" s="40">
        <v>40064505</v>
      </c>
      <c r="D610" s="40" t="s">
        <v>583</v>
      </c>
      <c r="E610" s="66">
        <v>10</v>
      </c>
      <c r="F610" s="38" t="s">
        <v>8</v>
      </c>
      <c r="G610" s="40" t="s">
        <v>596</v>
      </c>
      <c r="H610" s="38" t="s">
        <v>594</v>
      </c>
      <c r="I610" s="38" t="s">
        <v>595</v>
      </c>
      <c r="J610" s="38">
        <f>IFERROR(VLOOKUP(C:C,'[1]S&amp;S'!$B:$F,5,0),)</f>
        <v>0</v>
      </c>
      <c r="K610" s="38">
        <f>IFERROR(VLOOKUP(A:A,[1]APO!$A:$F,6,0),)</f>
        <v>0</v>
      </c>
      <c r="L610" s="38">
        <f>IFERROR(VLOOKUP(C:C,'[1]TOTAL APO'!$A:$B,2,0),)</f>
        <v>0</v>
      </c>
      <c r="M610" s="38">
        <f>IFERROR(VLOOKUP(A:A,[1]Short!$A:$Q,17,0),)</f>
        <v>0</v>
      </c>
      <c r="N610" s="38">
        <f>IFERROR(VLOOKUP(C:C,[1]GIT!$B:$D,3,0),)</f>
        <v>0</v>
      </c>
      <c r="O610" s="38">
        <f>IFERROR(VLOOKUP(A:A,[2]Sheet1!$A:$B,2,0),)</f>
        <v>0</v>
      </c>
      <c r="P610" s="38">
        <f>IFERROR(VLOOKUP(A:A,[2]Sheet1!$A:$B,2,0),)</f>
        <v>0</v>
      </c>
      <c r="Q610" s="38">
        <f t="shared" si="9"/>
        <v>10</v>
      </c>
      <c r="R610" s="38"/>
      <c r="S610" s="38"/>
    </row>
    <row r="611" spans="1:19" x14ac:dyDescent="0.25">
      <c r="A611" s="38" t="str">
        <f>F611&amp;C611</f>
        <v>C04840064823</v>
      </c>
      <c r="B611" s="38" t="str">
        <f>IF(J611&gt;=SUMIFS(E:E,C:C,C611),"Good to go","Short in Qty")</f>
        <v>Good to go</v>
      </c>
      <c r="C611" s="40">
        <v>40064823</v>
      </c>
      <c r="D611" s="40" t="s">
        <v>333</v>
      </c>
      <c r="E611" s="66">
        <v>206</v>
      </c>
      <c r="F611" s="38" t="s">
        <v>8</v>
      </c>
      <c r="G611" s="40"/>
      <c r="H611" s="38" t="s">
        <v>9</v>
      </c>
      <c r="I611" s="38" t="s">
        <v>530</v>
      </c>
      <c r="J611" s="38">
        <f>IFERROR(VLOOKUP(C:C,'[1]S&amp;S'!$B:$F,5,0),)</f>
        <v>246</v>
      </c>
      <c r="K611" s="38">
        <f>IFERROR(VLOOKUP(A:A,[1]APO!$A:$F,6,0),)</f>
        <v>0</v>
      </c>
      <c r="L611" s="38">
        <f>IFERROR(VLOOKUP(C:C,'[1]TOTAL APO'!$A:$B,2,0),)</f>
        <v>0</v>
      </c>
      <c r="M611" s="38">
        <f>IFERROR(VLOOKUP(A:A,[1]Short!$A:$Q,17,0),)</f>
        <v>0</v>
      </c>
      <c r="N611" s="38">
        <f>IFERROR(VLOOKUP(C:C,[1]GIT!$B:$D,3,0),)</f>
        <v>246</v>
      </c>
      <c r="O611" s="38">
        <f>IFERROR(VLOOKUP(A:A,[2]Sheet1!$A:$B,2,0),)</f>
        <v>0</v>
      </c>
      <c r="P611" s="38">
        <f>IFERROR(VLOOKUP(A:A,[2]Sheet1!$A:$B,2,0),)</f>
        <v>0</v>
      </c>
      <c r="Q611" s="38">
        <f t="shared" si="9"/>
        <v>206</v>
      </c>
      <c r="R611" s="38"/>
      <c r="S611" s="38"/>
    </row>
    <row r="612" spans="1:19" hidden="1" x14ac:dyDescent="0.25">
      <c r="A612" s="38" t="str">
        <f>F612&amp;C612</f>
        <v>C04240063489</v>
      </c>
      <c r="B612" s="38" t="str">
        <f>IF(J612&gt;=SUMIFS(E:E,C:C,C612),"Good to go","Short in Qty")</f>
        <v>Good to go</v>
      </c>
      <c r="C612" s="40">
        <v>40063489</v>
      </c>
      <c r="D612" s="40" t="s">
        <v>306</v>
      </c>
      <c r="E612" s="66">
        <v>28</v>
      </c>
      <c r="F612" s="38" t="s">
        <v>10</v>
      </c>
      <c r="G612" s="40" t="s">
        <v>467</v>
      </c>
      <c r="H612" s="38" t="s">
        <v>9</v>
      </c>
      <c r="I612" s="38" t="s">
        <v>530</v>
      </c>
      <c r="J612" s="38">
        <f>IFERROR(VLOOKUP(C:C,'[1]S&amp;S'!$B:$F,5,0),)</f>
        <v>949</v>
      </c>
      <c r="K612" s="38">
        <f>IFERROR(VLOOKUP(A:A,[1]APO!$A:$F,6,0),)</f>
        <v>0</v>
      </c>
      <c r="L612" s="38">
        <f>IFERROR(VLOOKUP(C:C,'[1]TOTAL APO'!$A:$B,2,0),)</f>
        <v>0</v>
      </c>
      <c r="M612" s="38">
        <f>IFERROR(VLOOKUP(A:A,[1]Short!$A:$Q,17,0),)</f>
        <v>0</v>
      </c>
      <c r="N612" s="38">
        <f>IFERROR(VLOOKUP(C:C,[1]GIT!$B:$D,3,0),)</f>
        <v>0</v>
      </c>
      <c r="O612" s="38">
        <f>IFERROR(VLOOKUP(A:A,[2]Sheet1!$A:$B,2,0),)</f>
        <v>28</v>
      </c>
      <c r="P612" s="38">
        <f>IFERROR(VLOOKUP(A:A,[2]Sheet1!$A:$B,2,0),)</f>
        <v>28</v>
      </c>
      <c r="Q612" s="38">
        <f t="shared" si="9"/>
        <v>0</v>
      </c>
      <c r="R612" s="38"/>
      <c r="S612" s="38"/>
    </row>
    <row r="613" spans="1:19" hidden="1" x14ac:dyDescent="0.25">
      <c r="A613" s="38" t="str">
        <f>F613&amp;C613</f>
        <v>C04240064558</v>
      </c>
      <c r="B613" s="38" t="str">
        <f>IF(J613&gt;=SUMIFS(E:E,C:C,C613),"Good to go","Short in Qty")</f>
        <v>Good to go</v>
      </c>
      <c r="C613" s="40">
        <v>40064558</v>
      </c>
      <c r="D613" s="40" t="s">
        <v>534</v>
      </c>
      <c r="E613" s="66">
        <v>40</v>
      </c>
      <c r="F613" s="38" t="s">
        <v>10</v>
      </c>
      <c r="G613" s="40" t="s">
        <v>467</v>
      </c>
      <c r="H613" s="38" t="s">
        <v>594</v>
      </c>
      <c r="I613" s="38" t="s">
        <v>595</v>
      </c>
      <c r="J613" s="38">
        <f>IFERROR(VLOOKUP(C:C,'[1]S&amp;S'!$B:$F,5,0),)</f>
        <v>50</v>
      </c>
      <c r="K613" s="38">
        <f>IFERROR(VLOOKUP(A:A,[1]APO!$A:$F,6,0),)</f>
        <v>0</v>
      </c>
      <c r="L613" s="38">
        <f>IFERROR(VLOOKUP(C:C,'[1]TOTAL APO'!$A:$B,2,0),)</f>
        <v>0</v>
      </c>
      <c r="M613" s="38">
        <f>IFERROR(VLOOKUP(A:A,[1]Short!$A:$Q,17,0),)</f>
        <v>0</v>
      </c>
      <c r="N613" s="38">
        <f>IFERROR(VLOOKUP(C:C,[1]GIT!$B:$D,3,0),)</f>
        <v>50</v>
      </c>
      <c r="O613" s="38">
        <f>IFERROR(VLOOKUP(A:A,[2]Sheet1!$A:$B,2,0),)</f>
        <v>40</v>
      </c>
      <c r="P613" s="38">
        <f>IFERROR(VLOOKUP(A:A,[2]Sheet1!$A:$B,2,0),)</f>
        <v>40</v>
      </c>
      <c r="Q613" s="38">
        <f t="shared" si="9"/>
        <v>0</v>
      </c>
      <c r="R613" s="38"/>
      <c r="S613" s="38"/>
    </row>
    <row r="614" spans="1:19" hidden="1" x14ac:dyDescent="0.25">
      <c r="A614" s="38" t="str">
        <f>F614&amp;C614</f>
        <v>C04340064727</v>
      </c>
      <c r="B614" s="38" t="str">
        <f>IF(J614&gt;=SUMIFS(E:E,C:C,C614),"Good to go","Short in Qty")</f>
        <v>Good to go</v>
      </c>
      <c r="C614" s="40">
        <v>40064727</v>
      </c>
      <c r="D614" s="40" t="s">
        <v>609</v>
      </c>
      <c r="E614" s="66">
        <v>110</v>
      </c>
      <c r="F614" s="38" t="s">
        <v>11</v>
      </c>
      <c r="G614" s="40" t="s">
        <v>467</v>
      </c>
      <c r="H614" s="38" t="s">
        <v>84</v>
      </c>
      <c r="I614" s="38" t="s">
        <v>620</v>
      </c>
      <c r="J614" s="38">
        <f>IFERROR(VLOOKUP(C:C,'[1]S&amp;S'!$B:$F,5,0),)</f>
        <v>120</v>
      </c>
      <c r="K614" s="38">
        <f>IFERROR(VLOOKUP(A:A,[1]APO!$A:$F,6,0),)</f>
        <v>0</v>
      </c>
      <c r="L614" s="38">
        <f>IFERROR(VLOOKUP(C:C,'[1]TOTAL APO'!$A:$B,2,0),)</f>
        <v>0</v>
      </c>
      <c r="M614" s="38">
        <f>IFERROR(VLOOKUP(A:A,[1]Short!$A:$Q,17,0),)</f>
        <v>0</v>
      </c>
      <c r="N614" s="38">
        <f>IFERROR(VLOOKUP(C:C,[1]GIT!$B:$D,3,0),)</f>
        <v>0</v>
      </c>
      <c r="O614" s="38">
        <f>IFERROR(VLOOKUP(A:A,[2]Sheet1!$A:$B,2,0),)</f>
        <v>110</v>
      </c>
      <c r="P614" s="38">
        <f>IFERROR(VLOOKUP(A:A,[2]Sheet1!$A:$B,2,0),)</f>
        <v>110</v>
      </c>
      <c r="Q614" s="38">
        <f t="shared" si="9"/>
        <v>0</v>
      </c>
      <c r="R614" s="38"/>
      <c r="S614" s="38"/>
    </row>
    <row r="615" spans="1:19" hidden="1" x14ac:dyDescent="0.25">
      <c r="A615" s="38" t="str">
        <f>F615&amp;C615</f>
        <v>C04340065278</v>
      </c>
      <c r="B615" s="38" t="str">
        <f>IF(J615&gt;=SUMIFS(E:E,C:C,C615),"Good to go","Short in Qty")</f>
        <v>Good to go</v>
      </c>
      <c r="C615" s="40">
        <v>40065278</v>
      </c>
      <c r="D615" s="40" t="s">
        <v>559</v>
      </c>
      <c r="E615" s="66">
        <v>120</v>
      </c>
      <c r="F615" s="38" t="s">
        <v>11</v>
      </c>
      <c r="G615" s="40" t="s">
        <v>467</v>
      </c>
      <c r="H615" s="38" t="s">
        <v>84</v>
      </c>
      <c r="I615" s="38" t="s">
        <v>620</v>
      </c>
      <c r="J615" s="38">
        <f>IFERROR(VLOOKUP(C:C,'[1]S&amp;S'!$B:$F,5,0),)</f>
        <v>350</v>
      </c>
      <c r="K615" s="38">
        <f>IFERROR(VLOOKUP(A:A,[1]APO!$A:$F,6,0),)</f>
        <v>0</v>
      </c>
      <c r="L615" s="38">
        <f>IFERROR(VLOOKUP(C:C,'[1]TOTAL APO'!$A:$B,2,0),)</f>
        <v>0</v>
      </c>
      <c r="M615" s="38">
        <f>IFERROR(VLOOKUP(A:A,[1]Short!$A:$Q,17,0),)</f>
        <v>0</v>
      </c>
      <c r="N615" s="38">
        <f>IFERROR(VLOOKUP(C:C,[1]GIT!$B:$D,3,0),)</f>
        <v>0</v>
      </c>
      <c r="O615" s="38">
        <f>IFERROR(VLOOKUP(A:A,[2]Sheet1!$A:$B,2,0),)</f>
        <v>120</v>
      </c>
      <c r="P615" s="38">
        <f>IFERROR(VLOOKUP(A:A,[2]Sheet1!$A:$B,2,0),)</f>
        <v>120</v>
      </c>
      <c r="Q615" s="38">
        <f t="shared" si="9"/>
        <v>0</v>
      </c>
      <c r="R615" s="38"/>
      <c r="S615" s="38"/>
    </row>
    <row r="616" spans="1:19" hidden="1" x14ac:dyDescent="0.25">
      <c r="A616" s="38" t="str">
        <f>F616&amp;C616</f>
        <v>C13140063500</v>
      </c>
      <c r="B616" s="38" t="str">
        <f>IF(J616&gt;=SUMIFS(E:E,C:C,C616),"Good to go","Short in Qty")</f>
        <v>Good to go</v>
      </c>
      <c r="C616" s="40">
        <v>40063500</v>
      </c>
      <c r="D616" s="40" t="s">
        <v>522</v>
      </c>
      <c r="E616" s="66">
        <v>46</v>
      </c>
      <c r="F616" s="38" t="s">
        <v>17</v>
      </c>
      <c r="G616" s="40" t="s">
        <v>467</v>
      </c>
      <c r="H616" s="38" t="s">
        <v>9</v>
      </c>
      <c r="I616" s="38" t="s">
        <v>530</v>
      </c>
      <c r="J616" s="38">
        <f>IFERROR(VLOOKUP(C:C,'[1]S&amp;S'!$B:$F,5,0),)</f>
        <v>114</v>
      </c>
      <c r="K616" s="38">
        <f>IFERROR(VLOOKUP(A:A,[1]APO!$A:$F,6,0),)</f>
        <v>0</v>
      </c>
      <c r="L616" s="38">
        <f>IFERROR(VLOOKUP(C:C,'[1]TOTAL APO'!$A:$B,2,0),)</f>
        <v>0</v>
      </c>
      <c r="M616" s="38">
        <f>IFERROR(VLOOKUP(A:A,[1]Short!$A:$Q,17,0),)</f>
        <v>0</v>
      </c>
      <c r="N616" s="38">
        <f>IFERROR(VLOOKUP(C:C,[1]GIT!$B:$D,3,0),)</f>
        <v>0</v>
      </c>
      <c r="O616" s="38">
        <f>IFERROR(VLOOKUP(A:A,[2]Sheet1!$A:$B,2,0),)</f>
        <v>46</v>
      </c>
      <c r="P616" s="38">
        <f>IFERROR(VLOOKUP(A:A,[2]Sheet1!$A:$B,2,0),)</f>
        <v>46</v>
      </c>
      <c r="Q616" s="38">
        <f t="shared" si="9"/>
        <v>0</v>
      </c>
      <c r="R616" s="38"/>
      <c r="S616" s="38"/>
    </row>
    <row r="617" spans="1:19" hidden="1" x14ac:dyDescent="0.25">
      <c r="A617" s="38" t="str">
        <f>F617&amp;C617</f>
        <v>C04340065292</v>
      </c>
      <c r="B617" s="38" t="str">
        <f>IF(J617&gt;=SUMIFS(E:E,C:C,C617),"Good to go","Short in Qty")</f>
        <v>Good to go</v>
      </c>
      <c r="C617" s="40">
        <v>40065292</v>
      </c>
      <c r="D617" s="40" t="s">
        <v>437</v>
      </c>
      <c r="E617" s="66">
        <v>50</v>
      </c>
      <c r="F617" s="38" t="s">
        <v>11</v>
      </c>
      <c r="G617" s="40" t="s">
        <v>467</v>
      </c>
      <c r="H617" s="38" t="s">
        <v>84</v>
      </c>
      <c r="I617" s="38" t="s">
        <v>620</v>
      </c>
      <c r="J617" s="38">
        <f>IFERROR(VLOOKUP(C:C,'[1]S&amp;S'!$B:$F,5,0),)</f>
        <v>3084</v>
      </c>
      <c r="K617" s="38">
        <f>IFERROR(VLOOKUP(A:A,[1]APO!$A:$F,6,0),)</f>
        <v>0</v>
      </c>
      <c r="L617" s="38">
        <f>IFERROR(VLOOKUP(C:C,'[1]TOTAL APO'!$A:$B,2,0),)</f>
        <v>0</v>
      </c>
      <c r="M617" s="38">
        <f>IFERROR(VLOOKUP(A:A,[1]Short!$A:$Q,17,0),)</f>
        <v>0</v>
      </c>
      <c r="N617" s="38">
        <f>IFERROR(VLOOKUP(C:C,[1]GIT!$B:$D,3,0),)</f>
        <v>0</v>
      </c>
      <c r="O617" s="38">
        <f>IFERROR(VLOOKUP(A:A,[2]Sheet1!$A:$B,2,0),)</f>
        <v>50</v>
      </c>
      <c r="P617" s="38">
        <f>IFERROR(VLOOKUP(A:A,[2]Sheet1!$A:$B,2,0),)</f>
        <v>50</v>
      </c>
      <c r="Q617" s="38">
        <f t="shared" si="9"/>
        <v>0</v>
      </c>
      <c r="R617" s="38"/>
      <c r="S617" s="38"/>
    </row>
    <row r="618" spans="1:19" hidden="1" x14ac:dyDescent="0.25">
      <c r="A618" s="38" t="str">
        <f>F618&amp;C618</f>
        <v>C04840038891</v>
      </c>
      <c r="B618" s="38" t="str">
        <f>IF(J618&gt;=SUMIFS(E:E,C:C,C618),"Good to go","Short in Qty")</f>
        <v>Good to go</v>
      </c>
      <c r="C618" s="40">
        <v>40038891</v>
      </c>
      <c r="D618" s="40" t="s">
        <v>502</v>
      </c>
      <c r="E618" s="66">
        <v>6</v>
      </c>
      <c r="F618" s="38" t="s">
        <v>8</v>
      </c>
      <c r="G618" s="73" t="s">
        <v>467</v>
      </c>
      <c r="H618" s="38" t="s">
        <v>84</v>
      </c>
      <c r="I618" s="38" t="s">
        <v>620</v>
      </c>
      <c r="J618" s="38">
        <f>IFERROR(VLOOKUP(C:C,'[1]S&amp;S'!$B:$F,5,0),)</f>
        <v>10.0027777777778</v>
      </c>
      <c r="K618" s="38">
        <f>IFERROR(VLOOKUP(A:A,[1]APO!$A:$F,6,0),)</f>
        <v>0</v>
      </c>
      <c r="L618" s="38">
        <f>IFERROR(VLOOKUP(C:C,'[1]TOTAL APO'!$A:$B,2,0),)</f>
        <v>0</v>
      </c>
      <c r="M618" s="38">
        <f>IFERROR(VLOOKUP(A:A,[1]Short!$A:$Q,17,0),)</f>
        <v>0</v>
      </c>
      <c r="N618" s="38">
        <f>IFERROR(VLOOKUP(C:C,[1]GIT!$B:$D,3,0),)</f>
        <v>0</v>
      </c>
      <c r="O618" s="38">
        <f>IFERROR(VLOOKUP(A:A,[2]Sheet1!$A:$B,2,0),)</f>
        <v>6</v>
      </c>
      <c r="P618" s="38">
        <f>IFERROR(VLOOKUP(A:A,[2]Sheet1!$A:$B,2,0),)</f>
        <v>6</v>
      </c>
      <c r="Q618" s="38">
        <f t="shared" si="9"/>
        <v>0</v>
      </c>
      <c r="R618" s="38"/>
      <c r="S618" s="38"/>
    </row>
    <row r="619" spans="1:19" hidden="1" x14ac:dyDescent="0.25">
      <c r="A619" s="38" t="str">
        <f>F619&amp;C619</f>
        <v>C04440063045</v>
      </c>
      <c r="B619" s="38" t="str">
        <f>IF(J619&gt;=SUMIFS(E:E,C:C,C619),"Good to go","Short in Qty")</f>
        <v>Good to go</v>
      </c>
      <c r="C619" s="40">
        <v>40063045</v>
      </c>
      <c r="D619" s="40" t="s">
        <v>523</v>
      </c>
      <c r="E619" s="66">
        <v>77</v>
      </c>
      <c r="F619" s="38" t="s">
        <v>191</v>
      </c>
      <c r="G619" s="40" t="s">
        <v>467</v>
      </c>
      <c r="H619" s="38" t="s">
        <v>84</v>
      </c>
      <c r="I619" s="38" t="s">
        <v>620</v>
      </c>
      <c r="J619" s="38">
        <f>IFERROR(VLOOKUP(C:C,'[1]S&amp;S'!$B:$F,5,0),)</f>
        <v>2960.0166666666701</v>
      </c>
      <c r="K619" s="38">
        <f>IFERROR(VLOOKUP(A:A,[1]APO!$A:$F,6,0),)</f>
        <v>0</v>
      </c>
      <c r="L619" s="38">
        <f>IFERROR(VLOOKUP(C:C,'[1]TOTAL APO'!$A:$B,2,0),)</f>
        <v>0</v>
      </c>
      <c r="M619" s="38">
        <f>IFERROR(VLOOKUP(A:A,[1]Short!$A:$Q,17,0),)</f>
        <v>0</v>
      </c>
      <c r="N619" s="38">
        <f>IFERROR(VLOOKUP(C:C,[1]GIT!$B:$D,3,0),)</f>
        <v>0</v>
      </c>
      <c r="O619" s="38">
        <f>IFERROR(VLOOKUP(A:A,[2]Sheet1!$A:$B,2,0),)</f>
        <v>77</v>
      </c>
      <c r="P619" s="38">
        <f>IFERROR(VLOOKUP(A:A,[2]Sheet1!$A:$B,2,0),)</f>
        <v>77</v>
      </c>
      <c r="Q619" s="38">
        <f t="shared" si="9"/>
        <v>0</v>
      </c>
      <c r="R619" s="38"/>
      <c r="S619" s="38"/>
    </row>
    <row r="620" spans="1:19" hidden="1" x14ac:dyDescent="0.25">
      <c r="A620" s="38" t="str">
        <f>F620&amp;C620</f>
        <v>C04640063500</v>
      </c>
      <c r="B620" s="38" t="str">
        <f>IF(J620&gt;=SUMIFS(E:E,C:C,C620),"Good to go","Short in Qty")</f>
        <v>Good to go</v>
      </c>
      <c r="C620" s="40">
        <v>40063500</v>
      </c>
      <c r="D620" s="40" t="s">
        <v>522</v>
      </c>
      <c r="E620" s="66">
        <v>3</v>
      </c>
      <c r="F620" s="38" t="s">
        <v>13</v>
      </c>
      <c r="G620" s="40"/>
      <c r="H620" s="38" t="s">
        <v>84</v>
      </c>
      <c r="I620" s="38" t="s">
        <v>620</v>
      </c>
      <c r="J620" s="38">
        <f>IFERROR(VLOOKUP(C:C,'[1]S&amp;S'!$B:$F,5,0),)</f>
        <v>114</v>
      </c>
      <c r="K620" s="38">
        <f>IFERROR(VLOOKUP(A:A,[1]APO!$A:$F,6,0),)</f>
        <v>0</v>
      </c>
      <c r="L620" s="38">
        <f>IFERROR(VLOOKUP(C:C,'[1]TOTAL APO'!$A:$B,2,0),)</f>
        <v>0</v>
      </c>
      <c r="M620" s="38">
        <f>IFERROR(VLOOKUP(A:A,[1]Short!$A:$Q,17,0),)</f>
        <v>0</v>
      </c>
      <c r="N620" s="38">
        <f>IFERROR(VLOOKUP(C:C,[1]GIT!$B:$D,3,0),)</f>
        <v>0</v>
      </c>
      <c r="O620" s="38">
        <f>IFERROR(VLOOKUP(A:A,[2]Sheet1!$A:$B,2,0),)</f>
        <v>0</v>
      </c>
      <c r="P620" s="38">
        <f>IFERROR(VLOOKUP(A:A,[2]Sheet1!$A:$B,2,0),)</f>
        <v>0</v>
      </c>
      <c r="Q620" s="38">
        <f t="shared" si="9"/>
        <v>3</v>
      </c>
      <c r="R620" s="38"/>
      <c r="S620" s="38"/>
    </row>
    <row r="621" spans="1:19" x14ac:dyDescent="0.25">
      <c r="A621" s="38" t="str">
        <f>F621&amp;C621</f>
        <v>C04640063587</v>
      </c>
      <c r="B621" s="38" t="str">
        <f>IF(J621&gt;=SUMIFS(E:E,C:C,C621),"Good to go","Short in Qty")</f>
        <v>Good to go</v>
      </c>
      <c r="C621" s="40">
        <v>40063587</v>
      </c>
      <c r="D621" s="40" t="s">
        <v>497</v>
      </c>
      <c r="E621" s="66">
        <v>3</v>
      </c>
      <c r="F621" s="38" t="s">
        <v>13</v>
      </c>
      <c r="G621" s="40">
        <v>2</v>
      </c>
      <c r="H621" s="38" t="s">
        <v>9</v>
      </c>
      <c r="I621" s="38" t="s">
        <v>530</v>
      </c>
      <c r="J621" s="38">
        <f>IFERROR(VLOOKUP(C:C,'[1]S&amp;S'!$B:$F,5,0),)</f>
        <v>153</v>
      </c>
      <c r="K621" s="38">
        <f>IFERROR(VLOOKUP(A:A,[1]APO!$A:$F,6,0),)</f>
        <v>0</v>
      </c>
      <c r="L621" s="38">
        <f>IFERROR(VLOOKUP(C:C,'[1]TOTAL APO'!$A:$B,2,0),)</f>
        <v>0</v>
      </c>
      <c r="M621" s="38">
        <f>IFERROR(VLOOKUP(A:A,[1]Short!$A:$Q,17,0),)</f>
        <v>0</v>
      </c>
      <c r="N621" s="38">
        <f>IFERROR(VLOOKUP(C:C,[1]GIT!$B:$D,3,0),)</f>
        <v>0</v>
      </c>
      <c r="O621" s="38">
        <f>IFERROR(VLOOKUP(A:A,[2]Sheet1!$A:$B,2,0),)</f>
        <v>0</v>
      </c>
      <c r="P621" s="38">
        <f>IFERROR(VLOOKUP(A:A,[2]Sheet1!$A:$B,2,0),)</f>
        <v>0</v>
      </c>
      <c r="Q621" s="38">
        <f t="shared" si="9"/>
        <v>3</v>
      </c>
      <c r="R621" s="38"/>
      <c r="S621" s="38"/>
    </row>
    <row r="622" spans="1:19" hidden="1" x14ac:dyDescent="0.25">
      <c r="A622" s="38" t="str">
        <f>F622&amp;C622</f>
        <v>C04440063483</v>
      </c>
      <c r="B622" s="38" t="str">
        <f>IF(J622&gt;=SUMIFS(E:E,C:C,C622),"Good to go","Short in Qty")</f>
        <v>Good to go</v>
      </c>
      <c r="C622" s="40">
        <v>40063483</v>
      </c>
      <c r="D622" s="40" t="s">
        <v>300</v>
      </c>
      <c r="E622" s="66">
        <v>156</v>
      </c>
      <c r="F622" s="38" t="s">
        <v>191</v>
      </c>
      <c r="G622" s="40" t="s">
        <v>467</v>
      </c>
      <c r="H622" s="38" t="s">
        <v>84</v>
      </c>
      <c r="I622" s="38" t="s">
        <v>620</v>
      </c>
      <c r="J622" s="38">
        <f>IFERROR(VLOOKUP(C:C,'[1]S&amp;S'!$B:$F,5,0),)</f>
        <v>7084.38288333333</v>
      </c>
      <c r="K622" s="38">
        <f>IFERROR(VLOOKUP(A:A,[1]APO!$A:$F,6,0),)</f>
        <v>0</v>
      </c>
      <c r="L622" s="38">
        <f>IFERROR(VLOOKUP(C:C,'[1]TOTAL APO'!$A:$B,2,0),)</f>
        <v>0</v>
      </c>
      <c r="M622" s="38">
        <f>IFERROR(VLOOKUP(A:A,[1]Short!$A:$Q,17,0),)</f>
        <v>0</v>
      </c>
      <c r="N622" s="38">
        <f>IFERROR(VLOOKUP(C:C,[1]GIT!$B:$D,3,0),)</f>
        <v>0</v>
      </c>
      <c r="O622" s="38">
        <f>IFERROR(VLOOKUP(A:A,[2]Sheet1!$A:$B,2,0),)</f>
        <v>156</v>
      </c>
      <c r="P622" s="38">
        <f>IFERROR(VLOOKUP(A:A,[2]Sheet1!$A:$B,2,0),)</f>
        <v>156</v>
      </c>
      <c r="Q622" s="38">
        <f t="shared" si="9"/>
        <v>0</v>
      </c>
      <c r="R622" s="38"/>
      <c r="S622" s="38"/>
    </row>
    <row r="623" spans="1:19" hidden="1" x14ac:dyDescent="0.25">
      <c r="A623" s="38" t="str">
        <f>F623&amp;C623</f>
        <v>C04440063491</v>
      </c>
      <c r="B623" s="38" t="str">
        <f>IF(J623&gt;=SUMIFS(E:E,C:C,C623),"Good to go","Short in Qty")</f>
        <v>Good to go</v>
      </c>
      <c r="C623" s="40">
        <v>40063491</v>
      </c>
      <c r="D623" s="40" t="s">
        <v>304</v>
      </c>
      <c r="E623" s="66">
        <v>7</v>
      </c>
      <c r="F623" s="38" t="s">
        <v>191</v>
      </c>
      <c r="G623" s="40" t="s">
        <v>467</v>
      </c>
      <c r="H623" s="38" t="s">
        <v>84</v>
      </c>
      <c r="I623" s="38" t="s">
        <v>620</v>
      </c>
      <c r="J623" s="38">
        <f>IFERROR(VLOOKUP(C:C,'[1]S&amp;S'!$B:$F,5,0),)</f>
        <v>23.000222222222199</v>
      </c>
      <c r="K623" s="38">
        <f>IFERROR(VLOOKUP(A:A,[1]APO!$A:$F,6,0),)</f>
        <v>0</v>
      </c>
      <c r="L623" s="38">
        <f>IFERROR(VLOOKUP(C:C,'[1]TOTAL APO'!$A:$B,2,0),)</f>
        <v>0</v>
      </c>
      <c r="M623" s="38">
        <f>IFERROR(VLOOKUP(A:A,[1]Short!$A:$Q,17,0),)</f>
        <v>0</v>
      </c>
      <c r="N623" s="38">
        <f>IFERROR(VLOOKUP(C:C,[1]GIT!$B:$D,3,0),)</f>
        <v>0</v>
      </c>
      <c r="O623" s="38">
        <f>IFERROR(VLOOKUP(A:A,[2]Sheet1!$A:$B,2,0),)</f>
        <v>7</v>
      </c>
      <c r="P623" s="38">
        <f>IFERROR(VLOOKUP(A:A,[2]Sheet1!$A:$B,2,0),)</f>
        <v>7</v>
      </c>
      <c r="Q623" s="38">
        <f t="shared" si="9"/>
        <v>0</v>
      </c>
      <c r="R623" s="38"/>
      <c r="S623" s="38"/>
    </row>
    <row r="624" spans="1:19" hidden="1" x14ac:dyDescent="0.25">
      <c r="A624" s="38" t="str">
        <f>F624&amp;C624</f>
        <v>C10240063612</v>
      </c>
      <c r="B624" s="38" t="str">
        <f>IF(J624&gt;=SUMIFS(E:E,C:C,C624),"Good to go","Short in Qty")</f>
        <v>Good to go</v>
      </c>
      <c r="C624" s="40">
        <v>40063612</v>
      </c>
      <c r="D624" s="40" t="s">
        <v>529</v>
      </c>
      <c r="E624" s="66">
        <v>1</v>
      </c>
      <c r="F624" s="38" t="s">
        <v>226</v>
      </c>
      <c r="G624" s="40" t="s">
        <v>467</v>
      </c>
      <c r="H624" s="38" t="s">
        <v>84</v>
      </c>
      <c r="I624" s="38" t="s">
        <v>620</v>
      </c>
      <c r="J624" s="38">
        <f>IFERROR(VLOOKUP(C:C,'[1]S&amp;S'!$B:$F,5,0),)</f>
        <v>29</v>
      </c>
      <c r="K624" s="38">
        <f>IFERROR(VLOOKUP(A:A,[1]APO!$A:$F,6,0),)</f>
        <v>0</v>
      </c>
      <c r="L624" s="38">
        <f>IFERROR(VLOOKUP(C:C,'[1]TOTAL APO'!$A:$B,2,0),)</f>
        <v>0</v>
      </c>
      <c r="M624" s="38">
        <f>IFERROR(VLOOKUP(A:A,[1]Short!$A:$Q,17,0),)</f>
        <v>0</v>
      </c>
      <c r="N624" s="38">
        <f>IFERROR(VLOOKUP(C:C,[1]GIT!$B:$D,3,0),)</f>
        <v>0</v>
      </c>
      <c r="O624" s="38">
        <f>IFERROR(VLOOKUP(A:A,[2]Sheet1!$A:$B,2,0),)</f>
        <v>1</v>
      </c>
      <c r="P624" s="38">
        <f>IFERROR(VLOOKUP(A:A,[2]Sheet1!$A:$B,2,0),)</f>
        <v>1</v>
      </c>
      <c r="Q624" s="38">
        <f t="shared" si="9"/>
        <v>0</v>
      </c>
      <c r="R624" s="38"/>
      <c r="S624" s="38"/>
    </row>
    <row r="625" spans="1:19" hidden="1" x14ac:dyDescent="0.25">
      <c r="A625" s="38" t="str">
        <f>F625&amp;C625</f>
        <v>C04240063539</v>
      </c>
      <c r="B625" s="38" t="str">
        <f>IF(J625&gt;=SUMIFS(E:E,C:C,C625),"Good to go","Short in Qty")</f>
        <v>Good to go</v>
      </c>
      <c r="C625" s="40">
        <v>40063539</v>
      </c>
      <c r="D625" s="40" t="s">
        <v>551</v>
      </c>
      <c r="E625" s="66">
        <v>100</v>
      </c>
      <c r="F625" s="38" t="s">
        <v>10</v>
      </c>
      <c r="G625" s="40" t="s">
        <v>467</v>
      </c>
      <c r="H625" s="38" t="s">
        <v>594</v>
      </c>
      <c r="I625" s="38" t="s">
        <v>595</v>
      </c>
      <c r="J625" s="38">
        <f>IFERROR(VLOOKUP(C:C,'[1]S&amp;S'!$B:$F,5,0),)</f>
        <v>296.01177777777798</v>
      </c>
      <c r="K625" s="38">
        <f>IFERROR(VLOOKUP(A:A,[1]APO!$A:$F,6,0),)</f>
        <v>0</v>
      </c>
      <c r="L625" s="38">
        <f>IFERROR(VLOOKUP(C:C,'[1]TOTAL APO'!$A:$B,2,0),)</f>
        <v>0</v>
      </c>
      <c r="M625" s="38">
        <f>IFERROR(VLOOKUP(A:A,[1]Short!$A:$Q,17,0),)</f>
        <v>0</v>
      </c>
      <c r="N625" s="38">
        <f>IFERROR(VLOOKUP(C:C,[1]GIT!$B:$D,3,0),)</f>
        <v>0</v>
      </c>
      <c r="O625" s="38">
        <f>IFERROR(VLOOKUP(A:A,[2]Sheet1!$A:$B,2,0),)</f>
        <v>100</v>
      </c>
      <c r="P625" s="38">
        <f>IFERROR(VLOOKUP(A:A,[2]Sheet1!$A:$B,2,0),)</f>
        <v>100</v>
      </c>
      <c r="Q625" s="38">
        <f t="shared" si="9"/>
        <v>0</v>
      </c>
      <c r="R625" s="38"/>
      <c r="S625" s="38"/>
    </row>
    <row r="626" spans="1:19" x14ac:dyDescent="0.25">
      <c r="A626" s="38" t="str">
        <f>F626&amp;C626</f>
        <v>C04440064881</v>
      </c>
      <c r="B626" s="38" t="str">
        <f>IF(J626&gt;=SUMIFS(E:E,C:C,C626),"Good to go","Short in Qty")</f>
        <v>Good to go</v>
      </c>
      <c r="C626" s="40">
        <v>40064881</v>
      </c>
      <c r="D626" s="40" t="s">
        <v>281</v>
      </c>
      <c r="E626" s="66">
        <v>28</v>
      </c>
      <c r="F626" s="38" t="s">
        <v>191</v>
      </c>
      <c r="G626" s="40"/>
      <c r="H626" s="38" t="s">
        <v>9</v>
      </c>
      <c r="I626" s="38" t="s">
        <v>530</v>
      </c>
      <c r="J626" s="38">
        <f>IFERROR(VLOOKUP(C:C,'[1]S&amp;S'!$B:$F,5,0),)</f>
        <v>95</v>
      </c>
      <c r="K626" s="38">
        <f>IFERROR(VLOOKUP(A:A,[1]APO!$A:$F,6,0),)</f>
        <v>0</v>
      </c>
      <c r="L626" s="38">
        <f>IFERROR(VLOOKUP(C:C,'[1]TOTAL APO'!$A:$B,2,0),)</f>
        <v>0</v>
      </c>
      <c r="M626" s="38">
        <f>IFERROR(VLOOKUP(A:A,[1]Short!$A:$Q,17,0),)</f>
        <v>0</v>
      </c>
      <c r="N626" s="38">
        <f>IFERROR(VLOOKUP(C:C,[1]GIT!$B:$D,3,0),)</f>
        <v>0</v>
      </c>
      <c r="O626" s="38">
        <f>IFERROR(VLOOKUP(A:A,[2]Sheet1!$A:$B,2,0),)</f>
        <v>0</v>
      </c>
      <c r="P626" s="38">
        <f>IFERROR(VLOOKUP(A:A,[2]Sheet1!$A:$B,2,0),)</f>
        <v>0</v>
      </c>
      <c r="Q626" s="38">
        <f t="shared" si="9"/>
        <v>28</v>
      </c>
      <c r="R626" s="38"/>
      <c r="S626" s="38"/>
    </row>
    <row r="627" spans="1:19" x14ac:dyDescent="0.25">
      <c r="A627" s="38" t="str">
        <f>F627&amp;C627</f>
        <v>C04640064881</v>
      </c>
      <c r="B627" s="38" t="str">
        <f>IF(J627&gt;=SUMIFS(E:E,C:C,C627),"Good to go","Short in Qty")</f>
        <v>Good to go</v>
      </c>
      <c r="C627" s="40">
        <v>40064881</v>
      </c>
      <c r="D627" s="40" t="s">
        <v>281</v>
      </c>
      <c r="E627" s="66">
        <v>3</v>
      </c>
      <c r="F627" s="38" t="s">
        <v>13</v>
      </c>
      <c r="G627" s="40"/>
      <c r="H627" s="38" t="s">
        <v>9</v>
      </c>
      <c r="I627" s="38" t="s">
        <v>530</v>
      </c>
      <c r="J627" s="38">
        <f>IFERROR(VLOOKUP(C:C,'[1]S&amp;S'!$B:$F,5,0),)</f>
        <v>95</v>
      </c>
      <c r="K627" s="38">
        <f>IFERROR(VLOOKUP(A:A,[1]APO!$A:$F,6,0),)</f>
        <v>0</v>
      </c>
      <c r="L627" s="38">
        <f>IFERROR(VLOOKUP(C:C,'[1]TOTAL APO'!$A:$B,2,0),)</f>
        <v>0</v>
      </c>
      <c r="M627" s="38">
        <f>IFERROR(VLOOKUP(A:A,[1]Short!$A:$Q,17,0),)</f>
        <v>0</v>
      </c>
      <c r="N627" s="38">
        <f>IFERROR(VLOOKUP(C:C,[1]GIT!$B:$D,3,0),)</f>
        <v>0</v>
      </c>
      <c r="O627" s="38">
        <f>IFERROR(VLOOKUP(A:A,[2]Sheet1!$A:$B,2,0),)</f>
        <v>0</v>
      </c>
      <c r="P627" s="38">
        <f>IFERROR(VLOOKUP(A:A,[2]Sheet1!$A:$B,2,0),)</f>
        <v>0</v>
      </c>
      <c r="Q627" s="38">
        <f t="shared" si="9"/>
        <v>3</v>
      </c>
      <c r="R627" s="38"/>
      <c r="S627" s="38"/>
    </row>
    <row r="628" spans="1:19" hidden="1" x14ac:dyDescent="0.25">
      <c r="A628" s="38" t="str">
        <f>F628&amp;C628</f>
        <v>C13140063612</v>
      </c>
      <c r="B628" s="38" t="str">
        <f>IF(J628&gt;=SUMIFS(E:E,C:C,C628),"Good to go","Short in Qty")</f>
        <v>Good to go</v>
      </c>
      <c r="C628" s="40">
        <v>40063612</v>
      </c>
      <c r="D628" s="40" t="s">
        <v>529</v>
      </c>
      <c r="E628" s="66">
        <v>1</v>
      </c>
      <c r="F628" s="38" t="s">
        <v>17</v>
      </c>
      <c r="G628" s="40" t="s">
        <v>467</v>
      </c>
      <c r="H628" s="38" t="s">
        <v>84</v>
      </c>
      <c r="I628" s="38" t="s">
        <v>620</v>
      </c>
      <c r="J628" s="38">
        <f>IFERROR(VLOOKUP(C:C,'[1]S&amp;S'!$B:$F,5,0),)</f>
        <v>29</v>
      </c>
      <c r="K628" s="38">
        <f>IFERROR(VLOOKUP(A:A,[1]APO!$A:$F,6,0),)</f>
        <v>0</v>
      </c>
      <c r="L628" s="38">
        <f>IFERROR(VLOOKUP(C:C,'[1]TOTAL APO'!$A:$B,2,0),)</f>
        <v>0</v>
      </c>
      <c r="M628" s="38">
        <f>IFERROR(VLOOKUP(A:A,[1]Short!$A:$Q,17,0),)</f>
        <v>0</v>
      </c>
      <c r="N628" s="38">
        <f>IFERROR(VLOOKUP(C:C,[1]GIT!$B:$D,3,0),)</f>
        <v>0</v>
      </c>
      <c r="O628" s="38">
        <f>IFERROR(VLOOKUP(A:A,[2]Sheet1!$A:$B,2,0),)</f>
        <v>1</v>
      </c>
      <c r="P628" s="38">
        <f>IFERROR(VLOOKUP(A:A,[2]Sheet1!$A:$B,2,0),)</f>
        <v>1</v>
      </c>
      <c r="Q628" s="38">
        <f t="shared" si="9"/>
        <v>0</v>
      </c>
      <c r="R628" s="38"/>
      <c r="S628" s="38"/>
    </row>
    <row r="629" spans="1:19" x14ac:dyDescent="0.25">
      <c r="A629" s="38" t="str">
        <f>F629&amp;C629</f>
        <v>C04740064881</v>
      </c>
      <c r="B629" s="38" t="str">
        <f>IF(J629&gt;=SUMIFS(E:E,C:C,C629),"Good to go","Short in Qty")</f>
        <v>Good to go</v>
      </c>
      <c r="C629" s="40">
        <v>40064881</v>
      </c>
      <c r="D629" s="40" t="s">
        <v>281</v>
      </c>
      <c r="E629" s="66">
        <v>21</v>
      </c>
      <c r="F629" s="38" t="s">
        <v>192</v>
      </c>
      <c r="G629" s="40"/>
      <c r="H629" s="38" t="s">
        <v>9</v>
      </c>
      <c r="I629" s="38" t="s">
        <v>530</v>
      </c>
      <c r="J629" s="38">
        <f>IFERROR(VLOOKUP(C:C,'[1]S&amp;S'!$B:$F,5,0),)</f>
        <v>95</v>
      </c>
      <c r="K629" s="38">
        <f>IFERROR(VLOOKUP(A:A,[1]APO!$A:$F,6,0),)</f>
        <v>0</v>
      </c>
      <c r="L629" s="38">
        <f>IFERROR(VLOOKUP(C:C,'[1]TOTAL APO'!$A:$B,2,0),)</f>
        <v>0</v>
      </c>
      <c r="M629" s="38">
        <f>IFERROR(VLOOKUP(A:A,[1]Short!$A:$Q,17,0),)</f>
        <v>0</v>
      </c>
      <c r="N629" s="38">
        <f>IFERROR(VLOOKUP(C:C,[1]GIT!$B:$D,3,0),)</f>
        <v>0</v>
      </c>
      <c r="O629" s="38">
        <f>IFERROR(VLOOKUP(A:A,[2]Sheet1!$A:$B,2,0),)</f>
        <v>0</v>
      </c>
      <c r="P629" s="38">
        <f>IFERROR(VLOOKUP(A:A,[2]Sheet1!$A:$B,2,0),)</f>
        <v>0</v>
      </c>
      <c r="Q629" s="38">
        <f t="shared" si="9"/>
        <v>21</v>
      </c>
      <c r="R629" s="38"/>
      <c r="S629" s="38"/>
    </row>
    <row r="630" spans="1:19" hidden="1" x14ac:dyDescent="0.25">
      <c r="A630" s="38" t="str">
        <f>F630&amp;C630</f>
        <v>C04840050590</v>
      </c>
      <c r="B630" s="38" t="str">
        <f>IF(J630&gt;=SUMIFS(E:E,C:C,C630),"Good to go","Short in Qty")</f>
        <v>Good to go</v>
      </c>
      <c r="C630" s="40">
        <v>40050590</v>
      </c>
      <c r="D630" s="40" t="s">
        <v>337</v>
      </c>
      <c r="E630" s="66">
        <v>2</v>
      </c>
      <c r="F630" s="38" t="s">
        <v>8</v>
      </c>
      <c r="G630" s="40" t="s">
        <v>467</v>
      </c>
      <c r="H630" s="38" t="s">
        <v>9</v>
      </c>
      <c r="I630" s="38" t="s">
        <v>530</v>
      </c>
      <c r="J630" s="38">
        <f>IFERROR(VLOOKUP(C:C,'[1]S&amp;S'!$B:$F,5,0),)</f>
        <v>6</v>
      </c>
      <c r="K630" s="38">
        <f>IFERROR(VLOOKUP(A:A,[1]APO!$A:$F,6,0),)</f>
        <v>0</v>
      </c>
      <c r="L630" s="38">
        <f>IFERROR(VLOOKUP(C:C,'[1]TOTAL APO'!$A:$B,2,0),)</f>
        <v>0</v>
      </c>
      <c r="M630" s="38">
        <f>IFERROR(VLOOKUP(A:A,[1]Short!$A:$Q,17,0),)</f>
        <v>0</v>
      </c>
      <c r="N630" s="38">
        <f>IFERROR(VLOOKUP(C:C,[1]GIT!$B:$D,3,0),)</f>
        <v>0</v>
      </c>
      <c r="O630" s="38">
        <f>IFERROR(VLOOKUP(A:A,[2]Sheet1!$A:$B,2,0),)</f>
        <v>2</v>
      </c>
      <c r="P630" s="38">
        <f>IFERROR(VLOOKUP(A:A,[2]Sheet1!$A:$B,2,0),)</f>
        <v>2</v>
      </c>
      <c r="Q630" s="38">
        <f t="shared" si="9"/>
        <v>0</v>
      </c>
      <c r="R630" s="38"/>
      <c r="S630" s="38"/>
    </row>
    <row r="631" spans="1:19" hidden="1" x14ac:dyDescent="0.25">
      <c r="A631" s="38" t="str">
        <f>F631&amp;C631</f>
        <v>C04440063500</v>
      </c>
      <c r="B631" s="38" t="str">
        <f>IF(J631&gt;=SUMIFS(E:E,C:C,C631),"Good to go","Short in Qty")</f>
        <v>Good to go</v>
      </c>
      <c r="C631" s="40">
        <v>40063500</v>
      </c>
      <c r="D631" s="40" t="s">
        <v>522</v>
      </c>
      <c r="E631" s="66">
        <v>7</v>
      </c>
      <c r="F631" s="38" t="s">
        <v>191</v>
      </c>
      <c r="G631" s="40" t="s">
        <v>467</v>
      </c>
      <c r="H631" s="38" t="s">
        <v>84</v>
      </c>
      <c r="I631" s="38" t="s">
        <v>620</v>
      </c>
      <c r="J631" s="38">
        <f>IFERROR(VLOOKUP(C:C,'[1]S&amp;S'!$B:$F,5,0),)</f>
        <v>114</v>
      </c>
      <c r="K631" s="38">
        <f>IFERROR(VLOOKUP(A:A,[1]APO!$A:$F,6,0),)</f>
        <v>0</v>
      </c>
      <c r="L631" s="38">
        <f>IFERROR(VLOOKUP(C:C,'[1]TOTAL APO'!$A:$B,2,0),)</f>
        <v>0</v>
      </c>
      <c r="M631" s="38">
        <f>IFERROR(VLOOKUP(A:A,[1]Short!$A:$Q,17,0),)</f>
        <v>0</v>
      </c>
      <c r="N631" s="38">
        <f>IFERROR(VLOOKUP(C:C,[1]GIT!$B:$D,3,0),)</f>
        <v>0</v>
      </c>
      <c r="O631" s="38">
        <f>IFERROR(VLOOKUP(A:A,[2]Sheet1!$A:$B,2,0),)</f>
        <v>7</v>
      </c>
      <c r="P631" s="38">
        <f>IFERROR(VLOOKUP(A:A,[2]Sheet1!$A:$B,2,0),)</f>
        <v>7</v>
      </c>
      <c r="Q631" s="38">
        <f t="shared" si="9"/>
        <v>0</v>
      </c>
      <c r="R631" s="38"/>
      <c r="S631" s="38"/>
    </row>
    <row r="632" spans="1:19" hidden="1" x14ac:dyDescent="0.25">
      <c r="A632" s="38" t="str">
        <f>F632&amp;C632</f>
        <v>C04340064881</v>
      </c>
      <c r="B632" s="38" t="str">
        <f>IF(J632&gt;=SUMIFS(E:E,C:C,C632),"Good to go","Short in Qty")</f>
        <v>Good to go</v>
      </c>
      <c r="C632" s="40">
        <v>40064881</v>
      </c>
      <c r="D632" s="40" t="s">
        <v>281</v>
      </c>
      <c r="E632" s="66">
        <v>8</v>
      </c>
      <c r="F632" s="38" t="s">
        <v>11</v>
      </c>
      <c r="G632" s="40" t="s">
        <v>467</v>
      </c>
      <c r="H632" s="38" t="s">
        <v>9</v>
      </c>
      <c r="I632" s="38" t="s">
        <v>530</v>
      </c>
      <c r="J632" s="38">
        <f>IFERROR(VLOOKUP(C:C,'[1]S&amp;S'!$B:$F,5,0),)</f>
        <v>95</v>
      </c>
      <c r="K632" s="38">
        <f>IFERROR(VLOOKUP(A:A,[1]APO!$A:$F,6,0),)</f>
        <v>0</v>
      </c>
      <c r="L632" s="38">
        <f>IFERROR(VLOOKUP(C:C,'[1]TOTAL APO'!$A:$B,2,0),)</f>
        <v>0</v>
      </c>
      <c r="M632" s="38">
        <f>IFERROR(VLOOKUP(A:A,[1]Short!$A:$Q,17,0),)</f>
        <v>0</v>
      </c>
      <c r="N632" s="38">
        <f>IFERROR(VLOOKUP(C:C,[1]GIT!$B:$D,3,0),)</f>
        <v>0</v>
      </c>
      <c r="O632" s="38">
        <f>IFERROR(VLOOKUP(A:A,[2]Sheet1!$A:$B,2,0),)</f>
        <v>8</v>
      </c>
      <c r="P632" s="38">
        <f>IFERROR(VLOOKUP(A:A,[2]Sheet1!$A:$B,2,0),)</f>
        <v>8</v>
      </c>
      <c r="Q632" s="38">
        <f t="shared" si="9"/>
        <v>0</v>
      </c>
      <c r="R632" s="38"/>
      <c r="S632" s="38"/>
    </row>
    <row r="633" spans="1:19" hidden="1" x14ac:dyDescent="0.25">
      <c r="A633" s="38" t="str">
        <f>F633&amp;C633</f>
        <v>C04440063685</v>
      </c>
      <c r="B633" s="38" t="str">
        <f>IF(J633&gt;=SUMIFS(E:E,C:C,C633),"Good to go","Short in Qty")</f>
        <v>Good to go</v>
      </c>
      <c r="C633" s="40">
        <v>40063685</v>
      </c>
      <c r="D633" s="40" t="s">
        <v>236</v>
      </c>
      <c r="E633" s="66">
        <v>20</v>
      </c>
      <c r="F633" s="38" t="s">
        <v>191</v>
      </c>
      <c r="G633" s="40" t="s">
        <v>467</v>
      </c>
      <c r="H633" s="38" t="s">
        <v>84</v>
      </c>
      <c r="I633" s="38" t="s">
        <v>620</v>
      </c>
      <c r="J633" s="38">
        <f>IFERROR(VLOOKUP(C:C,'[1]S&amp;S'!$B:$F,5,0),)</f>
        <v>3653.4444444444398</v>
      </c>
      <c r="K633" s="38">
        <f>IFERROR(VLOOKUP(A:A,[1]APO!$A:$F,6,0),)</f>
        <v>0</v>
      </c>
      <c r="L633" s="38">
        <f>IFERROR(VLOOKUP(C:C,'[1]TOTAL APO'!$A:$B,2,0),)</f>
        <v>0</v>
      </c>
      <c r="M633" s="38">
        <f>IFERROR(VLOOKUP(A:A,[1]Short!$A:$Q,17,0),)</f>
        <v>0</v>
      </c>
      <c r="N633" s="38">
        <f>IFERROR(VLOOKUP(C:C,[1]GIT!$B:$D,3,0),)</f>
        <v>0</v>
      </c>
      <c r="O633" s="38">
        <f>IFERROR(VLOOKUP(A:A,[2]Sheet1!$A:$B,2,0),)</f>
        <v>20</v>
      </c>
      <c r="P633" s="38">
        <f>IFERROR(VLOOKUP(A:A,[2]Sheet1!$A:$B,2,0),)</f>
        <v>20</v>
      </c>
      <c r="Q633" s="38">
        <f t="shared" si="9"/>
        <v>0</v>
      </c>
      <c r="R633" s="38"/>
      <c r="S633" s="38"/>
    </row>
    <row r="634" spans="1:19" hidden="1" x14ac:dyDescent="0.25">
      <c r="A634" s="38" t="str">
        <f>F634&amp;C634</f>
        <v>C04740063659</v>
      </c>
      <c r="B634" s="38" t="str">
        <f>IF(J634&gt;=SUMIFS(E:E,C:C,C634),"Good to go","Short in Qty")</f>
        <v>Good to go</v>
      </c>
      <c r="C634" s="40">
        <v>40063659</v>
      </c>
      <c r="D634" s="40" t="s">
        <v>289</v>
      </c>
      <c r="E634" s="66">
        <v>3</v>
      </c>
      <c r="F634" s="38" t="s">
        <v>192</v>
      </c>
      <c r="G634" s="40"/>
      <c r="H634" s="38" t="s">
        <v>84</v>
      </c>
      <c r="I634" s="38" t="s">
        <v>620</v>
      </c>
      <c r="J634" s="38">
        <f>IFERROR(VLOOKUP(C:C,'[1]S&amp;S'!$B:$F,5,0),)</f>
        <v>235</v>
      </c>
      <c r="K634" s="38">
        <f>IFERROR(VLOOKUP(A:A,[1]APO!$A:$F,6,0),)</f>
        <v>0</v>
      </c>
      <c r="L634" s="38">
        <f>IFERROR(VLOOKUP(C:C,'[1]TOTAL APO'!$A:$B,2,0),)</f>
        <v>0</v>
      </c>
      <c r="M634" s="38">
        <f>IFERROR(VLOOKUP(A:A,[1]Short!$A:$Q,17,0),)</f>
        <v>0</v>
      </c>
      <c r="N634" s="38">
        <f>IFERROR(VLOOKUP(C:C,[1]GIT!$B:$D,3,0),)</f>
        <v>0</v>
      </c>
      <c r="O634" s="38">
        <f>IFERROR(VLOOKUP(A:A,[2]Sheet1!$A:$B,2,0),)</f>
        <v>0</v>
      </c>
      <c r="P634" s="38">
        <f>IFERROR(VLOOKUP(A:A,[2]Sheet1!$A:$B,2,0),)</f>
        <v>0</v>
      </c>
      <c r="Q634" s="38">
        <f t="shared" si="9"/>
        <v>3</v>
      </c>
      <c r="R634" s="38"/>
      <c r="S634" s="38"/>
    </row>
    <row r="635" spans="1:19" hidden="1" x14ac:dyDescent="0.25">
      <c r="A635" s="38" t="str">
        <f>F635&amp;C635</f>
        <v>C04440063686</v>
      </c>
      <c r="B635" s="38" t="str">
        <f>IF(J635&gt;=SUMIFS(E:E,C:C,C635),"Good to go","Short in Qty")</f>
        <v>Good to go</v>
      </c>
      <c r="C635" s="40">
        <v>40063686</v>
      </c>
      <c r="D635" s="40" t="s">
        <v>349</v>
      </c>
      <c r="E635" s="66">
        <v>80</v>
      </c>
      <c r="F635" s="38" t="s">
        <v>191</v>
      </c>
      <c r="G635" s="40" t="s">
        <v>467</v>
      </c>
      <c r="H635" s="38" t="s">
        <v>84</v>
      </c>
      <c r="I635" s="38" t="s">
        <v>620</v>
      </c>
      <c r="J635" s="38">
        <f>IFERROR(VLOOKUP(C:C,'[1]S&amp;S'!$B:$F,5,0),)</f>
        <v>5928.6666666666697</v>
      </c>
      <c r="K635" s="38">
        <f>IFERROR(VLOOKUP(A:A,[1]APO!$A:$F,6,0),)</f>
        <v>0</v>
      </c>
      <c r="L635" s="38">
        <f>IFERROR(VLOOKUP(C:C,'[1]TOTAL APO'!$A:$B,2,0),)</f>
        <v>0</v>
      </c>
      <c r="M635" s="38">
        <f>IFERROR(VLOOKUP(A:A,[1]Short!$A:$Q,17,0),)</f>
        <v>0</v>
      </c>
      <c r="N635" s="38">
        <f>IFERROR(VLOOKUP(C:C,[1]GIT!$B:$D,3,0),)</f>
        <v>0</v>
      </c>
      <c r="O635" s="38">
        <f>IFERROR(VLOOKUP(A:A,[2]Sheet1!$A:$B,2,0),)</f>
        <v>80</v>
      </c>
      <c r="P635" s="38">
        <f>IFERROR(VLOOKUP(A:A,[2]Sheet1!$A:$B,2,0),)</f>
        <v>80</v>
      </c>
      <c r="Q635" s="38">
        <f t="shared" si="9"/>
        <v>0</v>
      </c>
      <c r="R635" s="38"/>
      <c r="S635" s="38"/>
    </row>
    <row r="636" spans="1:19" hidden="1" x14ac:dyDescent="0.25">
      <c r="A636" s="38" t="str">
        <f>F636&amp;C636</f>
        <v>C04640063686</v>
      </c>
      <c r="B636" s="38" t="str">
        <f>IF(J636&gt;=SUMIFS(E:E,C:C,C636),"Good to go","Short in Qty")</f>
        <v>Good to go</v>
      </c>
      <c r="C636" s="40">
        <v>40063686</v>
      </c>
      <c r="D636" s="40" t="s">
        <v>349</v>
      </c>
      <c r="E636" s="66">
        <v>134</v>
      </c>
      <c r="F636" s="38" t="s">
        <v>13</v>
      </c>
      <c r="G636" s="40"/>
      <c r="H636" s="38" t="s">
        <v>84</v>
      </c>
      <c r="I636" s="38" t="s">
        <v>620</v>
      </c>
      <c r="J636" s="38">
        <f>IFERROR(VLOOKUP(C:C,'[1]S&amp;S'!$B:$F,5,0),)</f>
        <v>5928.6666666666697</v>
      </c>
      <c r="K636" s="38">
        <f>IFERROR(VLOOKUP(A:A,[1]APO!$A:$F,6,0),)</f>
        <v>0</v>
      </c>
      <c r="L636" s="38">
        <f>IFERROR(VLOOKUP(C:C,'[1]TOTAL APO'!$A:$B,2,0),)</f>
        <v>0</v>
      </c>
      <c r="M636" s="38">
        <f>IFERROR(VLOOKUP(A:A,[1]Short!$A:$Q,17,0),)</f>
        <v>0</v>
      </c>
      <c r="N636" s="38">
        <f>IFERROR(VLOOKUP(C:C,[1]GIT!$B:$D,3,0),)</f>
        <v>0</v>
      </c>
      <c r="O636" s="38">
        <f>IFERROR(VLOOKUP(A:A,[2]Sheet1!$A:$B,2,0),)</f>
        <v>0</v>
      </c>
      <c r="P636" s="38">
        <f>IFERROR(VLOOKUP(A:A,[2]Sheet1!$A:$B,2,0),)</f>
        <v>0</v>
      </c>
      <c r="Q636" s="38">
        <f t="shared" si="9"/>
        <v>134</v>
      </c>
      <c r="R636" s="38"/>
      <c r="S636" s="38"/>
    </row>
    <row r="637" spans="1:19" hidden="1" x14ac:dyDescent="0.25">
      <c r="A637" s="38" t="str">
        <f>F637&amp;C637</f>
        <v>C04440063699</v>
      </c>
      <c r="B637" s="38" t="str">
        <f>IF(J637&gt;=SUMIFS(E:E,C:C,C637),"Good to go","Short in Qty")</f>
        <v>Good to go</v>
      </c>
      <c r="C637" s="40">
        <v>40063699</v>
      </c>
      <c r="D637" s="40" t="s">
        <v>515</v>
      </c>
      <c r="E637" s="66">
        <v>116</v>
      </c>
      <c r="F637" s="38" t="s">
        <v>191</v>
      </c>
      <c r="G637" s="40" t="s">
        <v>467</v>
      </c>
      <c r="H637" s="38" t="s">
        <v>84</v>
      </c>
      <c r="I637" s="38" t="s">
        <v>620</v>
      </c>
      <c r="J637" s="38">
        <f>IFERROR(VLOOKUP(C:C,'[1]S&amp;S'!$B:$F,5,0),)</f>
        <v>10473.125</v>
      </c>
      <c r="K637" s="38">
        <f>IFERROR(VLOOKUP(A:A,[1]APO!$A:$F,6,0),)</f>
        <v>0</v>
      </c>
      <c r="L637" s="38">
        <f>IFERROR(VLOOKUP(C:C,'[1]TOTAL APO'!$A:$B,2,0),)</f>
        <v>0</v>
      </c>
      <c r="M637" s="38">
        <f>IFERROR(VLOOKUP(A:A,[1]Short!$A:$Q,17,0),)</f>
        <v>0</v>
      </c>
      <c r="N637" s="38">
        <f>IFERROR(VLOOKUP(C:C,[1]GIT!$B:$D,3,0),)</f>
        <v>0</v>
      </c>
      <c r="O637" s="38">
        <f>IFERROR(VLOOKUP(A:A,[2]Sheet1!$A:$B,2,0),)</f>
        <v>116</v>
      </c>
      <c r="P637" s="38">
        <f>IFERROR(VLOOKUP(A:A,[2]Sheet1!$A:$B,2,0),)</f>
        <v>116</v>
      </c>
      <c r="Q637" s="38">
        <f t="shared" si="9"/>
        <v>0</v>
      </c>
      <c r="R637" s="38"/>
      <c r="S637" s="38"/>
    </row>
    <row r="638" spans="1:19" hidden="1" x14ac:dyDescent="0.25">
      <c r="A638" s="38" t="str">
        <f>F638&amp;C638</f>
        <v>C04440063700</v>
      </c>
      <c r="B638" s="38" t="str">
        <f>IF(J638&gt;=SUMIFS(E:E,C:C,C638),"Good to go","Short in Qty")</f>
        <v>Good to go</v>
      </c>
      <c r="C638" s="40">
        <v>40063700</v>
      </c>
      <c r="D638" s="40" t="s">
        <v>237</v>
      </c>
      <c r="E638" s="66">
        <v>44</v>
      </c>
      <c r="F638" s="38" t="s">
        <v>191</v>
      </c>
      <c r="G638" s="40" t="s">
        <v>467</v>
      </c>
      <c r="H638" s="38" t="s">
        <v>84</v>
      </c>
      <c r="I638" s="38" t="s">
        <v>620</v>
      </c>
      <c r="J638" s="38">
        <f>IFERROR(VLOOKUP(C:C,'[1]S&amp;S'!$B:$F,5,0),)</f>
        <v>9071</v>
      </c>
      <c r="K638" s="38">
        <f>IFERROR(VLOOKUP(A:A,[1]APO!$A:$F,6,0),)</f>
        <v>0</v>
      </c>
      <c r="L638" s="38">
        <f>IFERROR(VLOOKUP(C:C,'[1]TOTAL APO'!$A:$B,2,0),)</f>
        <v>0</v>
      </c>
      <c r="M638" s="38">
        <f>IFERROR(VLOOKUP(A:A,[1]Short!$A:$Q,17,0),)</f>
        <v>0</v>
      </c>
      <c r="N638" s="38">
        <f>IFERROR(VLOOKUP(C:C,[1]GIT!$B:$D,3,0),)</f>
        <v>0</v>
      </c>
      <c r="O638" s="38">
        <f>IFERROR(VLOOKUP(A:A,[2]Sheet1!$A:$B,2,0),)</f>
        <v>44</v>
      </c>
      <c r="P638" s="38">
        <f>IFERROR(VLOOKUP(A:A,[2]Sheet1!$A:$B,2,0),)</f>
        <v>44</v>
      </c>
      <c r="Q638" s="38">
        <f t="shared" si="9"/>
        <v>0</v>
      </c>
      <c r="R638" s="38"/>
      <c r="S638" s="38"/>
    </row>
    <row r="639" spans="1:19" hidden="1" x14ac:dyDescent="0.25">
      <c r="A639" s="38" t="str">
        <f>F639&amp;C639</f>
        <v>C04340064883</v>
      </c>
      <c r="B639" s="38" t="str">
        <f>IF(J639&gt;=SUMIFS(E:E,C:C,C639),"Good to go","Short in Qty")</f>
        <v>Good to go</v>
      </c>
      <c r="C639" s="40">
        <v>40064883</v>
      </c>
      <c r="D639" s="40" t="s">
        <v>567</v>
      </c>
      <c r="E639" s="66">
        <v>100</v>
      </c>
      <c r="F639" s="38" t="s">
        <v>11</v>
      </c>
      <c r="G639" s="40" t="s">
        <v>467</v>
      </c>
      <c r="H639" s="38" t="s">
        <v>594</v>
      </c>
      <c r="I639" s="38" t="s">
        <v>595</v>
      </c>
      <c r="J639" s="38">
        <f>IFERROR(VLOOKUP(C:C,'[1]S&amp;S'!$B:$F,5,0),)</f>
        <v>200</v>
      </c>
      <c r="K639" s="38">
        <f>IFERROR(VLOOKUP(A:A,[1]APO!$A:$F,6,0),)</f>
        <v>0</v>
      </c>
      <c r="L639" s="38">
        <f>IFERROR(VLOOKUP(C:C,'[1]TOTAL APO'!$A:$B,2,0),)</f>
        <v>0</v>
      </c>
      <c r="M639" s="38">
        <f>IFERROR(VLOOKUP(A:A,[1]Short!$A:$Q,17,0),)</f>
        <v>0</v>
      </c>
      <c r="N639" s="38">
        <f>IFERROR(VLOOKUP(C:C,[1]GIT!$B:$D,3,0),)</f>
        <v>200</v>
      </c>
      <c r="O639" s="38">
        <f>IFERROR(VLOOKUP(A:A,[2]Sheet1!$A:$B,2,0),)</f>
        <v>0</v>
      </c>
      <c r="P639" s="38">
        <f>IFERROR(VLOOKUP(A:A,[2]Sheet1!$A:$B,2,0),)</f>
        <v>0</v>
      </c>
      <c r="Q639" s="38">
        <f t="shared" si="9"/>
        <v>100</v>
      </c>
      <c r="R639" s="38"/>
      <c r="S639" s="38"/>
    </row>
    <row r="640" spans="1:19" hidden="1" x14ac:dyDescent="0.25">
      <c r="A640" s="38" t="str">
        <f>F640&amp;C640</f>
        <v>C04440063688</v>
      </c>
      <c r="B640" s="38" t="str">
        <f>IF(J640&gt;=SUMIFS(E:E,C:C,C640),"Good to go","Short in Qty")</f>
        <v>Good to go</v>
      </c>
      <c r="C640" s="40">
        <v>40063688</v>
      </c>
      <c r="D640" s="40" t="s">
        <v>243</v>
      </c>
      <c r="E640" s="66">
        <v>122</v>
      </c>
      <c r="F640" s="38" t="s">
        <v>191</v>
      </c>
      <c r="G640" s="40">
        <v>57</v>
      </c>
      <c r="H640" s="38" t="s">
        <v>9</v>
      </c>
      <c r="I640" s="38" t="s">
        <v>530</v>
      </c>
      <c r="J640" s="38">
        <f>IFERROR(VLOOKUP(C:C,'[1]S&amp;S'!$B:$F,5,0),)</f>
        <v>8824</v>
      </c>
      <c r="K640" s="38">
        <f>IFERROR(VLOOKUP(A:A,[1]APO!$A:$F,6,0),)</f>
        <v>0</v>
      </c>
      <c r="L640" s="38">
        <f>IFERROR(VLOOKUP(C:C,'[1]TOTAL APO'!$A:$B,2,0),)</f>
        <v>0</v>
      </c>
      <c r="M640" s="38">
        <f>IFERROR(VLOOKUP(A:A,[1]Short!$A:$Q,17,0),)</f>
        <v>0</v>
      </c>
      <c r="N640" s="38">
        <f>IFERROR(VLOOKUP(C:C,[1]GIT!$B:$D,3,0),)</f>
        <v>0</v>
      </c>
      <c r="O640" s="38">
        <f>IFERROR(VLOOKUP(A:A,[2]Sheet1!$A:$B,2,0),)</f>
        <v>122</v>
      </c>
      <c r="P640" s="38">
        <f>IFERROR(VLOOKUP(A:A,[2]Sheet1!$A:$B,2,0),)</f>
        <v>122</v>
      </c>
      <c r="Q640" s="38">
        <f t="shared" si="9"/>
        <v>0</v>
      </c>
      <c r="R640" s="38"/>
      <c r="S640" s="38"/>
    </row>
    <row r="641" spans="1:19" hidden="1" x14ac:dyDescent="0.25">
      <c r="A641" s="38" t="str">
        <f>F641&amp;C641</f>
        <v>C04240063689</v>
      </c>
      <c r="B641" s="38" t="str">
        <f>IF(J641&gt;=SUMIFS(E:E,C:C,C641),"Good to go","Short in Qty")</f>
        <v>Good to go</v>
      </c>
      <c r="C641" s="40">
        <v>40063689</v>
      </c>
      <c r="D641" s="40" t="s">
        <v>516</v>
      </c>
      <c r="E641" s="66">
        <v>36</v>
      </c>
      <c r="F641" s="38" t="s">
        <v>10</v>
      </c>
      <c r="G641" s="40" t="s">
        <v>467</v>
      </c>
      <c r="H641" s="38" t="s">
        <v>9</v>
      </c>
      <c r="I641" s="38" t="s">
        <v>530</v>
      </c>
      <c r="J641" s="38">
        <f>IFERROR(VLOOKUP(C:C,'[1]S&amp;S'!$B:$F,5,0),)</f>
        <v>2042</v>
      </c>
      <c r="K641" s="38">
        <f>IFERROR(VLOOKUP(A:A,[1]APO!$A:$F,6,0),)</f>
        <v>0</v>
      </c>
      <c r="L641" s="38">
        <f>IFERROR(VLOOKUP(C:C,'[1]TOTAL APO'!$A:$B,2,0),)</f>
        <v>0</v>
      </c>
      <c r="M641" s="38">
        <f>IFERROR(VLOOKUP(A:A,[1]Short!$A:$Q,17,0),)</f>
        <v>0</v>
      </c>
      <c r="N641" s="38">
        <f>IFERROR(VLOOKUP(C:C,[1]GIT!$B:$D,3,0),)</f>
        <v>0</v>
      </c>
      <c r="O641" s="38">
        <f>IFERROR(VLOOKUP(A:A,[2]Sheet1!$A:$B,2,0),)</f>
        <v>36</v>
      </c>
      <c r="P641" s="38">
        <f>IFERROR(VLOOKUP(A:A,[2]Sheet1!$A:$B,2,0),)</f>
        <v>36</v>
      </c>
      <c r="Q641" s="38">
        <f t="shared" si="9"/>
        <v>0</v>
      </c>
      <c r="R641" s="38"/>
      <c r="S641" s="38"/>
    </row>
    <row r="642" spans="1:19" hidden="1" x14ac:dyDescent="0.25">
      <c r="A642" s="38" t="str">
        <f>F642&amp;C642</f>
        <v>C04440063747</v>
      </c>
      <c r="B642" s="38" t="str">
        <f>IF(J642&gt;=SUMIFS(E:E,C:C,C642),"Good to go","Short in Qty")</f>
        <v>Good to go</v>
      </c>
      <c r="C642" s="40">
        <v>40063747</v>
      </c>
      <c r="D642" s="40" t="s">
        <v>246</v>
      </c>
      <c r="E642" s="66">
        <v>35</v>
      </c>
      <c r="F642" s="38" t="s">
        <v>191</v>
      </c>
      <c r="G642" s="40" t="s">
        <v>467</v>
      </c>
      <c r="H642" s="38" t="s">
        <v>84</v>
      </c>
      <c r="I642" s="38" t="s">
        <v>620</v>
      </c>
      <c r="J642" s="38">
        <f>IFERROR(VLOOKUP(C:C,'[1]S&amp;S'!$B:$F,5,0),)</f>
        <v>4797</v>
      </c>
      <c r="K642" s="38">
        <f>IFERROR(VLOOKUP(A:A,[1]APO!$A:$F,6,0),)</f>
        <v>0</v>
      </c>
      <c r="L642" s="38">
        <f>IFERROR(VLOOKUP(C:C,'[1]TOTAL APO'!$A:$B,2,0),)</f>
        <v>0</v>
      </c>
      <c r="M642" s="38">
        <f>IFERROR(VLOOKUP(A:A,[1]Short!$A:$Q,17,0),)</f>
        <v>0</v>
      </c>
      <c r="N642" s="38">
        <f>IFERROR(VLOOKUP(C:C,[1]GIT!$B:$D,3,0),)</f>
        <v>0</v>
      </c>
      <c r="O642" s="38">
        <f>IFERROR(VLOOKUP(A:A,[2]Sheet1!$A:$B,2,0),)</f>
        <v>35</v>
      </c>
      <c r="P642" s="38">
        <f>IFERROR(VLOOKUP(A:A,[2]Sheet1!$A:$B,2,0),)</f>
        <v>35</v>
      </c>
      <c r="Q642" s="38">
        <f t="shared" si="9"/>
        <v>0</v>
      </c>
      <c r="R642" s="38"/>
      <c r="S642" s="38"/>
    </row>
    <row r="643" spans="1:19" hidden="1" x14ac:dyDescent="0.25">
      <c r="A643" s="38" t="str">
        <f>F643&amp;C643</f>
        <v>C04440063753</v>
      </c>
      <c r="B643" s="38" t="str">
        <f>IF(J643&gt;=SUMIFS(E:E,C:C,C643),"Good to go","Short in Qty")</f>
        <v>Good to go</v>
      </c>
      <c r="C643" s="40">
        <v>40063753</v>
      </c>
      <c r="D643" s="40" t="s">
        <v>513</v>
      </c>
      <c r="E643" s="66">
        <v>35</v>
      </c>
      <c r="F643" s="38" t="s">
        <v>191</v>
      </c>
      <c r="G643" s="40" t="s">
        <v>467</v>
      </c>
      <c r="H643" s="38" t="s">
        <v>84</v>
      </c>
      <c r="I643" s="38" t="s">
        <v>620</v>
      </c>
      <c r="J643" s="38">
        <f>IFERROR(VLOOKUP(C:C,'[1]S&amp;S'!$B:$F,5,0),)</f>
        <v>7686</v>
      </c>
      <c r="K643" s="38">
        <f>IFERROR(VLOOKUP(A:A,[1]APO!$A:$F,6,0),)</f>
        <v>0</v>
      </c>
      <c r="L643" s="38">
        <f>IFERROR(VLOOKUP(C:C,'[1]TOTAL APO'!$A:$B,2,0),)</f>
        <v>0</v>
      </c>
      <c r="M643" s="38">
        <f>IFERROR(VLOOKUP(A:A,[1]Short!$A:$Q,17,0),)</f>
        <v>0</v>
      </c>
      <c r="N643" s="38">
        <f>IFERROR(VLOOKUP(C:C,[1]GIT!$B:$D,3,0),)</f>
        <v>0</v>
      </c>
      <c r="O643" s="38">
        <f>IFERROR(VLOOKUP(A:A,[2]Sheet1!$A:$B,2,0),)</f>
        <v>35</v>
      </c>
      <c r="P643" s="38">
        <f>IFERROR(VLOOKUP(A:A,[2]Sheet1!$A:$B,2,0),)</f>
        <v>35</v>
      </c>
      <c r="Q643" s="38">
        <f t="shared" ref="Q643:Q706" si="10">+E643-P643</f>
        <v>0</v>
      </c>
      <c r="R643" s="38"/>
      <c r="S643" s="38"/>
    </row>
    <row r="644" spans="1:19" hidden="1" x14ac:dyDescent="0.25">
      <c r="A644" s="38" t="str">
        <f>F644&amp;C644</f>
        <v>C04440064883</v>
      </c>
      <c r="B644" s="38" t="str">
        <f>IF(J644&gt;=SUMIFS(E:E,C:C,C644),"Good to go","Short in Qty")</f>
        <v>Good to go</v>
      </c>
      <c r="C644" s="40">
        <v>40064883</v>
      </c>
      <c r="D644" s="40" t="s">
        <v>567</v>
      </c>
      <c r="E644" s="66">
        <v>100</v>
      </c>
      <c r="F644" s="38" t="s">
        <v>191</v>
      </c>
      <c r="G644" s="40"/>
      <c r="H644" s="38" t="s">
        <v>594</v>
      </c>
      <c r="I644" s="38" t="s">
        <v>595</v>
      </c>
      <c r="J644" s="38">
        <f>IFERROR(VLOOKUP(C:C,'[1]S&amp;S'!$B:$F,5,0),)</f>
        <v>200</v>
      </c>
      <c r="K644" s="38">
        <f>IFERROR(VLOOKUP(A:A,[1]APO!$A:$F,6,0),)</f>
        <v>0</v>
      </c>
      <c r="L644" s="38">
        <f>IFERROR(VLOOKUP(C:C,'[1]TOTAL APO'!$A:$B,2,0),)</f>
        <v>0</v>
      </c>
      <c r="M644" s="38">
        <f>IFERROR(VLOOKUP(A:A,[1]Short!$A:$Q,17,0),)</f>
        <v>0</v>
      </c>
      <c r="N644" s="38">
        <f>IFERROR(VLOOKUP(C:C,[1]GIT!$B:$D,3,0),)</f>
        <v>200</v>
      </c>
      <c r="O644" s="38">
        <f>IFERROR(VLOOKUP(A:A,[2]Sheet1!$A:$B,2,0),)</f>
        <v>0</v>
      </c>
      <c r="P644" s="38">
        <f>IFERROR(VLOOKUP(A:A,[2]Sheet1!$A:$B,2,0),)</f>
        <v>0</v>
      </c>
      <c r="Q644" s="38">
        <f t="shared" si="10"/>
        <v>100</v>
      </c>
      <c r="R644" s="38"/>
      <c r="S644" s="38"/>
    </row>
    <row r="645" spans="1:19" hidden="1" x14ac:dyDescent="0.25">
      <c r="A645" s="38" t="str">
        <f>F645&amp;C645</f>
        <v>C04640063685</v>
      </c>
      <c r="B645" s="38" t="str">
        <f>IF(J645&gt;=SUMIFS(E:E,C:C,C645),"Good to go","Short in Qty")</f>
        <v>Good to go</v>
      </c>
      <c r="C645" s="40">
        <v>40063685</v>
      </c>
      <c r="D645" s="40" t="s">
        <v>236</v>
      </c>
      <c r="E645" s="66">
        <v>101</v>
      </c>
      <c r="F645" s="38" t="s">
        <v>13</v>
      </c>
      <c r="G645" s="40"/>
      <c r="H645" s="38" t="s">
        <v>84</v>
      </c>
      <c r="I645" s="38" t="s">
        <v>620</v>
      </c>
      <c r="J645" s="38">
        <f>IFERROR(VLOOKUP(C:C,'[1]S&amp;S'!$B:$F,5,0),)</f>
        <v>3653.4444444444398</v>
      </c>
      <c r="K645" s="38">
        <f>IFERROR(VLOOKUP(A:A,[1]APO!$A:$F,6,0),)</f>
        <v>0</v>
      </c>
      <c r="L645" s="38">
        <f>IFERROR(VLOOKUP(C:C,'[1]TOTAL APO'!$A:$B,2,0),)</f>
        <v>0</v>
      </c>
      <c r="M645" s="38">
        <f>IFERROR(VLOOKUP(A:A,[1]Short!$A:$Q,17,0),)</f>
        <v>0</v>
      </c>
      <c r="N645" s="38">
        <f>IFERROR(VLOOKUP(C:C,[1]GIT!$B:$D,3,0),)</f>
        <v>0</v>
      </c>
      <c r="O645" s="38">
        <f>IFERROR(VLOOKUP(A:A,[2]Sheet1!$A:$B,2,0),)</f>
        <v>0</v>
      </c>
      <c r="P645" s="38">
        <f>IFERROR(VLOOKUP(A:A,[2]Sheet1!$A:$B,2,0),)</f>
        <v>0</v>
      </c>
      <c r="Q645" s="38">
        <f t="shared" si="10"/>
        <v>101</v>
      </c>
      <c r="R645" s="38"/>
      <c r="S645" s="38"/>
    </row>
    <row r="646" spans="1:19" hidden="1" x14ac:dyDescent="0.25">
      <c r="A646" s="38" t="str">
        <f>F646&amp;C646</f>
        <v>C04740063689</v>
      </c>
      <c r="B646" s="38" t="str">
        <f>IF(J646&gt;=SUMIFS(E:E,C:C,C646),"Good to go","Short in Qty")</f>
        <v>Good to go</v>
      </c>
      <c r="C646" s="40">
        <v>40063689</v>
      </c>
      <c r="D646" s="40" t="s">
        <v>516</v>
      </c>
      <c r="E646" s="66">
        <v>3</v>
      </c>
      <c r="F646" s="38" t="s">
        <v>192</v>
      </c>
      <c r="G646" s="40"/>
      <c r="H646" s="38" t="s">
        <v>84</v>
      </c>
      <c r="I646" s="38" t="s">
        <v>620</v>
      </c>
      <c r="J646" s="38">
        <f>IFERROR(VLOOKUP(C:C,'[1]S&amp;S'!$B:$F,5,0),)</f>
        <v>2042</v>
      </c>
      <c r="K646" s="38">
        <f>IFERROR(VLOOKUP(A:A,[1]APO!$A:$F,6,0),)</f>
        <v>0</v>
      </c>
      <c r="L646" s="38">
        <f>IFERROR(VLOOKUP(C:C,'[1]TOTAL APO'!$A:$B,2,0),)</f>
        <v>0</v>
      </c>
      <c r="M646" s="38">
        <f>IFERROR(VLOOKUP(A:A,[1]Short!$A:$Q,17,0),)</f>
        <v>0</v>
      </c>
      <c r="N646" s="38">
        <f>IFERROR(VLOOKUP(C:C,[1]GIT!$B:$D,3,0),)</f>
        <v>0</v>
      </c>
      <c r="O646" s="38">
        <f>IFERROR(VLOOKUP(A:A,[2]Sheet1!$A:$B,2,0),)</f>
        <v>0</v>
      </c>
      <c r="P646" s="38">
        <f>IFERROR(VLOOKUP(A:A,[2]Sheet1!$A:$B,2,0),)</f>
        <v>0</v>
      </c>
      <c r="Q646" s="38">
        <f t="shared" si="10"/>
        <v>3</v>
      </c>
      <c r="R646" s="38"/>
      <c r="S646" s="38"/>
    </row>
    <row r="647" spans="1:19" hidden="1" x14ac:dyDescent="0.25">
      <c r="A647" s="38" t="str">
        <f>F647&amp;C647</f>
        <v>C04840059401</v>
      </c>
      <c r="B647" s="38" t="str">
        <f>IF(J647&gt;=SUMIFS(E:E,C:C,C647),"Good to go","Short in Qty")</f>
        <v>Good to go</v>
      </c>
      <c r="C647" s="40">
        <v>40059401</v>
      </c>
      <c r="D647" s="40" t="s">
        <v>293</v>
      </c>
      <c r="E647" s="66">
        <v>8</v>
      </c>
      <c r="F647" s="38" t="s">
        <v>8</v>
      </c>
      <c r="G647" s="40" t="s">
        <v>467</v>
      </c>
      <c r="H647" s="38" t="s">
        <v>9</v>
      </c>
      <c r="I647" s="38" t="s">
        <v>530</v>
      </c>
      <c r="J647" s="38">
        <f>IFERROR(VLOOKUP(C:C,'[1]S&amp;S'!$B:$F,5,0),)</f>
        <v>79</v>
      </c>
      <c r="K647" s="38">
        <f>IFERROR(VLOOKUP(A:A,[1]APO!$A:$F,6,0),)</f>
        <v>0</v>
      </c>
      <c r="L647" s="38">
        <f>IFERROR(VLOOKUP(C:C,'[1]TOTAL APO'!$A:$B,2,0),)</f>
        <v>0</v>
      </c>
      <c r="M647" s="38">
        <f>IFERROR(VLOOKUP(A:A,[1]Short!$A:$Q,17,0),)</f>
        <v>0</v>
      </c>
      <c r="N647" s="38">
        <f>IFERROR(VLOOKUP(C:C,[1]GIT!$B:$D,3,0),)</f>
        <v>0</v>
      </c>
      <c r="O647" s="38">
        <f>IFERROR(VLOOKUP(A:A,[2]Sheet1!$A:$B,2,0),)</f>
        <v>8</v>
      </c>
      <c r="P647" s="38">
        <f>IFERROR(VLOOKUP(A:A,[2]Sheet1!$A:$B,2,0),)</f>
        <v>8</v>
      </c>
      <c r="Q647" s="38">
        <f t="shared" si="10"/>
        <v>0</v>
      </c>
      <c r="R647" s="38"/>
      <c r="S647" s="38"/>
    </row>
    <row r="648" spans="1:19" hidden="1" x14ac:dyDescent="0.25">
      <c r="A648" s="38" t="str">
        <f>F648&amp;C648</f>
        <v>C04840062071</v>
      </c>
      <c r="B648" s="38" t="str">
        <f>IF(J648&gt;=SUMIFS(E:E,C:C,C648),"Good to go","Short in Qty")</f>
        <v>Good to go</v>
      </c>
      <c r="C648" s="40">
        <v>40062071</v>
      </c>
      <c r="D648" s="40" t="s">
        <v>224</v>
      </c>
      <c r="E648" s="66">
        <v>61</v>
      </c>
      <c r="F648" s="38" t="s">
        <v>8</v>
      </c>
      <c r="G648" s="73" t="s">
        <v>467</v>
      </c>
      <c r="H648" s="38" t="s">
        <v>84</v>
      </c>
      <c r="I648" s="38" t="s">
        <v>620</v>
      </c>
      <c r="J648" s="38">
        <f>IFERROR(VLOOKUP(C:C,'[1]S&amp;S'!$B:$F,5,0),)</f>
        <v>1950</v>
      </c>
      <c r="K648" s="38">
        <f>IFERROR(VLOOKUP(A:A,[1]APO!$A:$F,6,0),)</f>
        <v>0</v>
      </c>
      <c r="L648" s="38">
        <f>IFERROR(VLOOKUP(C:C,'[1]TOTAL APO'!$A:$B,2,0),)</f>
        <v>0</v>
      </c>
      <c r="M648" s="38">
        <f>IFERROR(VLOOKUP(A:A,[1]Short!$A:$Q,17,0),)</f>
        <v>0</v>
      </c>
      <c r="N648" s="38">
        <f>IFERROR(VLOOKUP(C:C,[1]GIT!$B:$D,3,0),)</f>
        <v>1500</v>
      </c>
      <c r="O648" s="38">
        <f>IFERROR(VLOOKUP(A:A,[2]Sheet1!$A:$B,2,0),)</f>
        <v>61</v>
      </c>
      <c r="P648" s="38">
        <f>IFERROR(VLOOKUP(A:A,[2]Sheet1!$A:$B,2,0),)</f>
        <v>61</v>
      </c>
      <c r="Q648" s="38">
        <f t="shared" si="10"/>
        <v>0</v>
      </c>
      <c r="R648" s="38"/>
      <c r="S648" s="38"/>
    </row>
    <row r="649" spans="1:19" x14ac:dyDescent="0.25">
      <c r="A649" s="38" t="str">
        <f>F649&amp;C649</f>
        <v>C04240056535</v>
      </c>
      <c r="B649" s="38" t="str">
        <f>IF(J649&gt;=SUMIFS(E:E,C:C,C649),"Good to go","Short in Qty")</f>
        <v>Good to go</v>
      </c>
      <c r="C649" s="40">
        <v>40056535</v>
      </c>
      <c r="D649" s="40" t="s">
        <v>251</v>
      </c>
      <c r="E649" s="68">
        <v>1</v>
      </c>
      <c r="F649" s="38" t="s">
        <v>10</v>
      </c>
      <c r="G649" s="40" t="s">
        <v>467</v>
      </c>
      <c r="H649" s="38" t="s">
        <v>248</v>
      </c>
      <c r="I649" s="38" t="s">
        <v>457</v>
      </c>
      <c r="J649" s="38">
        <f>IFERROR(VLOOKUP(C:C,'[1]S&amp;S'!$B:$F,5,0),)</f>
        <v>1.9583333333333299</v>
      </c>
      <c r="K649" s="38">
        <f>IFERROR(VLOOKUP(A:A,[1]APO!$A:$F,6,0),)</f>
        <v>0</v>
      </c>
      <c r="L649" s="38">
        <f>IFERROR(VLOOKUP(C:C,'[1]TOTAL APO'!$A:$B,2,0),)</f>
        <v>0</v>
      </c>
      <c r="M649" s="38">
        <f>IFERROR(VLOOKUP(A:A,[1]Short!$A:$Q,17,0),)</f>
        <v>0</v>
      </c>
      <c r="N649" s="38">
        <f>IFERROR(VLOOKUP(C:C,[1]GIT!$B:$D,3,0),)</f>
        <v>0</v>
      </c>
      <c r="O649" s="38">
        <f>IFERROR(VLOOKUP(A:A,[2]Sheet1!$A:$B,2,0),)</f>
        <v>0</v>
      </c>
      <c r="P649" s="38">
        <f>IFERROR(VLOOKUP(A:A,[2]Sheet1!$A:$B,2,0),)</f>
        <v>0</v>
      </c>
      <c r="Q649" s="38">
        <f t="shared" si="10"/>
        <v>1</v>
      </c>
      <c r="R649" s="38"/>
      <c r="S649" s="38"/>
    </row>
    <row r="650" spans="1:19" hidden="1" x14ac:dyDescent="0.25">
      <c r="A650" s="38" t="str">
        <f>F650&amp;C650</f>
        <v>C04440064105</v>
      </c>
      <c r="B650" s="38" t="str">
        <f>IF(J650&gt;=SUMIFS(E:E,C:C,C650),"Good to go","Short in Qty")</f>
        <v>Good to go</v>
      </c>
      <c r="C650" s="40">
        <v>40064105</v>
      </c>
      <c r="D650" s="40" t="s">
        <v>545</v>
      </c>
      <c r="E650" s="66">
        <v>9</v>
      </c>
      <c r="F650" s="38" t="s">
        <v>191</v>
      </c>
      <c r="G650" s="40" t="s">
        <v>467</v>
      </c>
      <c r="H650" s="38" t="s">
        <v>84</v>
      </c>
      <c r="I650" s="38" t="s">
        <v>620</v>
      </c>
      <c r="J650" s="38">
        <f>IFERROR(VLOOKUP(C:C,'[1]S&amp;S'!$B:$F,5,0),)</f>
        <v>18</v>
      </c>
      <c r="K650" s="38">
        <f>IFERROR(VLOOKUP(A:A,[1]APO!$A:$F,6,0),)</f>
        <v>0</v>
      </c>
      <c r="L650" s="38">
        <f>IFERROR(VLOOKUP(C:C,'[1]TOTAL APO'!$A:$B,2,0),)</f>
        <v>0</v>
      </c>
      <c r="M650" s="38">
        <f>IFERROR(VLOOKUP(A:A,[1]Short!$A:$Q,17,0),)</f>
        <v>0</v>
      </c>
      <c r="N650" s="38">
        <f>IFERROR(VLOOKUP(C:C,[1]GIT!$B:$D,3,0),)</f>
        <v>0</v>
      </c>
      <c r="O650" s="38">
        <f>IFERROR(VLOOKUP(A:A,[2]Sheet1!$A:$B,2,0),)</f>
        <v>8</v>
      </c>
      <c r="P650" s="38">
        <f>IFERROR(VLOOKUP(A:A,[2]Sheet1!$A:$B,2,0),)</f>
        <v>8</v>
      </c>
      <c r="Q650" s="38">
        <f t="shared" si="10"/>
        <v>1</v>
      </c>
      <c r="R650" s="38"/>
      <c r="S650" s="38"/>
    </row>
    <row r="651" spans="1:19" hidden="1" x14ac:dyDescent="0.25">
      <c r="A651" s="38" t="str">
        <f>F651&amp;C651</f>
        <v>C04640063425</v>
      </c>
      <c r="B651" s="38" t="str">
        <f>IF(J651&gt;=SUMIFS(E:E,C:C,C651),"Good to go","Short in Qty")</f>
        <v>Good to go</v>
      </c>
      <c r="C651" s="40">
        <v>40063425</v>
      </c>
      <c r="D651" s="40" t="s">
        <v>614</v>
      </c>
      <c r="E651" s="66">
        <v>1</v>
      </c>
      <c r="F651" s="38" t="s">
        <v>13</v>
      </c>
      <c r="G651" s="40"/>
      <c r="H651" s="38" t="s">
        <v>84</v>
      </c>
      <c r="I651" s="38" t="s">
        <v>620</v>
      </c>
      <c r="J651" s="38">
        <f>IFERROR(VLOOKUP(C:C,'[1]S&amp;S'!$B:$F,5,0),)</f>
        <v>68</v>
      </c>
      <c r="K651" s="38">
        <f>IFERROR(VLOOKUP(A:A,[1]APO!$A:$F,6,0),)</f>
        <v>0</v>
      </c>
      <c r="L651" s="38">
        <f>IFERROR(VLOOKUP(C:C,'[1]TOTAL APO'!$A:$B,2,0),)</f>
        <v>0</v>
      </c>
      <c r="M651" s="38">
        <f>IFERROR(VLOOKUP(A:A,[1]Short!$A:$Q,17,0),)</f>
        <v>0</v>
      </c>
      <c r="N651" s="38">
        <f>IFERROR(VLOOKUP(C:C,[1]GIT!$B:$D,3,0),)</f>
        <v>0</v>
      </c>
      <c r="O651" s="38">
        <f>IFERROR(VLOOKUP(A:A,[2]Sheet1!$A:$B,2,0),)</f>
        <v>0</v>
      </c>
      <c r="P651" s="38">
        <f>IFERROR(VLOOKUP(A:A,[2]Sheet1!$A:$B,2,0),)</f>
        <v>0</v>
      </c>
      <c r="Q651" s="38">
        <f t="shared" si="10"/>
        <v>1</v>
      </c>
      <c r="R651" s="38"/>
      <c r="S651" s="38"/>
    </row>
    <row r="652" spans="1:19" x14ac:dyDescent="0.25">
      <c r="A652" s="38" t="str">
        <f>F652&amp;C652</f>
        <v>C04440064885</v>
      </c>
      <c r="B652" s="38" t="str">
        <f>IF(J652&gt;=SUMIFS(E:E,C:C,C652),"Good to go","Short in Qty")</f>
        <v>Good to go</v>
      </c>
      <c r="C652" s="40">
        <v>40064885</v>
      </c>
      <c r="D652" s="40" t="s">
        <v>279</v>
      </c>
      <c r="E652" s="66">
        <v>66</v>
      </c>
      <c r="F652" s="38" t="s">
        <v>191</v>
      </c>
      <c r="G652" s="40"/>
      <c r="H652" s="38" t="s">
        <v>9</v>
      </c>
      <c r="I652" s="38" t="s">
        <v>530</v>
      </c>
      <c r="J652" s="38">
        <f>IFERROR(VLOOKUP(C:C,'[1]S&amp;S'!$B:$F,5,0),)</f>
        <v>489</v>
      </c>
      <c r="K652" s="38">
        <f>IFERROR(VLOOKUP(A:A,[1]APO!$A:$F,6,0),)</f>
        <v>0</v>
      </c>
      <c r="L652" s="38">
        <f>IFERROR(VLOOKUP(C:C,'[1]TOTAL APO'!$A:$B,2,0),)</f>
        <v>0</v>
      </c>
      <c r="M652" s="38">
        <f>IFERROR(VLOOKUP(A:A,[1]Short!$A:$Q,17,0),)</f>
        <v>0</v>
      </c>
      <c r="N652" s="38">
        <f>IFERROR(VLOOKUP(C:C,[1]GIT!$B:$D,3,0),)</f>
        <v>0</v>
      </c>
      <c r="O652" s="38">
        <f>IFERROR(VLOOKUP(A:A,[2]Sheet1!$A:$B,2,0),)</f>
        <v>0</v>
      </c>
      <c r="P652" s="38">
        <f>IFERROR(VLOOKUP(A:A,[2]Sheet1!$A:$B,2,0),)</f>
        <v>0</v>
      </c>
      <c r="Q652" s="38">
        <f t="shared" si="10"/>
        <v>66</v>
      </c>
      <c r="R652" s="38"/>
      <c r="S652" s="38"/>
    </row>
    <row r="653" spans="1:19" hidden="1" x14ac:dyDescent="0.25">
      <c r="A653" s="38" t="str">
        <f>F653&amp;C653</f>
        <v>C04440064518</v>
      </c>
      <c r="B653" s="38" t="str">
        <f>IF(J653&gt;=SUMIFS(E:E,C:C,C653),"Good to go","Short in Qty")</f>
        <v>Good to go</v>
      </c>
      <c r="C653" s="40">
        <v>40064518</v>
      </c>
      <c r="D653" s="40" t="s">
        <v>613</v>
      </c>
      <c r="E653" s="66">
        <v>1</v>
      </c>
      <c r="F653" s="38" t="s">
        <v>191</v>
      </c>
      <c r="G653" s="40" t="s">
        <v>467</v>
      </c>
      <c r="H653" s="38" t="s">
        <v>84</v>
      </c>
      <c r="I653" s="38" t="s">
        <v>620</v>
      </c>
      <c r="J653" s="38">
        <f>IFERROR(VLOOKUP(C:C,'[1]S&amp;S'!$B:$F,5,0),)</f>
        <v>158</v>
      </c>
      <c r="K653" s="38">
        <f>IFERROR(VLOOKUP(A:A,[1]APO!$A:$F,6,0),)</f>
        <v>0</v>
      </c>
      <c r="L653" s="38">
        <f>IFERROR(VLOOKUP(C:C,'[1]TOTAL APO'!$A:$B,2,0),)</f>
        <v>0</v>
      </c>
      <c r="M653" s="38">
        <f>IFERROR(VLOOKUP(A:A,[1]Short!$A:$Q,17,0),)</f>
        <v>0</v>
      </c>
      <c r="N653" s="38">
        <f>IFERROR(VLOOKUP(C:C,[1]GIT!$B:$D,3,0),)</f>
        <v>0</v>
      </c>
      <c r="O653" s="38">
        <f>IFERROR(VLOOKUP(A:A,[2]Sheet1!$A:$B,2,0),)</f>
        <v>1</v>
      </c>
      <c r="P653" s="38">
        <f>IFERROR(VLOOKUP(A:A,[2]Sheet1!$A:$B,2,0),)</f>
        <v>1</v>
      </c>
      <c r="Q653" s="38">
        <f t="shared" si="10"/>
        <v>0</v>
      </c>
      <c r="R653" s="38"/>
      <c r="S653" s="38"/>
    </row>
    <row r="654" spans="1:19" hidden="1" x14ac:dyDescent="0.25">
      <c r="A654" s="38" t="str">
        <f>F654&amp;C654</f>
        <v>C04340064885</v>
      </c>
      <c r="B654" s="38" t="str">
        <f>IF(J654&gt;=SUMIFS(E:E,C:C,C654),"Good to go","Short in Qty")</f>
        <v>Good to go</v>
      </c>
      <c r="C654" s="40">
        <v>40064885</v>
      </c>
      <c r="D654" s="40" t="s">
        <v>279</v>
      </c>
      <c r="E654" s="66">
        <v>10</v>
      </c>
      <c r="F654" s="38" t="s">
        <v>11</v>
      </c>
      <c r="G654" s="40" t="s">
        <v>467</v>
      </c>
      <c r="H654" s="38" t="s">
        <v>9</v>
      </c>
      <c r="I654" s="38" t="s">
        <v>530</v>
      </c>
      <c r="J654" s="38">
        <f>IFERROR(VLOOKUP(C:C,'[1]S&amp;S'!$B:$F,5,0),)</f>
        <v>489</v>
      </c>
      <c r="K654" s="38">
        <f>IFERROR(VLOOKUP(A:A,[1]APO!$A:$F,6,0),)</f>
        <v>0</v>
      </c>
      <c r="L654" s="38">
        <f>IFERROR(VLOOKUP(C:C,'[1]TOTAL APO'!$A:$B,2,0),)</f>
        <v>0</v>
      </c>
      <c r="M654" s="38">
        <f>IFERROR(VLOOKUP(A:A,[1]Short!$A:$Q,17,0),)</f>
        <v>0</v>
      </c>
      <c r="N654" s="38">
        <f>IFERROR(VLOOKUP(C:C,[1]GIT!$B:$D,3,0),)</f>
        <v>0</v>
      </c>
      <c r="O654" s="38">
        <f>IFERROR(VLOOKUP(A:A,[2]Sheet1!$A:$B,2,0),)</f>
        <v>10</v>
      </c>
      <c r="P654" s="38">
        <f>IFERROR(VLOOKUP(A:A,[2]Sheet1!$A:$B,2,0),)</f>
        <v>10</v>
      </c>
      <c r="Q654" s="38">
        <f t="shared" si="10"/>
        <v>0</v>
      </c>
      <c r="R654" s="38"/>
      <c r="S654" s="38"/>
    </row>
    <row r="655" spans="1:19" hidden="1" x14ac:dyDescent="0.25">
      <c r="A655" s="38" t="str">
        <f>F655&amp;C655</f>
        <v>C04840049906</v>
      </c>
      <c r="B655" s="38" t="str">
        <f>IF(J655&gt;=SUMIFS(E:E,C:C,C655),"Good to go","Short in Qty")</f>
        <v>Good to go</v>
      </c>
      <c r="C655" s="40">
        <v>40049906</v>
      </c>
      <c r="D655" s="40" t="s">
        <v>587</v>
      </c>
      <c r="E655" s="66">
        <v>50</v>
      </c>
      <c r="F655" s="38" t="s">
        <v>8</v>
      </c>
      <c r="G655" s="40" t="s">
        <v>467</v>
      </c>
      <c r="H655" s="38" t="s">
        <v>594</v>
      </c>
      <c r="I655" s="38" t="s">
        <v>595</v>
      </c>
      <c r="J655" s="38">
        <f>IFERROR(VLOOKUP(C:C,'[1]S&amp;S'!$B:$F,5,0),)</f>
        <v>697</v>
      </c>
      <c r="K655" s="38">
        <f>IFERROR(VLOOKUP(A:A,[1]APO!$A:$F,6,0),)</f>
        <v>0</v>
      </c>
      <c r="L655" s="38">
        <f>IFERROR(VLOOKUP(C:C,'[1]TOTAL APO'!$A:$B,2,0),)</f>
        <v>0</v>
      </c>
      <c r="M655" s="38">
        <f>IFERROR(VLOOKUP(A:A,[1]Short!$A:$Q,17,0),)</f>
        <v>0</v>
      </c>
      <c r="N655" s="38">
        <f>IFERROR(VLOOKUP(C:C,[1]GIT!$B:$D,3,0),)</f>
        <v>200</v>
      </c>
      <c r="O655" s="38">
        <f>IFERROR(VLOOKUP(A:A,[2]Sheet1!$A:$B,2,0),)</f>
        <v>50</v>
      </c>
      <c r="P655" s="38">
        <f>IFERROR(VLOOKUP(A:A,[2]Sheet1!$A:$B,2,0),)</f>
        <v>50</v>
      </c>
      <c r="Q655" s="38">
        <f t="shared" si="10"/>
        <v>0</v>
      </c>
      <c r="R655" s="38"/>
      <c r="S655" s="38"/>
    </row>
    <row r="656" spans="1:19" hidden="1" x14ac:dyDescent="0.25">
      <c r="A656" s="38" t="str">
        <f>F656&amp;C656</f>
        <v>C04440064685</v>
      </c>
      <c r="B656" s="38" t="str">
        <f>IF(J656&gt;=SUMIFS(E:E,C:C,C656),"Good to go","Short in Qty")</f>
        <v>Good to go</v>
      </c>
      <c r="C656" s="40">
        <v>40064685</v>
      </c>
      <c r="D656" s="40" t="s">
        <v>301</v>
      </c>
      <c r="E656" s="66">
        <v>5</v>
      </c>
      <c r="F656" s="38" t="s">
        <v>191</v>
      </c>
      <c r="G656" s="40" t="s">
        <v>467</v>
      </c>
      <c r="H656" s="38" t="s">
        <v>84</v>
      </c>
      <c r="I656" s="38" t="s">
        <v>620</v>
      </c>
      <c r="J656" s="38">
        <f>IFERROR(VLOOKUP(C:C,'[1]S&amp;S'!$B:$F,5,0),)</f>
        <v>850.73288888888897</v>
      </c>
      <c r="K656" s="38">
        <f>IFERROR(VLOOKUP(A:A,[1]APO!$A:$F,6,0),)</f>
        <v>0</v>
      </c>
      <c r="L656" s="38">
        <f>IFERROR(VLOOKUP(C:C,'[1]TOTAL APO'!$A:$B,2,0),)</f>
        <v>0</v>
      </c>
      <c r="M656" s="38">
        <f>IFERROR(VLOOKUP(A:A,[1]Short!$A:$Q,17,0),)</f>
        <v>0</v>
      </c>
      <c r="N656" s="38">
        <f>IFERROR(VLOOKUP(C:C,[1]GIT!$B:$D,3,0),)</f>
        <v>0</v>
      </c>
      <c r="O656" s="38">
        <f>IFERROR(VLOOKUP(A:A,[2]Sheet1!$A:$B,2,0),)</f>
        <v>5</v>
      </c>
      <c r="P656" s="38">
        <f>IFERROR(VLOOKUP(A:A,[2]Sheet1!$A:$B,2,0),)</f>
        <v>5</v>
      </c>
      <c r="Q656" s="38">
        <f t="shared" si="10"/>
        <v>0</v>
      </c>
      <c r="R656" s="38"/>
      <c r="S656" s="38"/>
    </row>
    <row r="657" spans="1:19" hidden="1" x14ac:dyDescent="0.25">
      <c r="A657" s="38" t="str">
        <f>F657&amp;C657</f>
        <v>C04240063753</v>
      </c>
      <c r="B657" s="38" t="str">
        <f>IF(J657&gt;=SUMIFS(E:E,C:C,C657),"Good to go","Short in Qty")</f>
        <v>Good to go</v>
      </c>
      <c r="C657" s="40">
        <v>40063753</v>
      </c>
      <c r="D657" s="40" t="s">
        <v>513</v>
      </c>
      <c r="E657" s="66">
        <v>240</v>
      </c>
      <c r="F657" s="38" t="s">
        <v>10</v>
      </c>
      <c r="G657" s="40" t="s">
        <v>467</v>
      </c>
      <c r="H657" s="38" t="s">
        <v>9</v>
      </c>
      <c r="I657" s="38" t="s">
        <v>530</v>
      </c>
      <c r="J657" s="38">
        <f>IFERROR(VLOOKUP(C:C,'[1]S&amp;S'!$B:$F,5,0),)</f>
        <v>7686</v>
      </c>
      <c r="K657" s="38">
        <f>IFERROR(VLOOKUP(A:A,[1]APO!$A:$F,6,0),)</f>
        <v>0</v>
      </c>
      <c r="L657" s="38">
        <f>IFERROR(VLOOKUP(C:C,'[1]TOTAL APO'!$A:$B,2,0),)</f>
        <v>0</v>
      </c>
      <c r="M657" s="38">
        <f>IFERROR(VLOOKUP(A:A,[1]Short!$A:$Q,17,0),)</f>
        <v>0</v>
      </c>
      <c r="N657" s="38">
        <f>IFERROR(VLOOKUP(C:C,[1]GIT!$B:$D,3,0),)</f>
        <v>0</v>
      </c>
      <c r="O657" s="38">
        <f>IFERROR(VLOOKUP(A:A,[2]Sheet1!$A:$B,2,0),)</f>
        <v>240</v>
      </c>
      <c r="P657" s="38">
        <f>IFERROR(VLOOKUP(A:A,[2]Sheet1!$A:$B,2,0),)</f>
        <v>240</v>
      </c>
      <c r="Q657" s="38">
        <f t="shared" si="10"/>
        <v>0</v>
      </c>
      <c r="R657" s="38"/>
      <c r="S657" s="38"/>
    </row>
    <row r="658" spans="1:19" x14ac:dyDescent="0.25">
      <c r="A658" s="38" t="str">
        <f>F658&amp;C658</f>
        <v>C04640064885</v>
      </c>
      <c r="B658" s="38" t="str">
        <f>IF(J658&gt;=SUMIFS(E:E,C:C,C658),"Good to go","Short in Qty")</f>
        <v>Good to go</v>
      </c>
      <c r="C658" s="40">
        <v>40064885</v>
      </c>
      <c r="D658" s="40" t="s">
        <v>279</v>
      </c>
      <c r="E658" s="66">
        <v>261</v>
      </c>
      <c r="F658" s="38" t="s">
        <v>13</v>
      </c>
      <c r="G658" s="40"/>
      <c r="H658" s="38" t="s">
        <v>9</v>
      </c>
      <c r="I658" s="38" t="s">
        <v>530</v>
      </c>
      <c r="J658" s="38">
        <f>IFERROR(VLOOKUP(C:C,'[1]S&amp;S'!$B:$F,5,0),)</f>
        <v>489</v>
      </c>
      <c r="K658" s="38">
        <f>IFERROR(VLOOKUP(A:A,[1]APO!$A:$F,6,0),)</f>
        <v>0</v>
      </c>
      <c r="L658" s="38">
        <f>IFERROR(VLOOKUP(C:C,'[1]TOTAL APO'!$A:$B,2,0),)</f>
        <v>0</v>
      </c>
      <c r="M658" s="38">
        <f>IFERROR(VLOOKUP(A:A,[1]Short!$A:$Q,17,0),)</f>
        <v>0</v>
      </c>
      <c r="N658" s="38">
        <f>IFERROR(VLOOKUP(C:C,[1]GIT!$B:$D,3,0),)</f>
        <v>0</v>
      </c>
      <c r="O658" s="38">
        <f>IFERROR(VLOOKUP(A:A,[2]Sheet1!$A:$B,2,0),)</f>
        <v>0</v>
      </c>
      <c r="P658" s="38">
        <f>IFERROR(VLOOKUP(A:A,[2]Sheet1!$A:$B,2,0),)</f>
        <v>0</v>
      </c>
      <c r="Q658" s="38">
        <f t="shared" si="10"/>
        <v>261</v>
      </c>
      <c r="R658" s="38"/>
      <c r="S658" s="38"/>
    </row>
    <row r="659" spans="1:19" hidden="1" x14ac:dyDescent="0.25">
      <c r="A659" s="38" t="str">
        <f>F659&amp;C659</f>
        <v>C04440064876</v>
      </c>
      <c r="B659" s="38" t="str">
        <f>IF(J659&gt;=SUMIFS(E:E,C:C,C659),"Good to go","Short in Qty")</f>
        <v>Good to go</v>
      </c>
      <c r="C659" s="40">
        <v>40064876</v>
      </c>
      <c r="D659" s="40" t="s">
        <v>326</v>
      </c>
      <c r="E659" s="66">
        <v>9</v>
      </c>
      <c r="F659" s="38" t="s">
        <v>191</v>
      </c>
      <c r="G659" s="40" t="s">
        <v>467</v>
      </c>
      <c r="H659" s="38" t="s">
        <v>84</v>
      </c>
      <c r="I659" s="38" t="s">
        <v>620</v>
      </c>
      <c r="J659" s="38">
        <f>IFERROR(VLOOKUP(C:C,'[1]S&amp;S'!$B:$F,5,0),)</f>
        <v>2748</v>
      </c>
      <c r="K659" s="38">
        <f>IFERROR(VLOOKUP(A:A,[1]APO!$A:$F,6,0),)</f>
        <v>0</v>
      </c>
      <c r="L659" s="38">
        <f>IFERROR(VLOOKUP(C:C,'[1]TOTAL APO'!$A:$B,2,0),)</f>
        <v>0</v>
      </c>
      <c r="M659" s="38">
        <f>IFERROR(VLOOKUP(A:A,[1]Short!$A:$Q,17,0),)</f>
        <v>0</v>
      </c>
      <c r="N659" s="38">
        <f>IFERROR(VLOOKUP(C:C,[1]GIT!$B:$D,3,0),)</f>
        <v>0</v>
      </c>
      <c r="O659" s="38">
        <f>IFERROR(VLOOKUP(A:A,[2]Sheet1!$A:$B,2,0),)</f>
        <v>9</v>
      </c>
      <c r="P659" s="38">
        <f>IFERROR(VLOOKUP(A:A,[2]Sheet1!$A:$B,2,0),)</f>
        <v>9</v>
      </c>
      <c r="Q659" s="38">
        <f t="shared" si="10"/>
        <v>0</v>
      </c>
      <c r="R659" s="38"/>
      <c r="S659" s="38"/>
    </row>
    <row r="660" spans="1:19" hidden="1" x14ac:dyDescent="0.25">
      <c r="A660" s="38" t="str">
        <f>F660&amp;C660</f>
        <v>C04840060737</v>
      </c>
      <c r="B660" s="38" t="str">
        <f>IF(J660&gt;=SUMIFS(E:E,C:C,C660),"Good to go","Short in Qty")</f>
        <v>Good to go</v>
      </c>
      <c r="C660" s="40">
        <v>40060737</v>
      </c>
      <c r="D660" s="40" t="s">
        <v>305</v>
      </c>
      <c r="E660" s="66">
        <v>5</v>
      </c>
      <c r="F660" s="38" t="s">
        <v>8</v>
      </c>
      <c r="G660" s="40" t="s">
        <v>467</v>
      </c>
      <c r="H660" s="38" t="s">
        <v>9</v>
      </c>
      <c r="I660" s="38" t="s">
        <v>386</v>
      </c>
      <c r="J660" s="38">
        <f>IFERROR(VLOOKUP(C:C,'[1]S&amp;S'!$B:$F,5,0),)</f>
        <v>828</v>
      </c>
      <c r="K660" s="38">
        <f>IFERROR(VLOOKUP(A:A,[1]APO!$A:$F,6,0),)</f>
        <v>0</v>
      </c>
      <c r="L660" s="38">
        <f>IFERROR(VLOOKUP(C:C,'[1]TOTAL APO'!$A:$B,2,0),)</f>
        <v>0</v>
      </c>
      <c r="M660" s="38">
        <f>IFERROR(VLOOKUP(A:A,[1]Short!$A:$Q,17,0),)</f>
        <v>0</v>
      </c>
      <c r="N660" s="38">
        <f>IFERROR(VLOOKUP(C:C,[1]GIT!$B:$D,3,0),)</f>
        <v>317</v>
      </c>
      <c r="O660" s="38">
        <f>IFERROR(VLOOKUP(A:A,[2]Sheet1!$A:$B,2,0),)</f>
        <v>5</v>
      </c>
      <c r="P660" s="38">
        <f>IFERROR(VLOOKUP(A:A,[2]Sheet1!$A:$B,2,0),)</f>
        <v>5</v>
      </c>
      <c r="Q660" s="38">
        <f t="shared" si="10"/>
        <v>0</v>
      </c>
      <c r="R660" s="38"/>
      <c r="S660" s="38"/>
    </row>
    <row r="661" spans="1:19" hidden="1" x14ac:dyDescent="0.25">
      <c r="A661" s="38" t="str">
        <f>F661&amp;C661</f>
        <v>C04740059263</v>
      </c>
      <c r="B661" s="38" t="str">
        <f>IF(J661&gt;=SUMIFS(E:E,C:C,C661),"Good to go","Short in Qty")</f>
        <v>Good to go</v>
      </c>
      <c r="C661" s="40">
        <v>40059263</v>
      </c>
      <c r="D661" s="40" t="s">
        <v>615</v>
      </c>
      <c r="E661" s="66">
        <v>1</v>
      </c>
      <c r="F661" s="38" t="s">
        <v>192</v>
      </c>
      <c r="G661" s="40"/>
      <c r="H661" s="38" t="s">
        <v>84</v>
      </c>
      <c r="I661" s="38" t="s">
        <v>620</v>
      </c>
      <c r="J661" s="38">
        <f>IFERROR(VLOOKUP(C:C,'[1]S&amp;S'!$B:$F,5,0),)</f>
        <v>8018</v>
      </c>
      <c r="K661" s="38">
        <f>IFERROR(VLOOKUP(A:A,[1]APO!$A:$F,6,0),)</f>
        <v>0</v>
      </c>
      <c r="L661" s="38">
        <f>IFERROR(VLOOKUP(C:C,'[1]TOTAL APO'!$A:$B,2,0),)</f>
        <v>0</v>
      </c>
      <c r="M661" s="38">
        <f>IFERROR(VLOOKUP(A:A,[1]Short!$A:$Q,17,0),)</f>
        <v>0</v>
      </c>
      <c r="N661" s="38">
        <f>IFERROR(VLOOKUP(C:C,[1]GIT!$B:$D,3,0),)</f>
        <v>0</v>
      </c>
      <c r="O661" s="38">
        <f>IFERROR(VLOOKUP(A:A,[2]Sheet1!$A:$B,2,0),)</f>
        <v>0</v>
      </c>
      <c r="P661" s="38">
        <f>IFERROR(VLOOKUP(A:A,[2]Sheet1!$A:$B,2,0),)</f>
        <v>0</v>
      </c>
      <c r="Q661" s="38">
        <f t="shared" si="10"/>
        <v>1</v>
      </c>
      <c r="R661" s="38"/>
      <c r="S661" s="38"/>
    </row>
    <row r="662" spans="1:19" hidden="1" x14ac:dyDescent="0.25">
      <c r="A662" s="38" t="str">
        <f>F662&amp;C662</f>
        <v>C04340063794</v>
      </c>
      <c r="B662" s="38" t="str">
        <f>IF(J662&gt;=SUMIFS(E:E,C:C,C662),"Good to go","Short in Qty")</f>
        <v>Good to go</v>
      </c>
      <c r="C662" s="40">
        <v>40063794</v>
      </c>
      <c r="D662" s="40" t="s">
        <v>249</v>
      </c>
      <c r="E662" s="66">
        <v>5</v>
      </c>
      <c r="F662" s="38" t="s">
        <v>11</v>
      </c>
      <c r="G662" s="40" t="s">
        <v>467</v>
      </c>
      <c r="H662" s="38" t="s">
        <v>9</v>
      </c>
      <c r="I662" s="38" t="s">
        <v>530</v>
      </c>
      <c r="J662" s="38">
        <f>IFERROR(VLOOKUP(C:C,'[1]S&amp;S'!$B:$F,5,0),)</f>
        <v>12.0416666666667</v>
      </c>
      <c r="K662" s="38">
        <f>IFERROR(VLOOKUP(A:A,[1]APO!$A:$F,6,0),)</f>
        <v>0</v>
      </c>
      <c r="L662" s="38">
        <f>IFERROR(VLOOKUP(C:C,'[1]TOTAL APO'!$A:$B,2,0),)</f>
        <v>0</v>
      </c>
      <c r="M662" s="38">
        <f>IFERROR(VLOOKUP(A:A,[1]Short!$A:$Q,17,0),)</f>
        <v>0</v>
      </c>
      <c r="N662" s="38">
        <f>IFERROR(VLOOKUP(C:C,[1]GIT!$B:$D,3,0),)</f>
        <v>0</v>
      </c>
      <c r="O662" s="38">
        <f>IFERROR(VLOOKUP(A:A,[2]Sheet1!$A:$B,2,0),)</f>
        <v>5</v>
      </c>
      <c r="P662" s="38">
        <f>IFERROR(VLOOKUP(A:A,[2]Sheet1!$A:$B,2,0),)</f>
        <v>5</v>
      </c>
      <c r="Q662" s="38">
        <f t="shared" si="10"/>
        <v>0</v>
      </c>
      <c r="R662" s="38"/>
      <c r="S662" s="38"/>
    </row>
    <row r="663" spans="1:19" hidden="1" x14ac:dyDescent="0.25">
      <c r="A663" s="38" t="str">
        <f>F663&amp;C663</f>
        <v>C04740056815</v>
      </c>
      <c r="B663" s="38" t="str">
        <f>IF(J663&gt;=SUMIFS(E:E,C:C,C663),"Good to go","Short in Qty")</f>
        <v>Good to go</v>
      </c>
      <c r="C663" s="40">
        <v>40056815</v>
      </c>
      <c r="D663" s="40" t="s">
        <v>616</v>
      </c>
      <c r="E663" s="66">
        <v>4</v>
      </c>
      <c r="F663" s="38" t="s">
        <v>192</v>
      </c>
      <c r="G663" s="40"/>
      <c r="H663" s="38" t="s">
        <v>84</v>
      </c>
      <c r="I663" s="38" t="s">
        <v>620</v>
      </c>
      <c r="J663" s="38">
        <f>IFERROR(VLOOKUP(C:C,'[1]S&amp;S'!$B:$F,5,0),)</f>
        <v>206</v>
      </c>
      <c r="K663" s="38">
        <f>IFERROR(VLOOKUP(A:A,[1]APO!$A:$F,6,0),)</f>
        <v>0</v>
      </c>
      <c r="L663" s="38">
        <f>IFERROR(VLOOKUP(C:C,'[1]TOTAL APO'!$A:$B,2,0),)</f>
        <v>0</v>
      </c>
      <c r="M663" s="38">
        <f>IFERROR(VLOOKUP(A:A,[1]Short!$A:$Q,17,0),)</f>
        <v>0</v>
      </c>
      <c r="N663" s="38">
        <f>IFERROR(VLOOKUP(C:C,[1]GIT!$B:$D,3,0),)</f>
        <v>200</v>
      </c>
      <c r="O663" s="38">
        <f>IFERROR(VLOOKUP(A:A,[2]Sheet1!$A:$B,2,0),)</f>
        <v>0</v>
      </c>
      <c r="P663" s="38">
        <f>IFERROR(VLOOKUP(A:A,[2]Sheet1!$A:$B,2,0),)</f>
        <v>0</v>
      </c>
      <c r="Q663" s="38">
        <f t="shared" si="10"/>
        <v>4</v>
      </c>
      <c r="R663" s="38"/>
      <c r="S663" s="38"/>
    </row>
    <row r="664" spans="1:19" hidden="1" x14ac:dyDescent="0.25">
      <c r="A664" s="38" t="str">
        <f>F664&amp;C664</f>
        <v>C04740049729</v>
      </c>
      <c r="B664" s="38" t="str">
        <f>IF(J664&gt;=SUMIFS(E:E,C:C,C664),"Good to go","Short in Qty")</f>
        <v>Good to go</v>
      </c>
      <c r="C664" s="40">
        <v>40049729</v>
      </c>
      <c r="D664" s="40" t="s">
        <v>606</v>
      </c>
      <c r="E664" s="66">
        <v>5</v>
      </c>
      <c r="F664" s="38" t="s">
        <v>192</v>
      </c>
      <c r="G664" s="40"/>
      <c r="H664" s="38" t="s">
        <v>84</v>
      </c>
      <c r="I664" s="38" t="s">
        <v>620</v>
      </c>
      <c r="J664" s="38">
        <f>IFERROR(VLOOKUP(C:C,'[1]S&amp;S'!$B:$F,5,0),)</f>
        <v>1831</v>
      </c>
      <c r="K664" s="38">
        <f>IFERROR(VLOOKUP(A:A,[1]APO!$A:$F,6,0),)</f>
        <v>0</v>
      </c>
      <c r="L664" s="38">
        <f>IFERROR(VLOOKUP(C:C,'[1]TOTAL APO'!$A:$B,2,0),)</f>
        <v>0</v>
      </c>
      <c r="M664" s="38">
        <f>IFERROR(VLOOKUP(A:A,[1]Short!$A:$Q,17,0),)</f>
        <v>0</v>
      </c>
      <c r="N664" s="38">
        <f>IFERROR(VLOOKUP(C:C,[1]GIT!$B:$D,3,0),)</f>
        <v>0</v>
      </c>
      <c r="O664" s="38">
        <f>IFERROR(VLOOKUP(A:A,[2]Sheet1!$A:$B,2,0),)</f>
        <v>0</v>
      </c>
      <c r="P664" s="38">
        <f>IFERROR(VLOOKUP(A:A,[2]Sheet1!$A:$B,2,0),)</f>
        <v>0</v>
      </c>
      <c r="Q664" s="38">
        <f t="shared" si="10"/>
        <v>5</v>
      </c>
      <c r="R664" s="38"/>
      <c r="S664" s="38"/>
    </row>
    <row r="665" spans="1:19" hidden="1" x14ac:dyDescent="0.25">
      <c r="A665" s="38" t="str">
        <f>F665&amp;C665</f>
        <v>C04740064856</v>
      </c>
      <c r="B665" s="38" t="str">
        <f>IF(J665&gt;=SUMIFS(E:E,C:C,C665),"Good to go","Short in Qty")</f>
        <v>Good to go</v>
      </c>
      <c r="C665" s="40">
        <v>40064856</v>
      </c>
      <c r="D665" s="40" t="s">
        <v>617</v>
      </c>
      <c r="E665" s="66">
        <v>1</v>
      </c>
      <c r="F665" s="38" t="s">
        <v>192</v>
      </c>
      <c r="G665" s="40"/>
      <c r="H665" s="38" t="s">
        <v>84</v>
      </c>
      <c r="I665" s="38" t="s">
        <v>620</v>
      </c>
      <c r="J665" s="38">
        <f>IFERROR(VLOOKUP(C:C,'[1]S&amp;S'!$B:$F,5,0),)</f>
        <v>89</v>
      </c>
      <c r="K665" s="38">
        <f>IFERROR(VLOOKUP(A:A,[1]APO!$A:$F,6,0),)</f>
        <v>0</v>
      </c>
      <c r="L665" s="38">
        <f>IFERROR(VLOOKUP(C:C,'[1]TOTAL APO'!$A:$B,2,0),)</f>
        <v>0</v>
      </c>
      <c r="M665" s="38">
        <f>IFERROR(VLOOKUP(A:A,[1]Short!$A:$Q,17,0),)</f>
        <v>0</v>
      </c>
      <c r="N665" s="38">
        <f>IFERROR(VLOOKUP(C:C,[1]GIT!$B:$D,3,0),)</f>
        <v>0</v>
      </c>
      <c r="O665" s="38">
        <f>IFERROR(VLOOKUP(A:A,[2]Sheet1!$A:$B,2,0),)</f>
        <v>0</v>
      </c>
      <c r="P665" s="38">
        <f>IFERROR(VLOOKUP(A:A,[2]Sheet1!$A:$B,2,0),)</f>
        <v>0</v>
      </c>
      <c r="Q665" s="38">
        <f t="shared" si="10"/>
        <v>1</v>
      </c>
      <c r="R665" s="38"/>
      <c r="S665" s="38"/>
    </row>
    <row r="666" spans="1:19" hidden="1" x14ac:dyDescent="0.25">
      <c r="A666" s="38" t="str">
        <f>F666&amp;C666</f>
        <v>C04740064727</v>
      </c>
      <c r="B666" s="38" t="str">
        <f>IF(J666&gt;=SUMIFS(E:E,C:C,C666),"Good to go","Short in Qty")</f>
        <v>Good to go</v>
      </c>
      <c r="C666" s="40">
        <v>40064727</v>
      </c>
      <c r="D666" s="40" t="s">
        <v>609</v>
      </c>
      <c r="E666" s="66">
        <v>10</v>
      </c>
      <c r="F666" s="38" t="s">
        <v>192</v>
      </c>
      <c r="G666" s="40"/>
      <c r="H666" s="38" t="s">
        <v>84</v>
      </c>
      <c r="I666" s="38" t="s">
        <v>620</v>
      </c>
      <c r="J666" s="38">
        <f>IFERROR(VLOOKUP(C:C,'[1]S&amp;S'!$B:$F,5,0),)</f>
        <v>120</v>
      </c>
      <c r="K666" s="38">
        <f>IFERROR(VLOOKUP(A:A,[1]APO!$A:$F,6,0),)</f>
        <v>0</v>
      </c>
      <c r="L666" s="38">
        <f>IFERROR(VLOOKUP(C:C,'[1]TOTAL APO'!$A:$B,2,0),)</f>
        <v>0</v>
      </c>
      <c r="M666" s="38">
        <f>IFERROR(VLOOKUP(A:A,[1]Short!$A:$Q,17,0),)</f>
        <v>0</v>
      </c>
      <c r="N666" s="38">
        <f>IFERROR(VLOOKUP(C:C,[1]GIT!$B:$D,3,0),)</f>
        <v>0</v>
      </c>
      <c r="O666" s="38">
        <f>IFERROR(VLOOKUP(A:A,[2]Sheet1!$A:$B,2,0),)</f>
        <v>0</v>
      </c>
      <c r="P666" s="38">
        <f>IFERROR(VLOOKUP(A:A,[2]Sheet1!$A:$B,2,0),)</f>
        <v>0</v>
      </c>
      <c r="Q666" s="38">
        <f t="shared" si="10"/>
        <v>10</v>
      </c>
      <c r="R666" s="38"/>
      <c r="S666" s="38"/>
    </row>
    <row r="667" spans="1:19" x14ac:dyDescent="0.25">
      <c r="A667" s="38" t="str">
        <f>F667&amp;C667</f>
        <v>C04740064885</v>
      </c>
      <c r="B667" s="38" t="str">
        <f>IF(J667&gt;=SUMIFS(E:E,C:C,C667),"Good to go","Short in Qty")</f>
        <v>Good to go</v>
      </c>
      <c r="C667" s="40">
        <v>40064885</v>
      </c>
      <c r="D667" s="40" t="s">
        <v>279</v>
      </c>
      <c r="E667" s="66">
        <v>132</v>
      </c>
      <c r="F667" s="38" t="s">
        <v>192</v>
      </c>
      <c r="G667" s="40"/>
      <c r="H667" s="38" t="s">
        <v>9</v>
      </c>
      <c r="I667" s="38" t="s">
        <v>530</v>
      </c>
      <c r="J667" s="38">
        <f>IFERROR(VLOOKUP(C:C,'[1]S&amp;S'!$B:$F,5,0),)</f>
        <v>489</v>
      </c>
      <c r="K667" s="38">
        <f>IFERROR(VLOOKUP(A:A,[1]APO!$A:$F,6,0),)</f>
        <v>0</v>
      </c>
      <c r="L667" s="38">
        <f>IFERROR(VLOOKUP(C:C,'[1]TOTAL APO'!$A:$B,2,0),)</f>
        <v>0</v>
      </c>
      <c r="M667" s="38">
        <f>IFERROR(VLOOKUP(A:A,[1]Short!$A:$Q,17,0),)</f>
        <v>0</v>
      </c>
      <c r="N667" s="38">
        <f>IFERROR(VLOOKUP(C:C,[1]GIT!$B:$D,3,0),)</f>
        <v>0</v>
      </c>
      <c r="O667" s="38">
        <f>IFERROR(VLOOKUP(A:A,[2]Sheet1!$A:$B,2,0),)</f>
        <v>0</v>
      </c>
      <c r="P667" s="38">
        <f>IFERROR(VLOOKUP(A:A,[2]Sheet1!$A:$B,2,0),)</f>
        <v>0</v>
      </c>
      <c r="Q667" s="38">
        <f t="shared" si="10"/>
        <v>132</v>
      </c>
      <c r="R667" s="38"/>
      <c r="S667" s="38"/>
    </row>
    <row r="668" spans="1:19" hidden="1" x14ac:dyDescent="0.25">
      <c r="A668" s="38" t="str">
        <f>F668&amp;C668</f>
        <v>C04740063685</v>
      </c>
      <c r="B668" s="38" t="str">
        <f>IF(J668&gt;=SUMIFS(E:E,C:C,C668),"Good to go","Short in Qty")</f>
        <v>Good to go</v>
      </c>
      <c r="C668" s="40">
        <v>40063685</v>
      </c>
      <c r="D668" s="40" t="s">
        <v>236</v>
      </c>
      <c r="E668" s="66">
        <v>5</v>
      </c>
      <c r="F668" s="38" t="s">
        <v>192</v>
      </c>
      <c r="G668" s="40"/>
      <c r="H668" s="38" t="s">
        <v>84</v>
      </c>
      <c r="I668" s="38" t="s">
        <v>620</v>
      </c>
      <c r="J668" s="38">
        <f>IFERROR(VLOOKUP(C:C,'[1]S&amp;S'!$B:$F,5,0),)</f>
        <v>3653.4444444444398</v>
      </c>
      <c r="K668" s="38">
        <f>IFERROR(VLOOKUP(A:A,[1]APO!$A:$F,6,0),)</f>
        <v>0</v>
      </c>
      <c r="L668" s="38">
        <f>IFERROR(VLOOKUP(C:C,'[1]TOTAL APO'!$A:$B,2,0),)</f>
        <v>0</v>
      </c>
      <c r="M668" s="38">
        <f>IFERROR(VLOOKUP(A:A,[1]Short!$A:$Q,17,0),)</f>
        <v>0</v>
      </c>
      <c r="N668" s="38">
        <f>IFERROR(VLOOKUP(C:C,[1]GIT!$B:$D,3,0),)</f>
        <v>0</v>
      </c>
      <c r="O668" s="38">
        <f>IFERROR(VLOOKUP(A:A,[2]Sheet1!$A:$B,2,0),)</f>
        <v>0</v>
      </c>
      <c r="P668" s="38">
        <f>IFERROR(VLOOKUP(A:A,[2]Sheet1!$A:$B,2,0),)</f>
        <v>0</v>
      </c>
      <c r="Q668" s="38">
        <f t="shared" si="10"/>
        <v>5</v>
      </c>
      <c r="R668" s="38"/>
      <c r="S668" s="38"/>
    </row>
    <row r="669" spans="1:19" hidden="1" x14ac:dyDescent="0.25">
      <c r="A669" s="38" t="str">
        <f>F669&amp;C669</f>
        <v>C04740063686</v>
      </c>
      <c r="B669" s="38" t="str">
        <f>IF(J669&gt;=SUMIFS(E:E,C:C,C669),"Good to go","Short in Qty")</f>
        <v>Good to go</v>
      </c>
      <c r="C669" s="40">
        <v>40063686</v>
      </c>
      <c r="D669" s="40" t="s">
        <v>349</v>
      </c>
      <c r="E669" s="66">
        <v>15</v>
      </c>
      <c r="F669" s="38" t="s">
        <v>192</v>
      </c>
      <c r="G669" s="40"/>
      <c r="H669" s="38" t="s">
        <v>84</v>
      </c>
      <c r="I669" s="38" t="s">
        <v>620</v>
      </c>
      <c r="J669" s="38">
        <f>IFERROR(VLOOKUP(C:C,'[1]S&amp;S'!$B:$F,5,0),)</f>
        <v>5928.6666666666697</v>
      </c>
      <c r="K669" s="38">
        <f>IFERROR(VLOOKUP(A:A,[1]APO!$A:$F,6,0),)</f>
        <v>0</v>
      </c>
      <c r="L669" s="38">
        <f>IFERROR(VLOOKUP(C:C,'[1]TOTAL APO'!$A:$B,2,0),)</f>
        <v>0</v>
      </c>
      <c r="M669" s="38">
        <f>IFERROR(VLOOKUP(A:A,[1]Short!$A:$Q,17,0),)</f>
        <v>0</v>
      </c>
      <c r="N669" s="38">
        <f>IFERROR(VLOOKUP(C:C,[1]GIT!$B:$D,3,0),)</f>
        <v>0</v>
      </c>
      <c r="O669" s="38">
        <f>IFERROR(VLOOKUP(A:A,[2]Sheet1!$A:$B,2,0),)</f>
        <v>0</v>
      </c>
      <c r="P669" s="38">
        <f>IFERROR(VLOOKUP(A:A,[2]Sheet1!$A:$B,2,0),)</f>
        <v>0</v>
      </c>
      <c r="Q669" s="38">
        <f t="shared" si="10"/>
        <v>15</v>
      </c>
      <c r="R669" s="38"/>
      <c r="S669" s="38"/>
    </row>
    <row r="670" spans="1:19" hidden="1" x14ac:dyDescent="0.25">
      <c r="A670" s="38" t="str">
        <f>F670&amp;C670</f>
        <v>C04840050073</v>
      </c>
      <c r="B670" s="38" t="str">
        <f>IF(J670&gt;=SUMIFS(E:E,C:C,C670),"Good to go","Short in Qty")</f>
        <v>Good to go</v>
      </c>
      <c r="C670" s="40">
        <v>40050073</v>
      </c>
      <c r="D670" s="40" t="s">
        <v>540</v>
      </c>
      <c r="E670" s="66">
        <v>5</v>
      </c>
      <c r="F670" s="38" t="s">
        <v>8</v>
      </c>
      <c r="G670" s="40" t="s">
        <v>467</v>
      </c>
      <c r="H670" s="38" t="s">
        <v>594</v>
      </c>
      <c r="I670" s="38" t="s">
        <v>595</v>
      </c>
      <c r="J670" s="38">
        <f>IFERROR(VLOOKUP(C:C,'[1]S&amp;S'!$B:$F,5,0),)</f>
        <v>12.0833333333333</v>
      </c>
      <c r="K670" s="38">
        <f>IFERROR(VLOOKUP(A:A,[1]APO!$A:$F,6,0),)</f>
        <v>0</v>
      </c>
      <c r="L670" s="38">
        <f>IFERROR(VLOOKUP(C:C,'[1]TOTAL APO'!$A:$B,2,0),)</f>
        <v>0</v>
      </c>
      <c r="M670" s="38">
        <f>IFERROR(VLOOKUP(A:A,[1]Short!$A:$Q,17,0),)</f>
        <v>0</v>
      </c>
      <c r="N670" s="38">
        <f>IFERROR(VLOOKUP(C:C,[1]GIT!$B:$D,3,0),)</f>
        <v>0</v>
      </c>
      <c r="O670" s="38">
        <f>IFERROR(VLOOKUP(A:A,[2]Sheet1!$A:$B,2,0),)</f>
        <v>5</v>
      </c>
      <c r="P670" s="38">
        <f>IFERROR(VLOOKUP(A:A,[2]Sheet1!$A:$B,2,0),)</f>
        <v>5</v>
      </c>
      <c r="Q670" s="38">
        <f t="shared" si="10"/>
        <v>0</v>
      </c>
      <c r="R670" s="38">
        <v>1</v>
      </c>
      <c r="S670" s="38"/>
    </row>
    <row r="671" spans="1:19" hidden="1" x14ac:dyDescent="0.25">
      <c r="A671" s="38" t="str">
        <f>F671&amp;C671</f>
        <v>C04340064907</v>
      </c>
      <c r="B671" s="38" t="str">
        <f>IF(J671&gt;=SUMIFS(E:E,C:C,C671),"Good to go","Short in Qty")</f>
        <v>Good to go</v>
      </c>
      <c r="C671" s="40">
        <v>40064907</v>
      </c>
      <c r="D671" s="40" t="s">
        <v>302</v>
      </c>
      <c r="E671" s="66">
        <v>30</v>
      </c>
      <c r="F671" s="38" t="s">
        <v>11</v>
      </c>
      <c r="G671" s="40" t="s">
        <v>467</v>
      </c>
      <c r="H671" s="38" t="s">
        <v>9</v>
      </c>
      <c r="I671" s="38" t="s">
        <v>530</v>
      </c>
      <c r="J671" s="38">
        <f>IFERROR(VLOOKUP(C:C,'[1]S&amp;S'!$B:$F,5,0),)</f>
        <v>108</v>
      </c>
      <c r="K671" s="38">
        <f>IFERROR(VLOOKUP(A:A,[1]APO!$A:$F,6,0),)</f>
        <v>0</v>
      </c>
      <c r="L671" s="38">
        <f>IFERROR(VLOOKUP(C:C,'[1]TOTAL APO'!$A:$B,2,0),)</f>
        <v>0</v>
      </c>
      <c r="M671" s="38">
        <f>IFERROR(VLOOKUP(A:A,[1]Short!$A:$Q,17,0),)</f>
        <v>0</v>
      </c>
      <c r="N671" s="38">
        <f>IFERROR(VLOOKUP(C:C,[1]GIT!$B:$D,3,0),)</f>
        <v>0</v>
      </c>
      <c r="O671" s="38">
        <f>IFERROR(VLOOKUP(A:A,[2]Sheet1!$A:$B,2,0),)</f>
        <v>30</v>
      </c>
      <c r="P671" s="38">
        <f>IFERROR(VLOOKUP(A:A,[2]Sheet1!$A:$B,2,0),)</f>
        <v>30</v>
      </c>
      <c r="Q671" s="38">
        <f t="shared" si="10"/>
        <v>0</v>
      </c>
      <c r="R671" s="38"/>
      <c r="S671" s="38"/>
    </row>
    <row r="672" spans="1:19" x14ac:dyDescent="0.25">
      <c r="A672" s="38" t="str">
        <f>F672&amp;C672</f>
        <v>C04640064907</v>
      </c>
      <c r="B672" s="38" t="str">
        <f>IF(J672&gt;=SUMIFS(E:E,C:C,C672),"Good to go","Short in Qty")</f>
        <v>Good to go</v>
      </c>
      <c r="C672" s="40">
        <v>40064907</v>
      </c>
      <c r="D672" s="40" t="s">
        <v>302</v>
      </c>
      <c r="E672" s="66">
        <v>20</v>
      </c>
      <c r="F672" s="38" t="s">
        <v>13</v>
      </c>
      <c r="G672" s="40"/>
      <c r="H672" s="38" t="s">
        <v>9</v>
      </c>
      <c r="I672" s="38" t="s">
        <v>530</v>
      </c>
      <c r="J672" s="38">
        <f>IFERROR(VLOOKUP(C:C,'[1]S&amp;S'!$B:$F,5,0),)</f>
        <v>108</v>
      </c>
      <c r="K672" s="38">
        <f>IFERROR(VLOOKUP(A:A,[1]APO!$A:$F,6,0),)</f>
        <v>0</v>
      </c>
      <c r="L672" s="38">
        <f>IFERROR(VLOOKUP(C:C,'[1]TOTAL APO'!$A:$B,2,0),)</f>
        <v>0</v>
      </c>
      <c r="M672" s="38">
        <f>IFERROR(VLOOKUP(A:A,[1]Short!$A:$Q,17,0),)</f>
        <v>0</v>
      </c>
      <c r="N672" s="38">
        <f>IFERROR(VLOOKUP(C:C,[1]GIT!$B:$D,3,0),)</f>
        <v>0</v>
      </c>
      <c r="O672" s="38">
        <f>IFERROR(VLOOKUP(A:A,[2]Sheet1!$A:$B,2,0),)</f>
        <v>0</v>
      </c>
      <c r="P672" s="38">
        <f>IFERROR(VLOOKUP(A:A,[2]Sheet1!$A:$B,2,0),)</f>
        <v>0</v>
      </c>
      <c r="Q672" s="38">
        <f t="shared" si="10"/>
        <v>20</v>
      </c>
      <c r="R672" s="38"/>
      <c r="S672" s="38"/>
    </row>
    <row r="673" spans="1:19" hidden="1" x14ac:dyDescent="0.25">
      <c r="A673" s="38" t="str">
        <f>F673&amp;C673</f>
        <v>C04740065336</v>
      </c>
      <c r="B673" s="38" t="str">
        <f>IF(J673&gt;=SUMIFS(E:E,C:C,C673),"Good to go","Short in Qty")</f>
        <v>Good to go</v>
      </c>
      <c r="C673" s="40">
        <v>40065336</v>
      </c>
      <c r="D673" s="40" t="s">
        <v>533</v>
      </c>
      <c r="E673" s="66">
        <v>4</v>
      </c>
      <c r="F673" s="38" t="s">
        <v>192</v>
      </c>
      <c r="G673" s="40"/>
      <c r="H673" s="38" t="s">
        <v>84</v>
      </c>
      <c r="I673" s="38" t="s">
        <v>620</v>
      </c>
      <c r="J673" s="38">
        <f>IFERROR(VLOOKUP(C:C,'[1]S&amp;S'!$B:$F,5,0),)</f>
        <v>2559</v>
      </c>
      <c r="K673" s="38">
        <f>IFERROR(VLOOKUP(A:A,[1]APO!$A:$F,6,0),)</f>
        <v>0</v>
      </c>
      <c r="L673" s="38">
        <f>IFERROR(VLOOKUP(C:C,'[1]TOTAL APO'!$A:$B,2,0),)</f>
        <v>0</v>
      </c>
      <c r="M673" s="38">
        <f>IFERROR(VLOOKUP(A:A,[1]Short!$A:$Q,17,0),)</f>
        <v>0</v>
      </c>
      <c r="N673" s="38">
        <f>IFERROR(VLOOKUP(C:C,[1]GIT!$B:$D,3,0),)</f>
        <v>0</v>
      </c>
      <c r="O673" s="38">
        <f>IFERROR(VLOOKUP(A:A,[2]Sheet1!$A:$B,2,0),)</f>
        <v>0</v>
      </c>
      <c r="P673" s="38">
        <f>IFERROR(VLOOKUP(A:A,[2]Sheet1!$A:$B,2,0),)</f>
        <v>0</v>
      </c>
      <c r="Q673" s="38">
        <f t="shared" si="10"/>
        <v>4</v>
      </c>
      <c r="R673" s="38"/>
      <c r="S673" s="38"/>
    </row>
    <row r="674" spans="1:19" hidden="1" x14ac:dyDescent="0.25">
      <c r="A674" s="38" t="str">
        <f>F674&amp;C674</f>
        <v>C04440063810</v>
      </c>
      <c r="B674" s="38" t="str">
        <f>IF(J674&gt;=SUMIFS(E:E,C:C,C674),"Good to go","Short in Qty")</f>
        <v>Good to go</v>
      </c>
      <c r="C674" s="40">
        <v>40063810</v>
      </c>
      <c r="D674" s="40" t="s">
        <v>496</v>
      </c>
      <c r="E674" s="66">
        <v>28</v>
      </c>
      <c r="F674" s="38" t="s">
        <v>191</v>
      </c>
      <c r="G674" s="40">
        <v>2</v>
      </c>
      <c r="H674" s="38" t="s">
        <v>9</v>
      </c>
      <c r="I674" s="38" t="s">
        <v>530</v>
      </c>
      <c r="J674" s="38">
        <f>IFERROR(VLOOKUP(C:C,'[1]S&amp;S'!$B:$F,5,0),)</f>
        <v>187</v>
      </c>
      <c r="K674" s="38">
        <f>IFERROR(VLOOKUP(A:A,[1]APO!$A:$F,6,0),)</f>
        <v>0</v>
      </c>
      <c r="L674" s="38">
        <f>IFERROR(VLOOKUP(C:C,'[1]TOTAL APO'!$A:$B,2,0),)</f>
        <v>0</v>
      </c>
      <c r="M674" s="38">
        <f>IFERROR(VLOOKUP(A:A,[1]Short!$A:$Q,17,0),)</f>
        <v>0</v>
      </c>
      <c r="N674" s="38">
        <f>IFERROR(VLOOKUP(C:C,[1]GIT!$B:$D,3,0),)</f>
        <v>150</v>
      </c>
      <c r="O674" s="38">
        <f>IFERROR(VLOOKUP(A:A,[2]Sheet1!$A:$B,2,0),)</f>
        <v>28</v>
      </c>
      <c r="P674" s="38">
        <f>IFERROR(VLOOKUP(A:A,[2]Sheet1!$A:$B,2,0),)</f>
        <v>28</v>
      </c>
      <c r="Q674" s="38">
        <f t="shared" si="10"/>
        <v>0</v>
      </c>
      <c r="R674" s="38"/>
      <c r="S674" s="38"/>
    </row>
    <row r="675" spans="1:19" hidden="1" x14ac:dyDescent="0.25">
      <c r="A675" s="38" t="str">
        <f>F675&amp;C675</f>
        <v>C13140064907</v>
      </c>
      <c r="B675" s="38" t="str">
        <f>IF(J675&gt;=SUMIFS(E:E,C:C,C675),"Good to go","Short in Qty")</f>
        <v>Good to go</v>
      </c>
      <c r="C675" s="40">
        <v>40064907</v>
      </c>
      <c r="D675" s="40" t="s">
        <v>302</v>
      </c>
      <c r="E675" s="66">
        <v>13</v>
      </c>
      <c r="F675" s="38" t="s">
        <v>17</v>
      </c>
      <c r="G675" s="40" t="s">
        <v>467</v>
      </c>
      <c r="H675" s="38" t="s">
        <v>9</v>
      </c>
      <c r="I675" s="38" t="s">
        <v>530</v>
      </c>
      <c r="J675" s="38">
        <f>IFERROR(VLOOKUP(C:C,'[1]S&amp;S'!$B:$F,5,0),)</f>
        <v>108</v>
      </c>
      <c r="K675" s="38">
        <f>IFERROR(VLOOKUP(A:A,[1]APO!$A:$F,6,0),)</f>
        <v>0</v>
      </c>
      <c r="L675" s="38">
        <f>IFERROR(VLOOKUP(C:C,'[1]TOTAL APO'!$A:$B,2,0),)</f>
        <v>0</v>
      </c>
      <c r="M675" s="38">
        <f>IFERROR(VLOOKUP(A:A,[1]Short!$A:$Q,17,0),)</f>
        <v>0</v>
      </c>
      <c r="N675" s="38">
        <f>IFERROR(VLOOKUP(C:C,[1]GIT!$B:$D,3,0),)</f>
        <v>0</v>
      </c>
      <c r="O675" s="38">
        <f>IFERROR(VLOOKUP(A:A,[2]Sheet1!$A:$B,2,0),)</f>
        <v>13</v>
      </c>
      <c r="P675" s="38">
        <f>IFERROR(VLOOKUP(A:A,[2]Sheet1!$A:$B,2,0),)</f>
        <v>13</v>
      </c>
      <c r="Q675" s="38">
        <f t="shared" si="10"/>
        <v>0</v>
      </c>
      <c r="R675" s="38"/>
      <c r="S675" s="38"/>
    </row>
    <row r="676" spans="1:19" hidden="1" x14ac:dyDescent="0.25">
      <c r="A676" s="38" t="str">
        <f>F676&amp;C676</f>
        <v>C04740063810</v>
      </c>
      <c r="B676" s="38" t="str">
        <f>IF(J676&gt;=SUMIFS(E:E,C:C,C676),"Good to go","Short in Qty")</f>
        <v>Good to go</v>
      </c>
      <c r="C676" s="40">
        <v>40063810</v>
      </c>
      <c r="D676" s="40" t="s">
        <v>496</v>
      </c>
      <c r="E676" s="66">
        <v>2</v>
      </c>
      <c r="F676" s="38" t="s">
        <v>192</v>
      </c>
      <c r="G676" s="40"/>
      <c r="H676" s="38" t="s">
        <v>84</v>
      </c>
      <c r="I676" s="38" t="s">
        <v>620</v>
      </c>
      <c r="J676" s="38">
        <f>IFERROR(VLOOKUP(C:C,'[1]S&amp;S'!$B:$F,5,0),)</f>
        <v>187</v>
      </c>
      <c r="K676" s="38">
        <f>IFERROR(VLOOKUP(A:A,[1]APO!$A:$F,6,0),)</f>
        <v>0</v>
      </c>
      <c r="L676" s="38">
        <f>IFERROR(VLOOKUP(C:C,'[1]TOTAL APO'!$A:$B,2,0),)</f>
        <v>0</v>
      </c>
      <c r="M676" s="38">
        <f>IFERROR(VLOOKUP(A:A,[1]Short!$A:$Q,17,0),)</f>
        <v>0</v>
      </c>
      <c r="N676" s="38">
        <f>IFERROR(VLOOKUP(C:C,[1]GIT!$B:$D,3,0),)</f>
        <v>150</v>
      </c>
      <c r="O676" s="38">
        <f>IFERROR(VLOOKUP(A:A,[2]Sheet1!$A:$B,2,0),)</f>
        <v>0</v>
      </c>
      <c r="P676" s="38">
        <f>IFERROR(VLOOKUP(A:A,[2]Sheet1!$A:$B,2,0),)</f>
        <v>0</v>
      </c>
      <c r="Q676" s="38">
        <f t="shared" si="10"/>
        <v>2</v>
      </c>
      <c r="R676" s="38"/>
      <c r="S676" s="38"/>
    </row>
    <row r="677" spans="1:19" hidden="1" x14ac:dyDescent="0.25">
      <c r="A677" s="38" t="str">
        <f>F677&amp;C677</f>
        <v>C04740059764</v>
      </c>
      <c r="B677" s="38" t="str">
        <f>IF(J677&gt;=SUMIFS(E:E,C:C,C677),"Good to go","Short in Qty")</f>
        <v>Good to go</v>
      </c>
      <c r="C677" s="40">
        <v>40059764</v>
      </c>
      <c r="D677" s="40" t="s">
        <v>452</v>
      </c>
      <c r="E677" s="66">
        <v>10</v>
      </c>
      <c r="F677" s="38" t="s">
        <v>192</v>
      </c>
      <c r="G677" s="40"/>
      <c r="H677" s="38" t="s">
        <v>84</v>
      </c>
      <c r="I677" s="38" t="s">
        <v>620</v>
      </c>
      <c r="J677" s="38">
        <f>IFERROR(VLOOKUP(C:C,'[1]S&amp;S'!$B:$F,5,0),)</f>
        <v>664</v>
      </c>
      <c r="K677" s="38">
        <f>IFERROR(VLOOKUP(A:A,[1]APO!$A:$F,6,0),)</f>
        <v>0</v>
      </c>
      <c r="L677" s="38">
        <f>IFERROR(VLOOKUP(C:C,'[1]TOTAL APO'!$A:$B,2,0),)</f>
        <v>0</v>
      </c>
      <c r="M677" s="38">
        <f>IFERROR(VLOOKUP(A:A,[1]Short!$A:$Q,17,0),)</f>
        <v>0</v>
      </c>
      <c r="N677" s="38">
        <f>IFERROR(VLOOKUP(C:C,[1]GIT!$B:$D,3,0),)</f>
        <v>0</v>
      </c>
      <c r="O677" s="38">
        <f>IFERROR(VLOOKUP(A:A,[2]Sheet1!$A:$B,2,0),)</f>
        <v>0</v>
      </c>
      <c r="P677" s="38">
        <f>IFERROR(VLOOKUP(A:A,[2]Sheet1!$A:$B,2,0),)</f>
        <v>0</v>
      </c>
      <c r="Q677" s="38">
        <f t="shared" si="10"/>
        <v>10</v>
      </c>
      <c r="R677" s="38"/>
      <c r="S677" s="38"/>
    </row>
    <row r="678" spans="1:19" hidden="1" x14ac:dyDescent="0.25">
      <c r="A678" s="38" t="str">
        <f>F678&amp;C678</f>
        <v>C11140064907</v>
      </c>
      <c r="B678" s="38" t="str">
        <f>IF(J678&gt;=SUMIFS(E:E,C:C,C678),"Good to go","Short in Qty")</f>
        <v>Good to go</v>
      </c>
      <c r="C678" s="40">
        <v>40064907</v>
      </c>
      <c r="D678" s="40" t="s">
        <v>302</v>
      </c>
      <c r="E678" s="66">
        <v>25</v>
      </c>
      <c r="F678" s="38" t="s">
        <v>16</v>
      </c>
      <c r="G678" s="40" t="s">
        <v>467</v>
      </c>
      <c r="H678" s="38" t="s">
        <v>9</v>
      </c>
      <c r="I678" s="38" t="s">
        <v>530</v>
      </c>
      <c r="J678" s="38">
        <f>IFERROR(VLOOKUP(C:C,'[1]S&amp;S'!$B:$F,5,0),)</f>
        <v>108</v>
      </c>
      <c r="K678" s="38">
        <f>IFERROR(VLOOKUP(A:A,[1]APO!$A:$F,6,0),)</f>
        <v>0</v>
      </c>
      <c r="L678" s="38">
        <f>IFERROR(VLOOKUP(C:C,'[1]TOTAL APO'!$A:$B,2,0),)</f>
        <v>0</v>
      </c>
      <c r="M678" s="38">
        <f>IFERROR(VLOOKUP(A:A,[1]Short!$A:$Q,17,0),)</f>
        <v>0</v>
      </c>
      <c r="N678" s="38">
        <f>IFERROR(VLOOKUP(C:C,[1]GIT!$B:$D,3,0),)</f>
        <v>0</v>
      </c>
      <c r="O678" s="38">
        <f>IFERROR(VLOOKUP(A:A,[2]Sheet1!$A:$B,2,0),)</f>
        <v>25</v>
      </c>
      <c r="P678" s="38">
        <f>IFERROR(VLOOKUP(A:A,[2]Sheet1!$A:$B,2,0),)</f>
        <v>25</v>
      </c>
      <c r="Q678" s="38">
        <f t="shared" si="10"/>
        <v>0</v>
      </c>
      <c r="R678" s="38"/>
      <c r="S678" s="38"/>
    </row>
    <row r="679" spans="1:19" x14ac:dyDescent="0.25">
      <c r="A679" s="38" t="str">
        <f>F679&amp;C679</f>
        <v>C04440064907</v>
      </c>
      <c r="B679" s="38" t="str">
        <f>IF(J679&gt;=SUMIFS(E:E,C:C,C679),"Good to go","Short in Qty")</f>
        <v>Good to go</v>
      </c>
      <c r="C679" s="40">
        <v>40064907</v>
      </c>
      <c r="D679" s="40" t="s">
        <v>302</v>
      </c>
      <c r="E679" s="66">
        <v>20</v>
      </c>
      <c r="F679" s="38" t="s">
        <v>191</v>
      </c>
      <c r="G679" s="40"/>
      <c r="H679" s="38" t="s">
        <v>9</v>
      </c>
      <c r="I679" s="38" t="s">
        <v>530</v>
      </c>
      <c r="J679" s="38">
        <f>IFERROR(VLOOKUP(C:C,'[1]S&amp;S'!$B:$F,5,0),)</f>
        <v>108</v>
      </c>
      <c r="K679" s="38">
        <f>IFERROR(VLOOKUP(A:A,[1]APO!$A:$F,6,0),)</f>
        <v>0</v>
      </c>
      <c r="L679" s="38">
        <f>IFERROR(VLOOKUP(C:C,'[1]TOTAL APO'!$A:$B,2,0),)</f>
        <v>0</v>
      </c>
      <c r="M679" s="38">
        <f>IFERROR(VLOOKUP(A:A,[1]Short!$A:$Q,17,0),)</f>
        <v>0</v>
      </c>
      <c r="N679" s="38">
        <f>IFERROR(VLOOKUP(C:C,[1]GIT!$B:$D,3,0),)</f>
        <v>0</v>
      </c>
      <c r="O679" s="38">
        <f>IFERROR(VLOOKUP(A:A,[2]Sheet1!$A:$B,2,0),)</f>
        <v>0</v>
      </c>
      <c r="P679" s="38">
        <f>IFERROR(VLOOKUP(A:A,[2]Sheet1!$A:$B,2,0),)</f>
        <v>0</v>
      </c>
      <c r="Q679" s="38">
        <f t="shared" si="10"/>
        <v>20</v>
      </c>
      <c r="R679" s="38"/>
      <c r="S679" s="38"/>
    </row>
    <row r="680" spans="1:19" hidden="1" x14ac:dyDescent="0.25">
      <c r="A680" s="38" t="str">
        <f>F680&amp;C680</f>
        <v>C04840064472</v>
      </c>
      <c r="B680" s="38" t="str">
        <f>IF(J680&gt;=SUMIFS(E:E,C:C,C680),"Good to go","Short in Qty")</f>
        <v>Good to go</v>
      </c>
      <c r="C680" s="40">
        <v>40064472</v>
      </c>
      <c r="D680" s="40" t="s">
        <v>560</v>
      </c>
      <c r="E680" s="66">
        <v>30</v>
      </c>
      <c r="F680" s="38" t="s">
        <v>8</v>
      </c>
      <c r="G680" s="40" t="s">
        <v>467</v>
      </c>
      <c r="H680" s="38" t="s">
        <v>594</v>
      </c>
      <c r="I680" s="38" t="s">
        <v>595</v>
      </c>
      <c r="J680" s="38">
        <f>IFERROR(VLOOKUP(C:C,'[1]S&amp;S'!$B:$F,5,0),)</f>
        <v>130</v>
      </c>
      <c r="K680" s="38">
        <f>IFERROR(VLOOKUP(A:A,[1]APO!$A:$F,6,0),)</f>
        <v>0</v>
      </c>
      <c r="L680" s="38">
        <f>IFERROR(VLOOKUP(C:C,'[1]TOTAL APO'!$A:$B,2,0),)</f>
        <v>0</v>
      </c>
      <c r="M680" s="38">
        <f>IFERROR(VLOOKUP(A:A,[1]Short!$A:$Q,17,0),)</f>
        <v>0</v>
      </c>
      <c r="N680" s="38">
        <f>IFERROR(VLOOKUP(C:C,[1]GIT!$B:$D,3,0),)</f>
        <v>130</v>
      </c>
      <c r="O680" s="38">
        <f>IFERROR(VLOOKUP(A:A,[2]Sheet1!$A:$B,2,0),)</f>
        <v>30</v>
      </c>
      <c r="P680" s="38">
        <f>IFERROR(VLOOKUP(A:A,[2]Sheet1!$A:$B,2,0),)</f>
        <v>30</v>
      </c>
      <c r="Q680" s="38">
        <f t="shared" si="10"/>
        <v>0</v>
      </c>
      <c r="R680" s="38"/>
      <c r="S680" s="38"/>
    </row>
    <row r="681" spans="1:19" x14ac:dyDescent="0.25">
      <c r="A681" s="38" t="str">
        <f>F681&amp;C681</f>
        <v>C04840065250</v>
      </c>
      <c r="B681" s="38" t="str">
        <f>IF(J681&gt;=SUMIFS(E:E,C:C,C681),"Good to go","Short in Qty")</f>
        <v>Short in Qty</v>
      </c>
      <c r="C681" s="40">
        <v>40065250</v>
      </c>
      <c r="D681" s="40" t="s">
        <v>286</v>
      </c>
      <c r="E681" s="66">
        <v>79</v>
      </c>
      <c r="F681" s="38" t="s">
        <v>8</v>
      </c>
      <c r="G681" s="40" t="s">
        <v>269</v>
      </c>
      <c r="H681" s="38" t="s">
        <v>9</v>
      </c>
      <c r="I681" s="38" t="s">
        <v>371</v>
      </c>
      <c r="J681" s="38">
        <f>IFERROR(VLOOKUP(C:C,'[1]S&amp;S'!$B:$F,5,0),)</f>
        <v>0</v>
      </c>
      <c r="K681" s="38">
        <f>IFERROR(VLOOKUP(A:A,[1]APO!$A:$F,6,0),)</f>
        <v>0</v>
      </c>
      <c r="L681" s="38">
        <f>IFERROR(VLOOKUP(C:C,'[1]TOTAL APO'!$A:$B,2,0),)</f>
        <v>0</v>
      </c>
      <c r="M681" s="38">
        <f>IFERROR(VLOOKUP(A:A,[1]Short!$A:$Q,17,0),)</f>
        <v>0</v>
      </c>
      <c r="N681" s="38">
        <f>IFERROR(VLOOKUP(C:C,[1]GIT!$B:$D,3,0),)</f>
        <v>0</v>
      </c>
      <c r="O681" s="38">
        <f>IFERROR(VLOOKUP(A:A,[2]Sheet1!$A:$B,2,0),)</f>
        <v>0</v>
      </c>
      <c r="P681" s="38">
        <f>IFERROR(VLOOKUP(A:A,[2]Sheet1!$A:$B,2,0),)</f>
        <v>0</v>
      </c>
      <c r="Q681" s="38">
        <f t="shared" si="10"/>
        <v>79</v>
      </c>
      <c r="R681" s="38"/>
      <c r="S681" s="38"/>
    </row>
    <row r="682" spans="1:19" hidden="1" x14ac:dyDescent="0.25">
      <c r="A682" s="38" t="str">
        <f>F682&amp;C682</f>
        <v>C04240049949</v>
      </c>
      <c r="B682" s="38" t="str">
        <f>IF(J682&gt;=SUMIFS(E:E,C:C,C682),"Good to go","Short in Qty")</f>
        <v>Good to go</v>
      </c>
      <c r="C682" s="40">
        <v>40049949</v>
      </c>
      <c r="D682" s="40" t="s">
        <v>354</v>
      </c>
      <c r="E682" s="75">
        <v>80</v>
      </c>
      <c r="F682" s="38" t="s">
        <v>10</v>
      </c>
      <c r="G682" s="40" t="s">
        <v>467</v>
      </c>
      <c r="H682" s="38" t="s">
        <v>248</v>
      </c>
      <c r="I682" s="38" t="s">
        <v>457</v>
      </c>
      <c r="J682" s="38">
        <f>IFERROR(VLOOKUP(C:C,'[1]S&amp;S'!$B:$F,5,0),)</f>
        <v>625</v>
      </c>
      <c r="K682" s="38">
        <f>IFERROR(VLOOKUP(A:A,[1]APO!$A:$F,6,0),)</f>
        <v>0</v>
      </c>
      <c r="L682" s="38">
        <f>IFERROR(VLOOKUP(C:C,'[1]TOTAL APO'!$A:$B,2,0),)</f>
        <v>0</v>
      </c>
      <c r="M682" s="38">
        <f>IFERROR(VLOOKUP(A:A,[1]Short!$A:$Q,17,0),)</f>
        <v>0</v>
      </c>
      <c r="N682" s="38">
        <f>IFERROR(VLOOKUP(C:C,[1]GIT!$B:$D,3,0),)</f>
        <v>0</v>
      </c>
      <c r="O682" s="38">
        <f>IFERROR(VLOOKUP(A:A,[2]Sheet1!$A:$B,2,0),)</f>
        <v>80</v>
      </c>
      <c r="P682" s="38">
        <f>IFERROR(VLOOKUP(A:A,[2]Sheet1!$A:$B,2,0),)</f>
        <v>80</v>
      </c>
      <c r="Q682" s="38">
        <f t="shared" si="10"/>
        <v>0</v>
      </c>
      <c r="R682" s="38"/>
      <c r="S682" s="38"/>
    </row>
    <row r="683" spans="1:19" hidden="1" x14ac:dyDescent="0.25">
      <c r="A683" s="38" t="str">
        <f>F683&amp;C683</f>
        <v>C04440065000</v>
      </c>
      <c r="B683" s="38" t="str">
        <f>IF(J683&gt;=SUMIFS(E:E,C:C,C683),"Good to go","Short in Qty")</f>
        <v>Good to go</v>
      </c>
      <c r="C683" s="40">
        <v>40065000</v>
      </c>
      <c r="D683" s="40" t="s">
        <v>519</v>
      </c>
      <c r="E683" s="66">
        <v>53</v>
      </c>
      <c r="F683" s="38" t="s">
        <v>191</v>
      </c>
      <c r="G683" s="40" t="s">
        <v>467</v>
      </c>
      <c r="H683" s="38" t="s">
        <v>84</v>
      </c>
      <c r="I683" s="38" t="s">
        <v>620</v>
      </c>
      <c r="J683" s="38">
        <f>IFERROR(VLOOKUP(C:C,'[1]S&amp;S'!$B:$F,5,0),)</f>
        <v>825</v>
      </c>
      <c r="K683" s="38">
        <f>IFERROR(VLOOKUP(A:A,[1]APO!$A:$F,6,0),)</f>
        <v>0</v>
      </c>
      <c r="L683" s="38">
        <f>IFERROR(VLOOKUP(C:C,'[1]TOTAL APO'!$A:$B,2,0),)</f>
        <v>0</v>
      </c>
      <c r="M683" s="38">
        <f>IFERROR(VLOOKUP(A:A,[1]Short!$A:$Q,17,0),)</f>
        <v>0</v>
      </c>
      <c r="N683" s="38">
        <f>IFERROR(VLOOKUP(C:C,[1]GIT!$B:$D,3,0),)</f>
        <v>0</v>
      </c>
      <c r="O683" s="38">
        <f>IFERROR(VLOOKUP(A:A,[2]Sheet1!$A:$B,2,0),)</f>
        <v>53</v>
      </c>
      <c r="P683" s="38">
        <f>IFERROR(VLOOKUP(A:A,[2]Sheet1!$A:$B,2,0),)</f>
        <v>53</v>
      </c>
      <c r="Q683" s="38">
        <f t="shared" si="10"/>
        <v>0</v>
      </c>
      <c r="R683" s="38"/>
      <c r="S683" s="38"/>
    </row>
    <row r="684" spans="1:19" hidden="1" x14ac:dyDescent="0.25">
      <c r="A684" s="38" t="str">
        <f>F684&amp;C684</f>
        <v>C04740064685</v>
      </c>
      <c r="B684" s="38" t="str">
        <f>IF(J684&gt;=SUMIFS(E:E,C:C,C684),"Good to go","Short in Qty")</f>
        <v>Good to go</v>
      </c>
      <c r="C684" s="40">
        <v>40064685</v>
      </c>
      <c r="D684" s="40" t="s">
        <v>301</v>
      </c>
      <c r="E684" s="66">
        <v>11</v>
      </c>
      <c r="F684" s="38" t="s">
        <v>192</v>
      </c>
      <c r="G684" s="40"/>
      <c r="H684" s="38" t="s">
        <v>84</v>
      </c>
      <c r="I684" s="38" t="s">
        <v>620</v>
      </c>
      <c r="J684" s="38">
        <f>IFERROR(VLOOKUP(C:C,'[1]S&amp;S'!$B:$F,5,0),)</f>
        <v>850.73288888888897</v>
      </c>
      <c r="K684" s="38">
        <f>IFERROR(VLOOKUP(A:A,[1]APO!$A:$F,6,0),)</f>
        <v>0</v>
      </c>
      <c r="L684" s="38">
        <f>IFERROR(VLOOKUP(C:C,'[1]TOTAL APO'!$A:$B,2,0),)</f>
        <v>0</v>
      </c>
      <c r="M684" s="38">
        <f>IFERROR(VLOOKUP(A:A,[1]Short!$A:$Q,17,0),)</f>
        <v>0</v>
      </c>
      <c r="N684" s="38">
        <f>IFERROR(VLOOKUP(C:C,[1]GIT!$B:$D,3,0),)</f>
        <v>0</v>
      </c>
      <c r="O684" s="38">
        <f>IFERROR(VLOOKUP(A:A,[2]Sheet1!$A:$B,2,0),)</f>
        <v>0</v>
      </c>
      <c r="P684" s="38">
        <f>IFERROR(VLOOKUP(A:A,[2]Sheet1!$A:$B,2,0),)</f>
        <v>0</v>
      </c>
      <c r="Q684" s="38">
        <f t="shared" si="10"/>
        <v>11</v>
      </c>
      <c r="R684" s="38"/>
      <c r="S684" s="38"/>
    </row>
    <row r="685" spans="1:19" hidden="1" x14ac:dyDescent="0.25">
      <c r="A685" s="38" t="str">
        <f>F685&amp;C685</f>
        <v>C04440064688</v>
      </c>
      <c r="B685" s="38" t="str">
        <f>IF(J685&gt;=SUMIFS(E:E,C:C,C685),"Good to go","Short in Qty")</f>
        <v>Good to go</v>
      </c>
      <c r="C685" s="40">
        <v>40064688</v>
      </c>
      <c r="D685" s="40" t="s">
        <v>521</v>
      </c>
      <c r="E685" s="66">
        <v>130</v>
      </c>
      <c r="F685" s="38" t="s">
        <v>191</v>
      </c>
      <c r="G685" s="40">
        <v>129</v>
      </c>
      <c r="H685" s="38" t="s">
        <v>9</v>
      </c>
      <c r="I685" s="38" t="s">
        <v>530</v>
      </c>
      <c r="J685" s="38">
        <f>IFERROR(VLOOKUP(C:C,'[1]S&amp;S'!$B:$F,5,0),)</f>
        <v>5564</v>
      </c>
      <c r="K685" s="38">
        <f>IFERROR(VLOOKUP(A:A,[1]APO!$A:$F,6,0),)</f>
        <v>0</v>
      </c>
      <c r="L685" s="38">
        <f>IFERROR(VLOOKUP(C:C,'[1]TOTAL APO'!$A:$B,2,0),)</f>
        <v>0</v>
      </c>
      <c r="M685" s="38">
        <f>IFERROR(VLOOKUP(A:A,[1]Short!$A:$Q,17,0),)</f>
        <v>0</v>
      </c>
      <c r="N685" s="38">
        <f>IFERROR(VLOOKUP(C:C,[1]GIT!$B:$D,3,0),)</f>
        <v>0</v>
      </c>
      <c r="O685" s="38">
        <f>IFERROR(VLOOKUP(A:A,[2]Sheet1!$A:$B,2,0),)</f>
        <v>130</v>
      </c>
      <c r="P685" s="38">
        <f>IFERROR(VLOOKUP(A:A,[2]Sheet1!$A:$B,2,0),)</f>
        <v>130</v>
      </c>
      <c r="Q685" s="38">
        <f t="shared" si="10"/>
        <v>0</v>
      </c>
      <c r="R685" s="38"/>
      <c r="S685" s="38"/>
    </row>
    <row r="686" spans="1:19" hidden="1" x14ac:dyDescent="0.25">
      <c r="A686" s="38" t="str">
        <f>F686&amp;C686</f>
        <v>C04840049949</v>
      </c>
      <c r="B686" s="38" t="str">
        <f>IF(J686&gt;=SUMIFS(E:E,C:C,C686),"Good to go","Short in Qty")</f>
        <v>Good to go</v>
      </c>
      <c r="C686" s="40">
        <v>40049949</v>
      </c>
      <c r="D686" s="40" t="s">
        <v>354</v>
      </c>
      <c r="E686" s="75">
        <v>10</v>
      </c>
      <c r="F686" s="38" t="s">
        <v>8</v>
      </c>
      <c r="G686" s="40" t="s">
        <v>467</v>
      </c>
      <c r="H686" s="38" t="s">
        <v>248</v>
      </c>
      <c r="I686" s="38" t="s">
        <v>457</v>
      </c>
      <c r="J686" s="38">
        <f>IFERROR(VLOOKUP(C:C,'[1]S&amp;S'!$B:$F,5,0),)</f>
        <v>625</v>
      </c>
      <c r="K686" s="38">
        <f>IFERROR(VLOOKUP(A:A,[1]APO!$A:$F,6,0),)</f>
        <v>0</v>
      </c>
      <c r="L686" s="38">
        <f>IFERROR(VLOOKUP(C:C,'[1]TOTAL APO'!$A:$B,2,0),)</f>
        <v>0</v>
      </c>
      <c r="M686" s="38">
        <f>IFERROR(VLOOKUP(A:A,[1]Short!$A:$Q,17,0),)</f>
        <v>0</v>
      </c>
      <c r="N686" s="38">
        <f>IFERROR(VLOOKUP(C:C,[1]GIT!$B:$D,3,0),)</f>
        <v>0</v>
      </c>
      <c r="O686" s="38">
        <f>IFERROR(VLOOKUP(A:A,[2]Sheet1!$A:$B,2,0),)</f>
        <v>10</v>
      </c>
      <c r="P686" s="38">
        <f>IFERROR(VLOOKUP(A:A,[2]Sheet1!$A:$B,2,0),)</f>
        <v>10</v>
      </c>
      <c r="Q686" s="38">
        <f t="shared" si="10"/>
        <v>0</v>
      </c>
      <c r="R686" s="38"/>
      <c r="S686" s="38"/>
    </row>
    <row r="687" spans="1:19" hidden="1" x14ac:dyDescent="0.25">
      <c r="A687" s="38" t="str">
        <f>F687&amp;C687</f>
        <v>C04340065256</v>
      </c>
      <c r="B687" s="38" t="str">
        <f>IF(J687&gt;=SUMIFS(E:E,C:C,C687),"Good to go","Short in Qty")</f>
        <v>Good to go</v>
      </c>
      <c r="C687" s="40">
        <v>40065256</v>
      </c>
      <c r="D687" s="40" t="s">
        <v>285</v>
      </c>
      <c r="E687" s="66">
        <v>34</v>
      </c>
      <c r="F687" s="38" t="s">
        <v>11</v>
      </c>
      <c r="G687" s="40" t="s">
        <v>467</v>
      </c>
      <c r="H687" s="38" t="s">
        <v>9</v>
      </c>
      <c r="I687" s="38" t="s">
        <v>530</v>
      </c>
      <c r="J687" s="38">
        <f>IFERROR(VLOOKUP(C:C,'[1]S&amp;S'!$B:$F,5,0),)</f>
        <v>49</v>
      </c>
      <c r="K687" s="38">
        <f>IFERROR(VLOOKUP(A:A,[1]APO!$A:$F,6,0),)</f>
        <v>0</v>
      </c>
      <c r="L687" s="38">
        <f>IFERROR(VLOOKUP(C:C,'[1]TOTAL APO'!$A:$B,2,0),)</f>
        <v>0</v>
      </c>
      <c r="M687" s="38">
        <f>IFERROR(VLOOKUP(A:A,[1]Short!$A:$Q,17,0),)</f>
        <v>0</v>
      </c>
      <c r="N687" s="38">
        <f>IFERROR(VLOOKUP(C:C,[1]GIT!$B:$D,3,0),)</f>
        <v>0</v>
      </c>
      <c r="O687" s="38">
        <f>IFERROR(VLOOKUP(A:A,[2]Sheet1!$A:$B,2,0),)</f>
        <v>34</v>
      </c>
      <c r="P687" s="38">
        <f>IFERROR(VLOOKUP(A:A,[2]Sheet1!$A:$B,2,0),)</f>
        <v>34</v>
      </c>
      <c r="Q687" s="38">
        <f t="shared" si="10"/>
        <v>0</v>
      </c>
      <c r="R687" s="38"/>
      <c r="S687" s="38"/>
    </row>
    <row r="688" spans="1:19" hidden="1" x14ac:dyDescent="0.25">
      <c r="A688" s="38" t="str">
        <f>F688&amp;C688</f>
        <v>C04840064518</v>
      </c>
      <c r="B688" s="38" t="str">
        <f>IF(J688&gt;=SUMIFS(E:E,C:C,C688),"Good to go","Short in Qty")</f>
        <v>Good to go</v>
      </c>
      <c r="C688" s="40">
        <v>40064518</v>
      </c>
      <c r="D688" s="40" t="s">
        <v>613</v>
      </c>
      <c r="E688" s="66">
        <v>1</v>
      </c>
      <c r="F688" s="38" t="s">
        <v>8</v>
      </c>
      <c r="G688" s="73" t="s">
        <v>467</v>
      </c>
      <c r="H688" s="38" t="s">
        <v>84</v>
      </c>
      <c r="I688" s="38" t="s">
        <v>620</v>
      </c>
      <c r="J688" s="38">
        <f>IFERROR(VLOOKUP(C:C,'[1]S&amp;S'!$B:$F,5,0),)</f>
        <v>158</v>
      </c>
      <c r="K688" s="38">
        <f>IFERROR(VLOOKUP(A:A,[1]APO!$A:$F,6,0),)</f>
        <v>0</v>
      </c>
      <c r="L688" s="38">
        <f>IFERROR(VLOOKUP(C:C,'[1]TOTAL APO'!$A:$B,2,0),)</f>
        <v>0</v>
      </c>
      <c r="M688" s="38">
        <f>IFERROR(VLOOKUP(A:A,[1]Short!$A:$Q,17,0),)</f>
        <v>0</v>
      </c>
      <c r="N688" s="38">
        <f>IFERROR(VLOOKUP(C:C,[1]GIT!$B:$D,3,0),)</f>
        <v>0</v>
      </c>
      <c r="O688" s="38">
        <f>IFERROR(VLOOKUP(A:A,[2]Sheet1!$A:$B,2,0),)</f>
        <v>1</v>
      </c>
      <c r="P688" s="38">
        <f>IFERROR(VLOOKUP(A:A,[2]Sheet1!$A:$B,2,0),)</f>
        <v>1</v>
      </c>
      <c r="Q688" s="38">
        <f t="shared" si="10"/>
        <v>0</v>
      </c>
      <c r="R688" s="38"/>
      <c r="S688" s="38"/>
    </row>
    <row r="689" spans="1:19" x14ac:dyDescent="0.25">
      <c r="A689" s="38" t="str">
        <f>F689&amp;C689</f>
        <v>C04640064886</v>
      </c>
      <c r="B689" s="38" t="str">
        <f>IF(J689&gt;=SUMIFS(E:E,C:C,C689),"Good to go","Short in Qty")</f>
        <v>Good to go</v>
      </c>
      <c r="C689" s="40">
        <v>40064886</v>
      </c>
      <c r="D689" s="40" t="s">
        <v>298</v>
      </c>
      <c r="E689" s="67">
        <v>1074</v>
      </c>
      <c r="F689" s="38" t="s">
        <v>13</v>
      </c>
      <c r="G689" s="40">
        <v>666</v>
      </c>
      <c r="H689" s="38" t="s">
        <v>9</v>
      </c>
      <c r="I689" s="38" t="s">
        <v>530</v>
      </c>
      <c r="J689" s="38">
        <f>IFERROR(VLOOKUP(C:C,'[1]S&amp;S'!$B:$F,5,0),)</f>
        <v>2424.916666666667</v>
      </c>
      <c r="K689" s="38">
        <f>IFERROR(VLOOKUP(A:A,[1]APO!$A:$F,6,0),)</f>
        <v>0</v>
      </c>
      <c r="L689" s="38">
        <f>IFERROR(VLOOKUP(C:C,'[1]TOTAL APO'!$A:$B,2,0),)</f>
        <v>0</v>
      </c>
      <c r="M689" s="38">
        <f>IFERROR(VLOOKUP(A:A,[1]Short!$A:$Q,17,0),)</f>
        <v>0</v>
      </c>
      <c r="N689" s="38">
        <f>IFERROR(VLOOKUP(C:C,[1]GIT!$B:$D,3,0),)</f>
        <v>1658</v>
      </c>
      <c r="O689" s="38">
        <f>IFERROR(VLOOKUP(A:A,[2]Sheet1!$A:$B,2,0),)</f>
        <v>666</v>
      </c>
      <c r="P689" s="38">
        <f>IFERROR(VLOOKUP(A:A,[2]Sheet1!$A:$B,2,0),)</f>
        <v>666</v>
      </c>
      <c r="Q689" s="38">
        <f t="shared" si="10"/>
        <v>408</v>
      </c>
      <c r="R689" s="38"/>
      <c r="S689" s="38"/>
    </row>
    <row r="690" spans="1:19" x14ac:dyDescent="0.25">
      <c r="A690" s="38" t="str">
        <f>F690&amp;C690</f>
        <v>C04740064886</v>
      </c>
      <c r="B690" s="38" t="str">
        <f>IF(J690&gt;=SUMIFS(E:E,C:C,C690),"Good to go","Short in Qty")</f>
        <v>Good to go</v>
      </c>
      <c r="C690" s="40">
        <v>40064886</v>
      </c>
      <c r="D690" s="40" t="s">
        <v>298</v>
      </c>
      <c r="E690" s="66">
        <v>318</v>
      </c>
      <c r="F690" s="38" t="s">
        <v>192</v>
      </c>
      <c r="G690" s="40">
        <v>119</v>
      </c>
      <c r="H690" s="38" t="s">
        <v>9</v>
      </c>
      <c r="I690" s="38" t="s">
        <v>530</v>
      </c>
      <c r="J690" s="38">
        <f>IFERROR(VLOOKUP(C:C,'[1]S&amp;S'!$B:$F,5,0),)</f>
        <v>2424.916666666667</v>
      </c>
      <c r="K690" s="38">
        <f>IFERROR(VLOOKUP(A:A,[1]APO!$A:$F,6,0),)</f>
        <v>0</v>
      </c>
      <c r="L690" s="38">
        <f>IFERROR(VLOOKUP(C:C,'[1]TOTAL APO'!$A:$B,2,0),)</f>
        <v>0</v>
      </c>
      <c r="M690" s="38">
        <f>IFERROR(VLOOKUP(A:A,[1]Short!$A:$Q,17,0),)</f>
        <v>0</v>
      </c>
      <c r="N690" s="38">
        <f>IFERROR(VLOOKUP(C:C,[1]GIT!$B:$D,3,0),)</f>
        <v>1658</v>
      </c>
      <c r="O690" s="38">
        <f>IFERROR(VLOOKUP(A:A,[2]Sheet1!$A:$B,2,0),)</f>
        <v>0</v>
      </c>
      <c r="P690" s="38">
        <f>IFERROR(VLOOKUP(A:A,[2]Sheet1!$A:$B,2,0),)</f>
        <v>0</v>
      </c>
      <c r="Q690" s="38">
        <f t="shared" si="10"/>
        <v>318</v>
      </c>
      <c r="R690" s="38"/>
      <c r="S690" s="38"/>
    </row>
    <row r="691" spans="1:19" x14ac:dyDescent="0.25">
      <c r="A691" s="38" t="str">
        <f>F691&amp;C691</f>
        <v>C04640065256</v>
      </c>
      <c r="B691" s="38" t="str">
        <f>IF(J691&gt;=SUMIFS(E:E,C:C,C691),"Good to go","Short in Qty")</f>
        <v>Good to go</v>
      </c>
      <c r="C691" s="40">
        <v>40065256</v>
      </c>
      <c r="D691" s="40" t="s">
        <v>285</v>
      </c>
      <c r="E691" s="66">
        <v>3</v>
      </c>
      <c r="F691" s="38" t="s">
        <v>13</v>
      </c>
      <c r="G691" s="40"/>
      <c r="H691" s="38" t="s">
        <v>9</v>
      </c>
      <c r="I691" s="38" t="s">
        <v>530</v>
      </c>
      <c r="J691" s="38">
        <f>IFERROR(VLOOKUP(C:C,'[1]S&amp;S'!$B:$F,5,0),)</f>
        <v>49</v>
      </c>
      <c r="K691" s="38">
        <f>IFERROR(VLOOKUP(A:A,[1]APO!$A:$F,6,0),)</f>
        <v>0</v>
      </c>
      <c r="L691" s="38">
        <f>IFERROR(VLOOKUP(C:C,'[1]TOTAL APO'!$A:$B,2,0),)</f>
        <v>0</v>
      </c>
      <c r="M691" s="38">
        <f>IFERROR(VLOOKUP(A:A,[1]Short!$A:$Q,17,0),)</f>
        <v>0</v>
      </c>
      <c r="N691" s="38">
        <f>IFERROR(VLOOKUP(C:C,[1]GIT!$B:$D,3,0),)</f>
        <v>0</v>
      </c>
      <c r="O691" s="38">
        <f>IFERROR(VLOOKUP(A:A,[2]Sheet1!$A:$B,2,0),)</f>
        <v>0</v>
      </c>
      <c r="P691" s="38">
        <f>IFERROR(VLOOKUP(A:A,[2]Sheet1!$A:$B,2,0),)</f>
        <v>0</v>
      </c>
      <c r="Q691" s="38">
        <f t="shared" si="10"/>
        <v>3</v>
      </c>
      <c r="R691" s="38"/>
      <c r="S691" s="38"/>
    </row>
    <row r="692" spans="1:19" hidden="1" x14ac:dyDescent="0.25">
      <c r="A692" s="38" t="str">
        <f>F692&amp;C692</f>
        <v>C04840064430</v>
      </c>
      <c r="B692" s="38" t="str">
        <f>IF(J692&gt;=SUMIFS(E:E,C:C,C692),"Good to go","Short in Qty")</f>
        <v>Good to go</v>
      </c>
      <c r="C692" s="40">
        <v>40064430</v>
      </c>
      <c r="D692" s="40" t="s">
        <v>561</v>
      </c>
      <c r="E692" s="66">
        <v>2</v>
      </c>
      <c r="F692" s="38" t="s">
        <v>8</v>
      </c>
      <c r="G692" s="40" t="s">
        <v>467</v>
      </c>
      <c r="H692" s="38" t="s">
        <v>594</v>
      </c>
      <c r="I692" s="38" t="s">
        <v>595</v>
      </c>
      <c r="J692" s="38">
        <f>IFERROR(VLOOKUP(C:C,'[1]S&amp;S'!$B:$F,5,0),)</f>
        <v>120</v>
      </c>
      <c r="K692" s="38">
        <f>IFERROR(VLOOKUP(A:A,[1]APO!$A:$F,6,0),)</f>
        <v>0</v>
      </c>
      <c r="L692" s="38">
        <f>IFERROR(VLOOKUP(C:C,'[1]TOTAL APO'!$A:$B,2,0),)</f>
        <v>0</v>
      </c>
      <c r="M692" s="38">
        <f>IFERROR(VLOOKUP(A:A,[1]Short!$A:$Q,17,0),)</f>
        <v>0</v>
      </c>
      <c r="N692" s="38">
        <f>IFERROR(VLOOKUP(C:C,[1]GIT!$B:$D,3,0),)</f>
        <v>120</v>
      </c>
      <c r="O692" s="38">
        <f>IFERROR(VLOOKUP(A:A,[2]Sheet1!$A:$B,2,0),)</f>
        <v>2</v>
      </c>
      <c r="P692" s="38">
        <f>IFERROR(VLOOKUP(A:A,[2]Sheet1!$A:$B,2,0),)</f>
        <v>2</v>
      </c>
      <c r="Q692" s="38">
        <f t="shared" si="10"/>
        <v>0</v>
      </c>
      <c r="R692" s="38"/>
      <c r="S692" s="38"/>
    </row>
    <row r="693" spans="1:19" hidden="1" x14ac:dyDescent="0.25">
      <c r="A693" s="38" t="str">
        <f>F693&amp;C693</f>
        <v>C04440065278</v>
      </c>
      <c r="B693" s="38" t="str">
        <f>IF(J693&gt;=SUMIFS(E:E,C:C,C693),"Good to go","Short in Qty")</f>
        <v>Good to go</v>
      </c>
      <c r="C693" s="40">
        <v>40065278</v>
      </c>
      <c r="D693" s="40" t="s">
        <v>559</v>
      </c>
      <c r="E693" s="66">
        <v>40</v>
      </c>
      <c r="F693" s="38" t="s">
        <v>191</v>
      </c>
      <c r="G693" s="40" t="s">
        <v>467</v>
      </c>
      <c r="H693" s="38" t="s">
        <v>84</v>
      </c>
      <c r="I693" s="38" t="s">
        <v>620</v>
      </c>
      <c r="J693" s="38">
        <f>IFERROR(VLOOKUP(C:C,'[1]S&amp;S'!$B:$F,5,0),)</f>
        <v>350</v>
      </c>
      <c r="K693" s="38">
        <f>IFERROR(VLOOKUP(A:A,[1]APO!$A:$F,6,0),)</f>
        <v>0</v>
      </c>
      <c r="L693" s="38">
        <f>IFERROR(VLOOKUP(C:C,'[1]TOTAL APO'!$A:$B,2,0),)</f>
        <v>0</v>
      </c>
      <c r="M693" s="38">
        <f>IFERROR(VLOOKUP(A:A,[1]Short!$A:$Q,17,0),)</f>
        <v>0</v>
      </c>
      <c r="N693" s="38">
        <f>IFERROR(VLOOKUP(C:C,[1]GIT!$B:$D,3,0),)</f>
        <v>0</v>
      </c>
      <c r="O693" s="38">
        <f>IFERROR(VLOOKUP(A:A,[2]Sheet1!$A:$B,2,0),)</f>
        <v>40</v>
      </c>
      <c r="P693" s="38">
        <f>IFERROR(VLOOKUP(A:A,[2]Sheet1!$A:$B,2,0),)</f>
        <v>40</v>
      </c>
      <c r="Q693" s="38">
        <f t="shared" si="10"/>
        <v>0</v>
      </c>
      <c r="R693" s="38"/>
      <c r="S693" s="38"/>
    </row>
    <row r="694" spans="1:19" x14ac:dyDescent="0.25">
      <c r="A694" s="38" t="str">
        <f>F694&amp;C694</f>
        <v>C04340065002</v>
      </c>
      <c r="B694" s="38" t="str">
        <f>IF(J694&gt;=SUMIFS(E:E,C:C,C694),"Good to go","Short in Qty")</f>
        <v>Good to go</v>
      </c>
      <c r="C694" s="40">
        <v>40065002</v>
      </c>
      <c r="D694" s="40" t="s">
        <v>291</v>
      </c>
      <c r="E694" s="66">
        <v>100</v>
      </c>
      <c r="F694" s="38" t="s">
        <v>11</v>
      </c>
      <c r="G694" s="40" t="s">
        <v>467</v>
      </c>
      <c r="H694" s="38" t="s">
        <v>9</v>
      </c>
      <c r="I694" s="38" t="s">
        <v>530</v>
      </c>
      <c r="J694" s="38">
        <f>IFERROR(VLOOKUP(C:C,'[1]S&amp;S'!$B:$F,5,0),)</f>
        <v>377</v>
      </c>
      <c r="K694" s="38">
        <f>IFERROR(VLOOKUP(A:A,[1]APO!$A:$F,6,0),)</f>
        <v>0</v>
      </c>
      <c r="L694" s="38">
        <f>IFERROR(VLOOKUP(C:C,'[1]TOTAL APO'!$A:$B,2,0),)</f>
        <v>0</v>
      </c>
      <c r="M694" s="38">
        <f>IFERROR(VLOOKUP(A:A,[1]Short!$A:$Q,17,0),)</f>
        <v>0</v>
      </c>
      <c r="N694" s="38">
        <f>IFERROR(VLOOKUP(C:C,[1]GIT!$B:$D,3,0),)</f>
        <v>360</v>
      </c>
      <c r="O694" s="38">
        <f>IFERROR(VLOOKUP(A:A,[2]Sheet1!$A:$B,2,0),)</f>
        <v>17</v>
      </c>
      <c r="P694" s="38">
        <f>IFERROR(VLOOKUP(A:A,[2]Sheet1!$A:$B,2,0),)</f>
        <v>17</v>
      </c>
      <c r="Q694" s="38">
        <f t="shared" si="10"/>
        <v>83</v>
      </c>
      <c r="R694" s="38"/>
      <c r="S694" s="38"/>
    </row>
    <row r="695" spans="1:19" hidden="1" x14ac:dyDescent="0.25">
      <c r="A695" s="38" t="str">
        <f>F695&amp;C695</f>
        <v>C04840064428</v>
      </c>
      <c r="B695" s="38" t="str">
        <f>IF(J695&gt;=SUMIFS(E:E,C:C,C695),"Good to go","Short in Qty")</f>
        <v>Good to go</v>
      </c>
      <c r="C695" s="40">
        <v>40064428</v>
      </c>
      <c r="D695" s="40" t="s">
        <v>336</v>
      </c>
      <c r="E695" s="66">
        <v>19</v>
      </c>
      <c r="F695" s="38" t="s">
        <v>8</v>
      </c>
      <c r="G695" s="40" t="s">
        <v>467</v>
      </c>
      <c r="H695" s="38" t="s">
        <v>151</v>
      </c>
      <c r="I695" s="38" t="s">
        <v>369</v>
      </c>
      <c r="J695" s="38">
        <f>IFERROR(VLOOKUP(C:C,'[1]S&amp;S'!$B:$F,5,0),)</f>
        <v>70</v>
      </c>
      <c r="K695" s="38">
        <f>IFERROR(VLOOKUP(A:A,[1]APO!$A:$F,6,0),)</f>
        <v>0</v>
      </c>
      <c r="L695" s="38">
        <f>IFERROR(VLOOKUP(C:C,'[1]TOTAL APO'!$A:$B,2,0),)</f>
        <v>0</v>
      </c>
      <c r="M695" s="38">
        <f>IFERROR(VLOOKUP(A:A,[1]Short!$A:$Q,17,0),)</f>
        <v>0</v>
      </c>
      <c r="N695" s="38">
        <f>IFERROR(VLOOKUP(C:C,[1]GIT!$B:$D,3,0),)</f>
        <v>70</v>
      </c>
      <c r="O695" s="38">
        <f>IFERROR(VLOOKUP(A:A,[2]Sheet1!$A:$B,2,0),)</f>
        <v>19</v>
      </c>
      <c r="P695" s="38">
        <f>IFERROR(VLOOKUP(A:A,[2]Sheet1!$A:$B,2,0),)</f>
        <v>19</v>
      </c>
      <c r="Q695" s="38">
        <f t="shared" si="10"/>
        <v>0</v>
      </c>
      <c r="R695" s="38"/>
      <c r="S695" s="38"/>
    </row>
    <row r="696" spans="1:19" hidden="1" x14ac:dyDescent="0.25">
      <c r="A696" s="38" t="str">
        <f>F696&amp;C696</f>
        <v>C04740065040</v>
      </c>
      <c r="B696" s="38" t="str">
        <f>IF(J696&gt;=SUMIFS(E:E,C:C,C696),"Good to go","Short in Qty")</f>
        <v>Good to go</v>
      </c>
      <c r="C696" s="40">
        <v>40065040</v>
      </c>
      <c r="D696" s="40" t="s">
        <v>498</v>
      </c>
      <c r="E696" s="66">
        <v>2</v>
      </c>
      <c r="F696" s="38" t="s">
        <v>192</v>
      </c>
      <c r="G696" s="40"/>
      <c r="H696" s="38" t="s">
        <v>84</v>
      </c>
      <c r="I696" s="38" t="s">
        <v>620</v>
      </c>
      <c r="J696" s="38">
        <f>IFERROR(VLOOKUP(C:C,'[1]S&amp;S'!$B:$F,5,0),)</f>
        <v>164</v>
      </c>
      <c r="K696" s="38">
        <f>IFERROR(VLOOKUP(A:A,[1]APO!$A:$F,6,0),)</f>
        <v>0</v>
      </c>
      <c r="L696" s="38">
        <f>IFERROR(VLOOKUP(C:C,'[1]TOTAL APO'!$A:$B,2,0),)</f>
        <v>0</v>
      </c>
      <c r="M696" s="38">
        <f>IFERROR(VLOOKUP(A:A,[1]Short!$A:$Q,17,0),)</f>
        <v>0</v>
      </c>
      <c r="N696" s="38">
        <f>IFERROR(VLOOKUP(C:C,[1]GIT!$B:$D,3,0),)</f>
        <v>160</v>
      </c>
      <c r="O696" s="38">
        <f>IFERROR(VLOOKUP(A:A,[2]Sheet1!$A:$B,2,0),)</f>
        <v>0</v>
      </c>
      <c r="P696" s="38">
        <f>IFERROR(VLOOKUP(A:A,[2]Sheet1!$A:$B,2,0),)</f>
        <v>0</v>
      </c>
      <c r="Q696" s="38">
        <f t="shared" si="10"/>
        <v>2</v>
      </c>
      <c r="R696" s="38"/>
      <c r="S696" s="38"/>
    </row>
    <row r="697" spans="1:19" hidden="1" x14ac:dyDescent="0.25">
      <c r="A697" s="38" t="str">
        <f>F697&amp;C697</f>
        <v>C04840064558</v>
      </c>
      <c r="B697" s="38" t="str">
        <f>IF(J697&gt;=SUMIFS(E:E,C:C,C697),"Good to go","Short in Qty")</f>
        <v>Good to go</v>
      </c>
      <c r="C697" s="40">
        <v>40064558</v>
      </c>
      <c r="D697" s="40" t="s">
        <v>534</v>
      </c>
      <c r="E697" s="66">
        <v>10</v>
      </c>
      <c r="F697" s="38" t="s">
        <v>8</v>
      </c>
      <c r="G697" s="40" t="s">
        <v>467</v>
      </c>
      <c r="H697" s="38" t="s">
        <v>594</v>
      </c>
      <c r="I697" s="38" t="s">
        <v>595</v>
      </c>
      <c r="J697" s="38">
        <f>IFERROR(VLOOKUP(C:C,'[1]S&amp;S'!$B:$F,5,0),)</f>
        <v>50</v>
      </c>
      <c r="K697" s="38">
        <f>IFERROR(VLOOKUP(A:A,[1]APO!$A:$F,6,0),)</f>
        <v>0</v>
      </c>
      <c r="L697" s="38">
        <f>IFERROR(VLOOKUP(C:C,'[1]TOTAL APO'!$A:$B,2,0),)</f>
        <v>0</v>
      </c>
      <c r="M697" s="38">
        <f>IFERROR(VLOOKUP(A:A,[1]Short!$A:$Q,17,0),)</f>
        <v>0</v>
      </c>
      <c r="N697" s="38">
        <f>IFERROR(VLOOKUP(C:C,[1]GIT!$B:$D,3,0),)</f>
        <v>50</v>
      </c>
      <c r="O697" s="38">
        <f>IFERROR(VLOOKUP(A:A,[2]Sheet1!$A:$B,2,0),)</f>
        <v>10</v>
      </c>
      <c r="P697" s="38">
        <f>IFERROR(VLOOKUP(A:A,[2]Sheet1!$A:$B,2,0),)</f>
        <v>10</v>
      </c>
      <c r="Q697" s="38">
        <f t="shared" si="10"/>
        <v>0</v>
      </c>
      <c r="R697" s="38">
        <v>1</v>
      </c>
      <c r="S697" s="38"/>
    </row>
    <row r="698" spans="1:19" hidden="1" x14ac:dyDescent="0.25">
      <c r="A698" s="38" t="str">
        <f>F698&amp;C698</f>
        <v>C04840063168</v>
      </c>
      <c r="B698" s="38" t="str">
        <f>IF(J698&gt;=SUMIFS(E:E,C:C,C698),"Good to go","Short in Qty")</f>
        <v>Good to go</v>
      </c>
      <c r="C698" s="40">
        <v>40063168</v>
      </c>
      <c r="D698" s="40" t="s">
        <v>277</v>
      </c>
      <c r="E698" s="66">
        <v>215</v>
      </c>
      <c r="F698" s="38" t="s">
        <v>8</v>
      </c>
      <c r="G698" s="40" t="s">
        <v>467</v>
      </c>
      <c r="H698" s="38" t="s">
        <v>84</v>
      </c>
      <c r="I698" s="38" t="s">
        <v>620</v>
      </c>
      <c r="J698" s="38">
        <f>IFERROR(VLOOKUP(C:C,'[1]S&amp;S'!$B:$F,5,0),)</f>
        <v>539</v>
      </c>
      <c r="K698" s="38">
        <f>IFERROR(VLOOKUP(A:A,[1]APO!$A:$F,6,0),)</f>
        <v>0</v>
      </c>
      <c r="L698" s="38">
        <f>IFERROR(VLOOKUP(C:C,'[1]TOTAL APO'!$A:$B,2,0),)</f>
        <v>0</v>
      </c>
      <c r="M698" s="38">
        <f>IFERROR(VLOOKUP(A:A,[1]Short!$A:$Q,17,0),)</f>
        <v>0</v>
      </c>
      <c r="N698" s="38">
        <f>IFERROR(VLOOKUP(C:C,[1]GIT!$B:$D,3,0),)</f>
        <v>0</v>
      </c>
      <c r="O698" s="38">
        <f>IFERROR(VLOOKUP(A:A,[2]Sheet1!$A:$B,2,0),)</f>
        <v>215</v>
      </c>
      <c r="P698" s="38">
        <f>IFERROR(VLOOKUP(A:A,[2]Sheet1!$A:$B,2,0),)</f>
        <v>215</v>
      </c>
      <c r="Q698" s="38">
        <f t="shared" si="10"/>
        <v>0</v>
      </c>
      <c r="R698" s="38"/>
      <c r="S698" s="38"/>
    </row>
    <row r="699" spans="1:19" hidden="1" x14ac:dyDescent="0.25">
      <c r="A699" s="38" t="str">
        <f>F699&amp;C699</f>
        <v>C04840050411</v>
      </c>
      <c r="B699" s="38" t="str">
        <f>IF(J699&gt;=SUMIFS(E:E,C:C,C699),"Good to go","Short in Qty")</f>
        <v>Good to go</v>
      </c>
      <c r="C699" s="40">
        <v>40050411</v>
      </c>
      <c r="D699" s="40" t="s">
        <v>296</v>
      </c>
      <c r="E699" s="66">
        <v>57</v>
      </c>
      <c r="F699" s="38" t="s">
        <v>8</v>
      </c>
      <c r="G699" s="73" t="s">
        <v>467</v>
      </c>
      <c r="H699" s="38" t="s">
        <v>84</v>
      </c>
      <c r="I699" s="38" t="s">
        <v>620</v>
      </c>
      <c r="J699" s="38">
        <f>IFERROR(VLOOKUP(C:C,'[1]S&amp;S'!$B:$F,5,0),)</f>
        <v>994.00633333333303</v>
      </c>
      <c r="K699" s="38">
        <f>IFERROR(VLOOKUP(A:A,[1]APO!$A:$F,6,0),)</f>
        <v>0</v>
      </c>
      <c r="L699" s="38">
        <f>IFERROR(VLOOKUP(C:C,'[1]TOTAL APO'!$A:$B,2,0),)</f>
        <v>0</v>
      </c>
      <c r="M699" s="38">
        <f>IFERROR(VLOOKUP(A:A,[1]Short!$A:$Q,17,0),)</f>
        <v>0</v>
      </c>
      <c r="N699" s="38">
        <f>IFERROR(VLOOKUP(C:C,[1]GIT!$B:$D,3,0),)</f>
        <v>0</v>
      </c>
      <c r="O699" s="38">
        <f>IFERROR(VLOOKUP(A:A,[2]Sheet1!$A:$B,2,0),)</f>
        <v>57</v>
      </c>
      <c r="P699" s="38">
        <f>IFERROR(VLOOKUP(A:A,[2]Sheet1!$A:$B,2,0),)</f>
        <v>57</v>
      </c>
      <c r="Q699" s="38">
        <f t="shared" si="10"/>
        <v>0</v>
      </c>
      <c r="R699" s="38"/>
      <c r="S699" s="38"/>
    </row>
    <row r="700" spans="1:19" x14ac:dyDescent="0.25">
      <c r="A700" s="38" t="str">
        <f>F700&amp;C700</f>
        <v>C04240065289</v>
      </c>
      <c r="B700" s="38" t="str">
        <f>IF(J700&gt;=SUMIFS(E:E,C:C,C700),"Good to go","Short in Qty")</f>
        <v>Short in Qty</v>
      </c>
      <c r="C700" s="40">
        <v>40065289</v>
      </c>
      <c r="D700" s="40" t="s">
        <v>597</v>
      </c>
      <c r="E700" s="66">
        <v>600</v>
      </c>
      <c r="F700" s="38" t="s">
        <v>10</v>
      </c>
      <c r="G700" s="40" t="s">
        <v>195</v>
      </c>
      <c r="H700" s="38" t="s">
        <v>598</v>
      </c>
      <c r="I700" s="38" t="s">
        <v>599</v>
      </c>
      <c r="J700" s="38">
        <f>IFERROR(VLOOKUP(C:C,'[1]S&amp;S'!$B:$F,5,0),)</f>
        <v>0.83333333333333004</v>
      </c>
      <c r="K700" s="38">
        <f>IFERROR(VLOOKUP(A:A,[1]APO!$A:$F,6,0),)</f>
        <v>0</v>
      </c>
      <c r="L700" s="38">
        <f>IFERROR(VLOOKUP(C:C,'[1]TOTAL APO'!$A:$B,2,0),)</f>
        <v>0</v>
      </c>
      <c r="M700" s="38">
        <f>IFERROR(VLOOKUP(A:A,[1]Short!$A:$Q,17,0),)</f>
        <v>0</v>
      </c>
      <c r="N700" s="38">
        <f>IFERROR(VLOOKUP(C:C,[1]GIT!$B:$D,3,0),)</f>
        <v>0</v>
      </c>
      <c r="O700" s="38">
        <f>IFERROR(VLOOKUP(A:A,[2]Sheet1!$A:$B,2,0),)</f>
        <v>0</v>
      </c>
      <c r="P700" s="38">
        <f>IFERROR(VLOOKUP(A:A,[2]Sheet1!$A:$B,2,0),)</f>
        <v>0</v>
      </c>
      <c r="Q700" s="38">
        <f t="shared" si="10"/>
        <v>600</v>
      </c>
      <c r="R700" s="38"/>
      <c r="S700" s="38"/>
    </row>
    <row r="701" spans="1:19" hidden="1" x14ac:dyDescent="0.25">
      <c r="A701" s="38" t="str">
        <f>F701&amp;C701</f>
        <v>C04240065335</v>
      </c>
      <c r="B701" s="38" t="str">
        <f>IF(J701&gt;=SUMIFS(E:E,C:C,C701),"Good to go","Short in Qty")</f>
        <v>Good to go</v>
      </c>
      <c r="C701" s="40">
        <v>40065335</v>
      </c>
      <c r="D701" s="40" t="s">
        <v>284</v>
      </c>
      <c r="E701" s="66">
        <v>4</v>
      </c>
      <c r="F701" s="38" t="s">
        <v>10</v>
      </c>
      <c r="G701" s="40" t="s">
        <v>467</v>
      </c>
      <c r="H701" s="38" t="s">
        <v>9</v>
      </c>
      <c r="I701" s="38" t="s">
        <v>530</v>
      </c>
      <c r="J701" s="38">
        <f>IFERROR(VLOOKUP(C:C,'[1]S&amp;S'!$B:$F,5,0),)</f>
        <v>34</v>
      </c>
      <c r="K701" s="38">
        <f>IFERROR(VLOOKUP(A:A,[1]APO!$A:$F,6,0),)</f>
        <v>0</v>
      </c>
      <c r="L701" s="38">
        <f>IFERROR(VLOOKUP(C:C,'[1]TOTAL APO'!$A:$B,2,0),)</f>
        <v>0</v>
      </c>
      <c r="M701" s="38">
        <f>IFERROR(VLOOKUP(A:A,[1]Short!$A:$Q,17,0),)</f>
        <v>0</v>
      </c>
      <c r="N701" s="38">
        <f>IFERROR(VLOOKUP(C:C,[1]GIT!$B:$D,3,0),)</f>
        <v>0</v>
      </c>
      <c r="O701" s="38">
        <f>IFERROR(VLOOKUP(A:A,[2]Sheet1!$A:$B,2,0),)</f>
        <v>4</v>
      </c>
      <c r="P701" s="38">
        <f>IFERROR(VLOOKUP(A:A,[2]Sheet1!$A:$B,2,0),)</f>
        <v>4</v>
      </c>
      <c r="Q701" s="38">
        <f t="shared" si="10"/>
        <v>0</v>
      </c>
      <c r="R701" s="38"/>
      <c r="S701" s="38"/>
    </row>
    <row r="702" spans="1:19" hidden="1" x14ac:dyDescent="0.25">
      <c r="A702" s="38" t="str">
        <f>F702&amp;C702</f>
        <v>C04840065336</v>
      </c>
      <c r="B702" s="38" t="str">
        <f>IF(J702&gt;=SUMIFS(E:E,C:C,C702),"Good to go","Short in Qty")</f>
        <v>Good to go</v>
      </c>
      <c r="C702" s="40">
        <v>40065336</v>
      </c>
      <c r="D702" s="40" t="s">
        <v>533</v>
      </c>
      <c r="E702" s="66">
        <v>128</v>
      </c>
      <c r="F702" s="38" t="s">
        <v>8</v>
      </c>
      <c r="G702" s="40" t="s">
        <v>467</v>
      </c>
      <c r="H702" s="38" t="s">
        <v>84</v>
      </c>
      <c r="I702" s="38" t="s">
        <v>620</v>
      </c>
      <c r="J702" s="38">
        <f>IFERROR(VLOOKUP(C:C,'[1]S&amp;S'!$B:$F,5,0),)</f>
        <v>2559</v>
      </c>
      <c r="K702" s="38">
        <f>IFERROR(VLOOKUP(A:A,[1]APO!$A:$F,6,0),)</f>
        <v>0</v>
      </c>
      <c r="L702" s="38">
        <f>IFERROR(VLOOKUP(C:C,'[1]TOTAL APO'!$A:$B,2,0),)</f>
        <v>0</v>
      </c>
      <c r="M702" s="38">
        <f>IFERROR(VLOOKUP(A:A,[1]Short!$A:$Q,17,0),)</f>
        <v>0</v>
      </c>
      <c r="N702" s="38">
        <f>IFERROR(VLOOKUP(C:C,[1]GIT!$B:$D,3,0),)</f>
        <v>0</v>
      </c>
      <c r="O702" s="38">
        <f>IFERROR(VLOOKUP(A:A,[2]Sheet1!$A:$B,2,0),)</f>
        <v>128</v>
      </c>
      <c r="P702" s="38">
        <f>IFERROR(VLOOKUP(A:A,[2]Sheet1!$A:$B,2,0),)</f>
        <v>128</v>
      </c>
      <c r="Q702" s="38">
        <f t="shared" si="10"/>
        <v>0</v>
      </c>
      <c r="R702" s="38"/>
      <c r="S702" s="38"/>
    </row>
    <row r="703" spans="1:19" hidden="1" x14ac:dyDescent="0.25">
      <c r="A703" s="38" t="str">
        <f>F703&amp;C703</f>
        <v>C04340065343</v>
      </c>
      <c r="B703" s="38" t="str">
        <f>IF(J703&gt;=SUMIFS(E:E,C:C,C703),"Good to go","Short in Qty")</f>
        <v>Short in Qty</v>
      </c>
      <c r="C703" s="40">
        <v>40065343</v>
      </c>
      <c r="D703" s="40" t="s">
        <v>566</v>
      </c>
      <c r="E703" s="66">
        <v>30</v>
      </c>
      <c r="F703" s="38" t="s">
        <v>11</v>
      </c>
      <c r="G703" s="40" t="s">
        <v>596</v>
      </c>
      <c r="H703" s="38" t="s">
        <v>594</v>
      </c>
      <c r="I703" s="38" t="s">
        <v>595</v>
      </c>
      <c r="J703" s="38">
        <f>IFERROR(VLOOKUP(C:C,'[1]S&amp;S'!$B:$F,5,0),)</f>
        <v>0</v>
      </c>
      <c r="K703" s="38">
        <f>IFERROR(VLOOKUP(A:A,[1]APO!$A:$F,6,0),)</f>
        <v>0</v>
      </c>
      <c r="L703" s="38">
        <f>IFERROR(VLOOKUP(C:C,'[1]TOTAL APO'!$A:$B,2,0),)</f>
        <v>0</v>
      </c>
      <c r="M703" s="38">
        <f>IFERROR(VLOOKUP(A:A,[1]Short!$A:$Q,17,0),)</f>
        <v>0</v>
      </c>
      <c r="N703" s="38">
        <f>IFERROR(VLOOKUP(C:C,[1]GIT!$B:$D,3,0),)</f>
        <v>0</v>
      </c>
      <c r="O703" s="38">
        <f>IFERROR(VLOOKUP(A:A,[2]Sheet1!$A:$B,2,0),)</f>
        <v>0</v>
      </c>
      <c r="P703" s="38">
        <f>IFERROR(VLOOKUP(A:A,[2]Sheet1!$A:$B,2,0),)</f>
        <v>0</v>
      </c>
      <c r="Q703" s="38">
        <f t="shared" si="10"/>
        <v>30</v>
      </c>
      <c r="R703" s="38"/>
      <c r="S703" s="38"/>
    </row>
    <row r="704" spans="1:19" hidden="1" x14ac:dyDescent="0.25">
      <c r="A704" s="38" t="str">
        <f>F704&amp;C704</f>
        <v>C04840063805</v>
      </c>
      <c r="B704" s="38" t="str">
        <f>IF(J704&gt;=SUMIFS(E:E,C:C,C704),"Good to go","Short in Qty")</f>
        <v>Good to go</v>
      </c>
      <c r="C704" s="40">
        <v>40063805</v>
      </c>
      <c r="D704" s="40" t="s">
        <v>287</v>
      </c>
      <c r="E704" s="66">
        <v>24</v>
      </c>
      <c r="F704" s="38" t="s">
        <v>8</v>
      </c>
      <c r="G704" s="73" t="s">
        <v>467</v>
      </c>
      <c r="H704" s="38" t="s">
        <v>84</v>
      </c>
      <c r="I704" s="38" t="s">
        <v>620</v>
      </c>
      <c r="J704" s="38">
        <f>IFERROR(VLOOKUP(C:C,'[1]S&amp;S'!$B:$F,5,0),)</f>
        <v>26</v>
      </c>
      <c r="K704" s="38">
        <f>IFERROR(VLOOKUP(A:A,[1]APO!$A:$F,6,0),)</f>
        <v>0</v>
      </c>
      <c r="L704" s="38">
        <f>IFERROR(VLOOKUP(C:C,'[1]TOTAL APO'!$A:$B,2,0),)</f>
        <v>0</v>
      </c>
      <c r="M704" s="38">
        <f>IFERROR(VLOOKUP(A:A,[1]Short!$A:$Q,17,0),)</f>
        <v>0</v>
      </c>
      <c r="N704" s="38">
        <f>IFERROR(VLOOKUP(C:C,[1]GIT!$B:$D,3,0),)</f>
        <v>0</v>
      </c>
      <c r="O704" s="38">
        <f>IFERROR(VLOOKUP(A:A,[2]Sheet1!$A:$B,2,0),)</f>
        <v>24</v>
      </c>
      <c r="P704" s="38">
        <f>IFERROR(VLOOKUP(A:A,[2]Sheet1!$A:$B,2,0),)</f>
        <v>24</v>
      </c>
      <c r="Q704" s="38">
        <f t="shared" si="10"/>
        <v>0</v>
      </c>
      <c r="R704" s="38"/>
      <c r="S704" s="38"/>
    </row>
    <row r="705" spans="1:19" hidden="1" x14ac:dyDescent="0.25">
      <c r="A705" s="38" t="str">
        <f>F705&amp;C705</f>
        <v>C04840064535</v>
      </c>
      <c r="B705" s="38" t="str">
        <f>IF(J705&gt;=SUMIFS(E:E,C:C,C705),"Good to go","Short in Qty")</f>
        <v>Good to go</v>
      </c>
      <c r="C705" s="40">
        <v>40064535</v>
      </c>
      <c r="D705" s="40" t="s">
        <v>450</v>
      </c>
      <c r="E705" s="66">
        <v>20</v>
      </c>
      <c r="F705" s="38" t="s">
        <v>8</v>
      </c>
      <c r="G705" s="40" t="s">
        <v>467</v>
      </c>
      <c r="H705" s="38" t="s">
        <v>594</v>
      </c>
      <c r="I705" s="38" t="s">
        <v>595</v>
      </c>
      <c r="J705" s="38">
        <f>IFERROR(VLOOKUP(C:C,'[1]S&amp;S'!$B:$F,5,0),)</f>
        <v>807.5</v>
      </c>
      <c r="K705" s="38">
        <f>IFERROR(VLOOKUP(A:A,[1]APO!$A:$F,6,0),)</f>
        <v>0</v>
      </c>
      <c r="L705" s="38">
        <f>IFERROR(VLOOKUP(C:C,'[1]TOTAL APO'!$A:$B,2,0),)</f>
        <v>0</v>
      </c>
      <c r="M705" s="38">
        <f>IFERROR(VLOOKUP(A:A,[1]Short!$A:$Q,17,0),)</f>
        <v>0</v>
      </c>
      <c r="N705" s="38">
        <f>IFERROR(VLOOKUP(C:C,[1]GIT!$B:$D,3,0),)</f>
        <v>0</v>
      </c>
      <c r="O705" s="38">
        <f>IFERROR(VLOOKUP(A:A,[2]Sheet1!$A:$B,2,0),)</f>
        <v>20</v>
      </c>
      <c r="P705" s="38">
        <f>IFERROR(VLOOKUP(A:A,[2]Sheet1!$A:$B,2,0),)</f>
        <v>20</v>
      </c>
      <c r="Q705" s="38">
        <f t="shared" si="10"/>
        <v>0</v>
      </c>
      <c r="R705" s="38"/>
      <c r="S705" s="38"/>
    </row>
    <row r="706" spans="1:19" hidden="1" x14ac:dyDescent="0.25">
      <c r="A706" s="38" t="str">
        <f>F706&amp;C706</f>
        <v>C04840064709</v>
      </c>
      <c r="B706" s="38" t="str">
        <f>IF(J706&gt;=SUMIFS(E:E,C:C,C706),"Good to go","Short in Qty")</f>
        <v>Good to go</v>
      </c>
      <c r="C706" s="40">
        <v>40064709</v>
      </c>
      <c r="D706" s="40" t="s">
        <v>347</v>
      </c>
      <c r="E706" s="66">
        <v>9</v>
      </c>
      <c r="F706" s="38" t="s">
        <v>8</v>
      </c>
      <c r="G706" s="40" t="s">
        <v>467</v>
      </c>
      <c r="H706" s="38" t="s">
        <v>9</v>
      </c>
      <c r="I706" s="38" t="s">
        <v>390</v>
      </c>
      <c r="J706" s="38">
        <f>IFERROR(VLOOKUP(C:C,'[1]S&amp;S'!$B:$F,5,0),)</f>
        <v>314</v>
      </c>
      <c r="K706" s="38">
        <f>IFERROR(VLOOKUP(A:A,[1]APO!$A:$F,6,0),)</f>
        <v>0</v>
      </c>
      <c r="L706" s="38">
        <f>IFERROR(VLOOKUP(C:C,'[1]TOTAL APO'!$A:$B,2,0),)</f>
        <v>0</v>
      </c>
      <c r="M706" s="38">
        <f>IFERROR(VLOOKUP(A:A,[1]Short!$A:$Q,17,0),)</f>
        <v>0</v>
      </c>
      <c r="N706" s="38">
        <f>IFERROR(VLOOKUP(C:C,[1]GIT!$B:$D,3,0),)</f>
        <v>0</v>
      </c>
      <c r="O706" s="38">
        <f>IFERROR(VLOOKUP(A:A,[2]Sheet1!$A:$B,2,0),)</f>
        <v>9</v>
      </c>
      <c r="P706" s="38">
        <f>IFERROR(VLOOKUP(A:A,[2]Sheet1!$A:$B,2,0),)</f>
        <v>9</v>
      </c>
      <c r="Q706" s="38">
        <f t="shared" si="10"/>
        <v>0</v>
      </c>
      <c r="R706" s="38"/>
      <c r="S706" s="38"/>
    </row>
    <row r="707" spans="1:19" hidden="1" x14ac:dyDescent="0.25">
      <c r="A707" s="38" t="str">
        <f>F707&amp;C707</f>
        <v>C04340065335</v>
      </c>
      <c r="B707" s="38" t="str">
        <f>IF(J707&gt;=SUMIFS(E:E,C:C,C707),"Good to go","Short in Qty")</f>
        <v>Good to go</v>
      </c>
      <c r="C707" s="40">
        <v>40065335</v>
      </c>
      <c r="D707" s="40" t="s">
        <v>284</v>
      </c>
      <c r="E707" s="66">
        <v>8</v>
      </c>
      <c r="F707" s="38" t="s">
        <v>11</v>
      </c>
      <c r="G707" s="40" t="s">
        <v>467</v>
      </c>
      <c r="H707" s="38" t="s">
        <v>9</v>
      </c>
      <c r="I707" s="38" t="s">
        <v>530</v>
      </c>
      <c r="J707" s="38">
        <f>IFERROR(VLOOKUP(C:C,'[1]S&amp;S'!$B:$F,5,0),)</f>
        <v>34</v>
      </c>
      <c r="K707" s="38">
        <f>IFERROR(VLOOKUP(A:A,[1]APO!$A:$F,6,0),)</f>
        <v>0</v>
      </c>
      <c r="L707" s="38">
        <f>IFERROR(VLOOKUP(C:C,'[1]TOTAL APO'!$A:$B,2,0),)</f>
        <v>0</v>
      </c>
      <c r="M707" s="38">
        <f>IFERROR(VLOOKUP(A:A,[1]Short!$A:$Q,17,0),)</f>
        <v>0</v>
      </c>
      <c r="N707" s="38">
        <f>IFERROR(VLOOKUP(C:C,[1]GIT!$B:$D,3,0),)</f>
        <v>0</v>
      </c>
      <c r="O707" s="38">
        <f>IFERROR(VLOOKUP(A:A,[2]Sheet1!$A:$B,2,0),)</f>
        <v>8</v>
      </c>
      <c r="P707" s="38">
        <f>IFERROR(VLOOKUP(A:A,[2]Sheet1!$A:$B,2,0),)</f>
        <v>8</v>
      </c>
      <c r="Q707" s="38">
        <f t="shared" ref="Q707:Q770" si="11">+E707-P707</f>
        <v>0</v>
      </c>
      <c r="R707" s="38"/>
      <c r="S707" s="38"/>
    </row>
    <row r="708" spans="1:19" hidden="1" x14ac:dyDescent="0.25">
      <c r="A708" s="38" t="str">
        <f>F708&amp;C708</f>
        <v>C04440065343</v>
      </c>
      <c r="B708" s="38" t="str">
        <f>IF(J708&gt;=SUMIFS(E:E,C:C,C708),"Good to go","Short in Qty")</f>
        <v>Short in Qty</v>
      </c>
      <c r="C708" s="40">
        <v>40065343</v>
      </c>
      <c r="D708" s="40" t="s">
        <v>566</v>
      </c>
      <c r="E708" s="66">
        <v>5</v>
      </c>
      <c r="F708" s="38" t="s">
        <v>191</v>
      </c>
      <c r="G708" s="40" t="s">
        <v>596</v>
      </c>
      <c r="H708" s="38" t="s">
        <v>594</v>
      </c>
      <c r="I708" s="38" t="s">
        <v>595</v>
      </c>
      <c r="J708" s="38">
        <f>IFERROR(VLOOKUP(C:C,'[1]S&amp;S'!$B:$F,5,0),)</f>
        <v>0</v>
      </c>
      <c r="K708" s="38">
        <f>IFERROR(VLOOKUP(A:A,[1]APO!$A:$F,6,0),)</f>
        <v>0</v>
      </c>
      <c r="L708" s="38">
        <f>IFERROR(VLOOKUP(C:C,'[1]TOTAL APO'!$A:$B,2,0),)</f>
        <v>0</v>
      </c>
      <c r="M708" s="38">
        <f>IFERROR(VLOOKUP(A:A,[1]Short!$A:$Q,17,0),)</f>
        <v>0</v>
      </c>
      <c r="N708" s="38">
        <f>IFERROR(VLOOKUP(C:C,[1]GIT!$B:$D,3,0),)</f>
        <v>0</v>
      </c>
      <c r="O708" s="38">
        <f>IFERROR(VLOOKUP(A:A,[2]Sheet1!$A:$B,2,0),)</f>
        <v>0</v>
      </c>
      <c r="P708" s="38">
        <f>IFERROR(VLOOKUP(A:A,[2]Sheet1!$A:$B,2,0),)</f>
        <v>0</v>
      </c>
      <c r="Q708" s="38">
        <f t="shared" si="11"/>
        <v>5</v>
      </c>
      <c r="R708" s="38"/>
      <c r="S708" s="38"/>
    </row>
    <row r="709" spans="1:19" hidden="1" x14ac:dyDescent="0.25">
      <c r="A709" s="38" t="str">
        <f>F709&amp;C709</f>
        <v>C10240063685</v>
      </c>
      <c r="B709" s="38" t="str">
        <f>IF(J709&gt;=SUMIFS(E:E,C:C,C709),"Good to go","Short in Qty")</f>
        <v>Good to go</v>
      </c>
      <c r="C709" s="40">
        <v>40063685</v>
      </c>
      <c r="D709" s="40" t="s">
        <v>236</v>
      </c>
      <c r="E709" s="66">
        <v>128</v>
      </c>
      <c r="F709" s="38" t="s">
        <v>226</v>
      </c>
      <c r="G709" s="40" t="s">
        <v>467</v>
      </c>
      <c r="H709" s="38" t="s">
        <v>84</v>
      </c>
      <c r="I709" s="38" t="s">
        <v>620</v>
      </c>
      <c r="J709" s="38">
        <f>IFERROR(VLOOKUP(C:C,'[1]S&amp;S'!$B:$F,5,0),)</f>
        <v>3653.4444444444398</v>
      </c>
      <c r="K709" s="38">
        <f>IFERROR(VLOOKUP(A:A,[1]APO!$A:$F,6,0),)</f>
        <v>0</v>
      </c>
      <c r="L709" s="38">
        <f>IFERROR(VLOOKUP(C:C,'[1]TOTAL APO'!$A:$B,2,0),)</f>
        <v>0</v>
      </c>
      <c r="M709" s="38">
        <f>IFERROR(VLOOKUP(A:A,[1]Short!$A:$Q,17,0),)</f>
        <v>0</v>
      </c>
      <c r="N709" s="38">
        <f>IFERROR(VLOOKUP(C:C,[1]GIT!$B:$D,3,0),)</f>
        <v>0</v>
      </c>
      <c r="O709" s="38">
        <f>IFERROR(VLOOKUP(A:A,[2]Sheet1!$A:$B,2,0),)</f>
        <v>128</v>
      </c>
      <c r="P709" s="38">
        <f>IFERROR(VLOOKUP(A:A,[2]Sheet1!$A:$B,2,0),)</f>
        <v>128</v>
      </c>
      <c r="Q709" s="38">
        <f t="shared" si="11"/>
        <v>0</v>
      </c>
      <c r="R709" s="38"/>
      <c r="S709" s="38"/>
    </row>
    <row r="710" spans="1:19" hidden="1" x14ac:dyDescent="0.25">
      <c r="A710" s="38" t="str">
        <f>F710&amp;C710</f>
        <v>C04640065343</v>
      </c>
      <c r="B710" s="38" t="str">
        <f>IF(J710&gt;=SUMIFS(E:E,C:C,C710),"Good to go","Short in Qty")</f>
        <v>Short in Qty</v>
      </c>
      <c r="C710" s="40">
        <v>40065343</v>
      </c>
      <c r="D710" s="40" t="s">
        <v>566</v>
      </c>
      <c r="E710" s="66">
        <v>5</v>
      </c>
      <c r="F710" s="38" t="s">
        <v>13</v>
      </c>
      <c r="G710" s="40" t="s">
        <v>596</v>
      </c>
      <c r="H710" s="38" t="s">
        <v>594</v>
      </c>
      <c r="I710" s="38" t="s">
        <v>595</v>
      </c>
      <c r="J710" s="38">
        <f>IFERROR(VLOOKUP(C:C,'[1]S&amp;S'!$B:$F,5,0),)</f>
        <v>0</v>
      </c>
      <c r="K710" s="38">
        <f>IFERROR(VLOOKUP(A:A,[1]APO!$A:$F,6,0),)</f>
        <v>0</v>
      </c>
      <c r="L710" s="38">
        <f>IFERROR(VLOOKUP(C:C,'[1]TOTAL APO'!$A:$B,2,0),)</f>
        <v>0</v>
      </c>
      <c r="M710" s="38">
        <f>IFERROR(VLOOKUP(A:A,[1]Short!$A:$Q,17,0),)</f>
        <v>0</v>
      </c>
      <c r="N710" s="38">
        <f>IFERROR(VLOOKUP(C:C,[1]GIT!$B:$D,3,0),)</f>
        <v>0</v>
      </c>
      <c r="O710" s="38">
        <f>IFERROR(VLOOKUP(A:A,[2]Sheet1!$A:$B,2,0),)</f>
        <v>0</v>
      </c>
      <c r="P710" s="38">
        <f>IFERROR(VLOOKUP(A:A,[2]Sheet1!$A:$B,2,0),)</f>
        <v>0</v>
      </c>
      <c r="Q710" s="38">
        <f t="shared" si="11"/>
        <v>5</v>
      </c>
      <c r="R710" s="38"/>
      <c r="S710" s="38"/>
    </row>
    <row r="711" spans="1:19" hidden="1" x14ac:dyDescent="0.25">
      <c r="A711" s="38" t="str">
        <f>F711&amp;C711</f>
        <v>C04840065343</v>
      </c>
      <c r="B711" s="38" t="str">
        <f>IF(J711&gt;=SUMIFS(E:E,C:C,C711),"Good to go","Short in Qty")</f>
        <v>Short in Qty</v>
      </c>
      <c r="C711" s="40">
        <v>40065343</v>
      </c>
      <c r="D711" s="40" t="s">
        <v>566</v>
      </c>
      <c r="E711" s="66">
        <v>10</v>
      </c>
      <c r="F711" s="38" t="s">
        <v>8</v>
      </c>
      <c r="G711" s="40" t="s">
        <v>596</v>
      </c>
      <c r="H711" s="38" t="s">
        <v>594</v>
      </c>
      <c r="I711" s="38" t="s">
        <v>595</v>
      </c>
      <c r="J711" s="38">
        <f>IFERROR(VLOOKUP(C:C,'[1]S&amp;S'!$B:$F,5,0),)</f>
        <v>0</v>
      </c>
      <c r="K711" s="38">
        <f>IFERROR(VLOOKUP(A:A,[1]APO!$A:$F,6,0),)</f>
        <v>0</v>
      </c>
      <c r="L711" s="38">
        <f>IFERROR(VLOOKUP(C:C,'[1]TOTAL APO'!$A:$B,2,0),)</f>
        <v>0</v>
      </c>
      <c r="M711" s="38">
        <f>IFERROR(VLOOKUP(A:A,[1]Short!$A:$Q,17,0),)</f>
        <v>0</v>
      </c>
      <c r="N711" s="38">
        <f>IFERROR(VLOOKUP(C:C,[1]GIT!$B:$D,3,0),)</f>
        <v>0</v>
      </c>
      <c r="O711" s="38">
        <f>IFERROR(VLOOKUP(A:A,[2]Sheet1!$A:$B,2,0),)</f>
        <v>0</v>
      </c>
      <c r="P711" s="38">
        <f>IFERROR(VLOOKUP(A:A,[2]Sheet1!$A:$B,2,0),)</f>
        <v>0</v>
      </c>
      <c r="Q711" s="38">
        <f t="shared" si="11"/>
        <v>10</v>
      </c>
      <c r="R711" s="38"/>
      <c r="S711" s="38"/>
    </row>
    <row r="712" spans="1:19" hidden="1" x14ac:dyDescent="0.25">
      <c r="A712" s="38" t="str">
        <f>F712&amp;C712</f>
        <v>C04640065335</v>
      </c>
      <c r="B712" s="38" t="str">
        <f>IF(J712&gt;=SUMIFS(E:E,C:C,C712),"Good to go","Short in Qty")</f>
        <v>Good to go</v>
      </c>
      <c r="C712" s="40">
        <v>40065335</v>
      </c>
      <c r="D712" s="40" t="s">
        <v>284</v>
      </c>
      <c r="E712" s="66">
        <v>4</v>
      </c>
      <c r="F712" s="38" t="s">
        <v>13</v>
      </c>
      <c r="G712" s="40"/>
      <c r="H712" s="38" t="s">
        <v>84</v>
      </c>
      <c r="I712" s="38" t="s">
        <v>620</v>
      </c>
      <c r="J712" s="38">
        <f>IFERROR(VLOOKUP(C:C,'[1]S&amp;S'!$B:$F,5,0),)</f>
        <v>34</v>
      </c>
      <c r="K712" s="38">
        <f>IFERROR(VLOOKUP(A:A,[1]APO!$A:$F,6,0),)</f>
        <v>0</v>
      </c>
      <c r="L712" s="38">
        <f>IFERROR(VLOOKUP(C:C,'[1]TOTAL APO'!$A:$B,2,0),)</f>
        <v>0</v>
      </c>
      <c r="M712" s="38">
        <f>IFERROR(VLOOKUP(A:A,[1]Short!$A:$Q,17,0),)</f>
        <v>0</v>
      </c>
      <c r="N712" s="38">
        <f>IFERROR(VLOOKUP(C:C,[1]GIT!$B:$D,3,0),)</f>
        <v>0</v>
      </c>
      <c r="O712" s="38">
        <f>IFERROR(VLOOKUP(A:A,[2]Sheet1!$A:$B,2,0),)</f>
        <v>0</v>
      </c>
      <c r="P712" s="38">
        <f>IFERROR(VLOOKUP(A:A,[2]Sheet1!$A:$B,2,0),)</f>
        <v>0</v>
      </c>
      <c r="Q712" s="38">
        <f t="shared" si="11"/>
        <v>4</v>
      </c>
      <c r="R712" s="38"/>
      <c r="S712" s="38"/>
    </row>
    <row r="713" spans="1:19" hidden="1" x14ac:dyDescent="0.25">
      <c r="A713" s="38" t="str">
        <f>F713&amp;C713</f>
        <v>C11140063686</v>
      </c>
      <c r="B713" s="38" t="str">
        <f>IF(J713&gt;=SUMIFS(E:E,C:C,C713),"Good to go","Short in Qty")</f>
        <v>Good to go</v>
      </c>
      <c r="C713" s="40">
        <v>40063686</v>
      </c>
      <c r="D713" s="40" t="s">
        <v>349</v>
      </c>
      <c r="E713" s="66">
        <v>64</v>
      </c>
      <c r="F713" s="38" t="s">
        <v>16</v>
      </c>
      <c r="G713" s="40" t="s">
        <v>467</v>
      </c>
      <c r="H713" s="38" t="s">
        <v>84</v>
      </c>
      <c r="I713" s="38" t="s">
        <v>620</v>
      </c>
      <c r="J713" s="38">
        <f>IFERROR(VLOOKUP(C:C,'[1]S&amp;S'!$B:$F,5,0),)</f>
        <v>5928.6666666666697</v>
      </c>
      <c r="K713" s="38">
        <f>IFERROR(VLOOKUP(A:A,[1]APO!$A:$F,6,0),)</f>
        <v>0</v>
      </c>
      <c r="L713" s="38">
        <f>IFERROR(VLOOKUP(C:C,'[1]TOTAL APO'!$A:$B,2,0),)</f>
        <v>0</v>
      </c>
      <c r="M713" s="38">
        <f>IFERROR(VLOOKUP(A:A,[1]Short!$A:$Q,17,0),)</f>
        <v>0</v>
      </c>
      <c r="N713" s="38">
        <f>IFERROR(VLOOKUP(C:C,[1]GIT!$B:$D,3,0),)</f>
        <v>0</v>
      </c>
      <c r="O713" s="38">
        <f>IFERROR(VLOOKUP(A:A,[2]Sheet1!$A:$B,2,0),)</f>
        <v>64</v>
      </c>
      <c r="P713" s="38">
        <f>IFERROR(VLOOKUP(A:A,[2]Sheet1!$A:$B,2,0),)</f>
        <v>64</v>
      </c>
      <c r="Q713" s="38">
        <f t="shared" si="11"/>
        <v>0</v>
      </c>
      <c r="R713" s="38"/>
      <c r="S713" s="38"/>
    </row>
    <row r="714" spans="1:19" hidden="1" x14ac:dyDescent="0.25">
      <c r="A714" s="38" t="str">
        <f>F714&amp;C714</f>
        <v>C11140063685</v>
      </c>
      <c r="B714" s="38" t="str">
        <f>IF(J714&gt;=SUMIFS(E:E,C:C,C714),"Good to go","Short in Qty")</f>
        <v>Good to go</v>
      </c>
      <c r="C714" s="40">
        <v>40063685</v>
      </c>
      <c r="D714" s="40" t="s">
        <v>236</v>
      </c>
      <c r="E714" s="66">
        <v>49</v>
      </c>
      <c r="F714" s="38" t="s">
        <v>16</v>
      </c>
      <c r="G714" s="40" t="s">
        <v>467</v>
      </c>
      <c r="H714" s="38" t="s">
        <v>84</v>
      </c>
      <c r="I714" s="38" t="s">
        <v>620</v>
      </c>
      <c r="J714" s="38">
        <f>IFERROR(VLOOKUP(C:C,'[1]S&amp;S'!$B:$F,5,0),)</f>
        <v>3653.4444444444398</v>
      </c>
      <c r="K714" s="38">
        <f>IFERROR(VLOOKUP(A:A,[1]APO!$A:$F,6,0),)</f>
        <v>0</v>
      </c>
      <c r="L714" s="38">
        <f>IFERROR(VLOOKUP(C:C,'[1]TOTAL APO'!$A:$B,2,0),)</f>
        <v>0</v>
      </c>
      <c r="M714" s="38">
        <f>IFERROR(VLOOKUP(A:A,[1]Short!$A:$Q,17,0),)</f>
        <v>0</v>
      </c>
      <c r="N714" s="38">
        <f>IFERROR(VLOOKUP(C:C,[1]GIT!$B:$D,3,0),)</f>
        <v>0</v>
      </c>
      <c r="O714" s="38">
        <f>IFERROR(VLOOKUP(A:A,[2]Sheet1!$A:$B,2,0),)</f>
        <v>49</v>
      </c>
      <c r="P714" s="38">
        <f>IFERROR(VLOOKUP(A:A,[2]Sheet1!$A:$B,2,0),)</f>
        <v>49</v>
      </c>
      <c r="Q714" s="38">
        <f t="shared" si="11"/>
        <v>0</v>
      </c>
      <c r="R714" s="38"/>
      <c r="S714" s="38"/>
    </row>
    <row r="715" spans="1:19" hidden="1" x14ac:dyDescent="0.25">
      <c r="A715" s="38" t="str">
        <f>F715&amp;C715</f>
        <v>C04840063685</v>
      </c>
      <c r="B715" s="38" t="str">
        <f>IF(J715&gt;=SUMIFS(E:E,C:C,C715),"Good to go","Short in Qty")</f>
        <v>Good to go</v>
      </c>
      <c r="C715" s="40">
        <v>40063685</v>
      </c>
      <c r="D715" s="40" t="s">
        <v>236</v>
      </c>
      <c r="E715" s="66">
        <v>25</v>
      </c>
      <c r="F715" s="38" t="s">
        <v>8</v>
      </c>
      <c r="G715" s="73" t="s">
        <v>467</v>
      </c>
      <c r="H715" s="38" t="s">
        <v>84</v>
      </c>
      <c r="I715" s="38" t="s">
        <v>620</v>
      </c>
      <c r="J715" s="38">
        <f>IFERROR(VLOOKUP(C:C,'[1]S&amp;S'!$B:$F,5,0),)</f>
        <v>3653.4444444444398</v>
      </c>
      <c r="K715" s="38">
        <f>IFERROR(VLOOKUP(A:A,[1]APO!$A:$F,6,0),)</f>
        <v>0</v>
      </c>
      <c r="L715" s="38">
        <f>IFERROR(VLOOKUP(C:C,'[1]TOTAL APO'!$A:$B,2,0),)</f>
        <v>0</v>
      </c>
      <c r="M715" s="38">
        <f>IFERROR(VLOOKUP(A:A,[1]Short!$A:$Q,17,0),)</f>
        <v>0</v>
      </c>
      <c r="N715" s="38">
        <f>IFERROR(VLOOKUP(C:C,[1]GIT!$B:$D,3,0),)</f>
        <v>0</v>
      </c>
      <c r="O715" s="38">
        <f>IFERROR(VLOOKUP(A:A,[2]Sheet1!$A:$B,2,0),)</f>
        <v>25</v>
      </c>
      <c r="P715" s="38">
        <f>IFERROR(VLOOKUP(A:A,[2]Sheet1!$A:$B,2,0),)</f>
        <v>25</v>
      </c>
      <c r="Q715" s="38">
        <f t="shared" si="11"/>
        <v>0</v>
      </c>
      <c r="R715" s="38"/>
      <c r="S715" s="38"/>
    </row>
    <row r="716" spans="1:19" hidden="1" x14ac:dyDescent="0.25">
      <c r="A716" s="38" t="str">
        <f>F716&amp;C716</f>
        <v>C04840063686</v>
      </c>
      <c r="B716" s="38" t="str">
        <f>IF(J716&gt;=SUMIFS(E:E,C:C,C716),"Good to go","Short in Qty")</f>
        <v>Good to go</v>
      </c>
      <c r="C716" s="40">
        <v>40063686</v>
      </c>
      <c r="D716" s="40" t="s">
        <v>349</v>
      </c>
      <c r="E716" s="66">
        <v>67</v>
      </c>
      <c r="F716" s="38" t="s">
        <v>8</v>
      </c>
      <c r="G716" s="73" t="s">
        <v>467</v>
      </c>
      <c r="H716" s="38" t="s">
        <v>84</v>
      </c>
      <c r="I716" s="38" t="s">
        <v>620</v>
      </c>
      <c r="J716" s="38">
        <f>IFERROR(VLOOKUP(C:C,'[1]S&amp;S'!$B:$F,5,0),)</f>
        <v>5928.6666666666697</v>
      </c>
      <c r="K716" s="38">
        <f>IFERROR(VLOOKUP(A:A,[1]APO!$A:$F,6,0),)</f>
        <v>0</v>
      </c>
      <c r="L716" s="38">
        <f>IFERROR(VLOOKUP(C:C,'[1]TOTAL APO'!$A:$B,2,0),)</f>
        <v>0</v>
      </c>
      <c r="M716" s="38">
        <f>IFERROR(VLOOKUP(A:A,[1]Short!$A:$Q,17,0),)</f>
        <v>0</v>
      </c>
      <c r="N716" s="38">
        <f>IFERROR(VLOOKUP(C:C,[1]GIT!$B:$D,3,0),)</f>
        <v>0</v>
      </c>
      <c r="O716" s="38">
        <f>IFERROR(VLOOKUP(A:A,[2]Sheet1!$A:$B,2,0),)</f>
        <v>67</v>
      </c>
      <c r="P716" s="38">
        <f>IFERROR(VLOOKUP(A:A,[2]Sheet1!$A:$B,2,0),)</f>
        <v>67</v>
      </c>
      <c r="Q716" s="38">
        <f t="shared" si="11"/>
        <v>0</v>
      </c>
      <c r="R716" s="38"/>
      <c r="S716" s="38"/>
    </row>
    <row r="717" spans="1:19" x14ac:dyDescent="0.25">
      <c r="A717" s="38" t="str">
        <f>F717&amp;C717</f>
        <v>C04640065373</v>
      </c>
      <c r="B717" s="38" t="str">
        <f>IF(J717&gt;=SUMIFS(E:E,C:C,C717),"Good to go","Short in Qty")</f>
        <v>Good to go</v>
      </c>
      <c r="C717" s="40">
        <v>40065373</v>
      </c>
      <c r="D717" s="40" t="s">
        <v>313</v>
      </c>
      <c r="E717" s="67">
        <v>115</v>
      </c>
      <c r="F717" s="38" t="s">
        <v>13</v>
      </c>
      <c r="G717" s="40" t="s">
        <v>467</v>
      </c>
      <c r="H717" s="38" t="s">
        <v>9</v>
      </c>
      <c r="I717" s="38" t="s">
        <v>371</v>
      </c>
      <c r="J717" s="38">
        <f>IFERROR(VLOOKUP(C:C,'[1]S&amp;S'!$B:$F,5,0),)</f>
        <v>115.928571428571</v>
      </c>
      <c r="K717" s="38">
        <f>IFERROR(VLOOKUP(A:A,[1]APO!$A:$F,6,0),)</f>
        <v>0</v>
      </c>
      <c r="L717" s="38">
        <f>IFERROR(VLOOKUP(C:C,'[1]TOTAL APO'!$A:$B,2,0),)</f>
        <v>0</v>
      </c>
      <c r="M717" s="38">
        <f>IFERROR(VLOOKUP(A:A,[1]Short!$A:$Q,17,0),)</f>
        <v>0</v>
      </c>
      <c r="N717" s="38">
        <f>IFERROR(VLOOKUP(C:C,[1]GIT!$B:$D,3,0),)</f>
        <v>0</v>
      </c>
      <c r="O717" s="38">
        <f>IFERROR(VLOOKUP(A:A,[2]Sheet1!$A:$B,2,0),)</f>
        <v>0</v>
      </c>
      <c r="P717" s="38">
        <f>IFERROR(VLOOKUP(A:A,[2]Sheet1!$A:$B,2,0),)</f>
        <v>0</v>
      </c>
      <c r="Q717" s="38">
        <f t="shared" si="11"/>
        <v>115</v>
      </c>
      <c r="R717" s="38"/>
      <c r="S717" s="38"/>
    </row>
    <row r="718" spans="1:19" hidden="1" x14ac:dyDescent="0.25">
      <c r="A718" s="38" t="str">
        <f>F718&amp;C718</f>
        <v>C13140063686</v>
      </c>
      <c r="B718" s="38" t="str">
        <f>IF(J718&gt;=SUMIFS(E:E,C:C,C718),"Good to go","Short in Qty")</f>
        <v>Good to go</v>
      </c>
      <c r="C718" s="40">
        <v>40063686</v>
      </c>
      <c r="D718" s="40" t="s">
        <v>349</v>
      </c>
      <c r="E718" s="66">
        <v>200</v>
      </c>
      <c r="F718" s="38" t="s">
        <v>17</v>
      </c>
      <c r="G718" s="40" t="s">
        <v>467</v>
      </c>
      <c r="H718" s="38" t="s">
        <v>84</v>
      </c>
      <c r="I718" s="38" t="s">
        <v>620</v>
      </c>
      <c r="J718" s="38">
        <f>IFERROR(VLOOKUP(C:C,'[1]S&amp;S'!$B:$F,5,0),)</f>
        <v>5928.6666666666697</v>
      </c>
      <c r="K718" s="38">
        <f>IFERROR(VLOOKUP(A:A,[1]APO!$A:$F,6,0),)</f>
        <v>0</v>
      </c>
      <c r="L718" s="38">
        <f>IFERROR(VLOOKUP(C:C,'[1]TOTAL APO'!$A:$B,2,0),)</f>
        <v>0</v>
      </c>
      <c r="M718" s="38">
        <f>IFERROR(VLOOKUP(A:A,[1]Short!$A:$Q,17,0),)</f>
        <v>0</v>
      </c>
      <c r="N718" s="38">
        <f>IFERROR(VLOOKUP(C:C,[1]GIT!$B:$D,3,0),)</f>
        <v>0</v>
      </c>
      <c r="O718" s="38">
        <f>IFERROR(VLOOKUP(A:A,[2]Sheet1!$A:$B,2,0),)</f>
        <v>200</v>
      </c>
      <c r="P718" s="38">
        <f>IFERROR(VLOOKUP(A:A,[2]Sheet1!$A:$B,2,0),)</f>
        <v>200</v>
      </c>
      <c r="Q718" s="38">
        <f t="shared" si="11"/>
        <v>0</v>
      </c>
      <c r="R718" s="38"/>
      <c r="S718" s="38"/>
    </row>
    <row r="719" spans="1:19" hidden="1" x14ac:dyDescent="0.25">
      <c r="A719" s="38" t="str">
        <f>F719&amp;C719</f>
        <v>C04240065694</v>
      </c>
      <c r="B719" s="38" t="str">
        <f>IF(J719&gt;=SUMIFS(E:E,C:C,C719),"Good to go","Short in Qty")</f>
        <v>Short in Qty</v>
      </c>
      <c r="C719" s="40">
        <v>40065694</v>
      </c>
      <c r="D719" s="40" t="s">
        <v>563</v>
      </c>
      <c r="E719" s="66">
        <v>1000</v>
      </c>
      <c r="F719" s="38" t="s">
        <v>10</v>
      </c>
      <c r="G719" s="40" t="s">
        <v>596</v>
      </c>
      <c r="H719" s="38" t="s">
        <v>594</v>
      </c>
      <c r="I719" s="38" t="s">
        <v>595</v>
      </c>
      <c r="J719" s="38">
        <f>IFERROR(VLOOKUP(C:C,'[1]S&amp;S'!$B:$F,5,0),)</f>
        <v>0</v>
      </c>
      <c r="K719" s="38">
        <f>IFERROR(VLOOKUP(A:A,[1]APO!$A:$F,6,0),)</f>
        <v>0</v>
      </c>
      <c r="L719" s="38">
        <f>IFERROR(VLOOKUP(C:C,'[1]TOTAL APO'!$A:$B,2,0),)</f>
        <v>0</v>
      </c>
      <c r="M719" s="38">
        <f>IFERROR(VLOOKUP(A:A,[1]Short!$A:$Q,17,0),)</f>
        <v>0</v>
      </c>
      <c r="N719" s="38">
        <f>IFERROR(VLOOKUP(C:C,[1]GIT!$B:$D,3,0),)</f>
        <v>0</v>
      </c>
      <c r="O719" s="38">
        <f>IFERROR(VLOOKUP(A:A,[2]Sheet1!$A:$B,2,0),)</f>
        <v>0</v>
      </c>
      <c r="P719" s="38">
        <f>IFERROR(VLOOKUP(A:A,[2]Sheet1!$A:$B,2,0),)</f>
        <v>0</v>
      </c>
      <c r="Q719" s="38">
        <f t="shared" si="11"/>
        <v>1000</v>
      </c>
      <c r="R719" s="38"/>
      <c r="S719" s="38"/>
    </row>
    <row r="720" spans="1:19" hidden="1" x14ac:dyDescent="0.25">
      <c r="A720" s="38" t="str">
        <f>F720&amp;C720</f>
        <v>C13140065694</v>
      </c>
      <c r="B720" s="38" t="str">
        <f>IF(J720&gt;=SUMIFS(E:E,C:C,C720),"Good to go","Short in Qty")</f>
        <v>Short in Qty</v>
      </c>
      <c r="C720" s="40">
        <v>40065694</v>
      </c>
      <c r="D720" s="40" t="s">
        <v>563</v>
      </c>
      <c r="E720" s="66">
        <v>500</v>
      </c>
      <c r="F720" s="38" t="s">
        <v>17</v>
      </c>
      <c r="G720" s="40" t="s">
        <v>596</v>
      </c>
      <c r="H720" s="38" t="s">
        <v>594</v>
      </c>
      <c r="I720" s="38" t="s">
        <v>595</v>
      </c>
      <c r="J720" s="38">
        <f>IFERROR(VLOOKUP(C:C,'[1]S&amp;S'!$B:$F,5,0),)</f>
        <v>0</v>
      </c>
      <c r="K720" s="38">
        <f>IFERROR(VLOOKUP(A:A,[1]APO!$A:$F,6,0),)</f>
        <v>0</v>
      </c>
      <c r="L720" s="38">
        <f>IFERROR(VLOOKUP(C:C,'[1]TOTAL APO'!$A:$B,2,0),)</f>
        <v>0</v>
      </c>
      <c r="M720" s="38">
        <f>IFERROR(VLOOKUP(A:A,[1]Short!$A:$Q,17,0),)</f>
        <v>0</v>
      </c>
      <c r="N720" s="38">
        <f>IFERROR(VLOOKUP(C:C,[1]GIT!$B:$D,3,0),)</f>
        <v>0</v>
      </c>
      <c r="O720" s="38">
        <f>IFERROR(VLOOKUP(A:A,[2]Sheet1!$A:$B,2,0),)</f>
        <v>0</v>
      </c>
      <c r="P720" s="38">
        <f>IFERROR(VLOOKUP(A:A,[2]Sheet1!$A:$B,2,0),)</f>
        <v>0</v>
      </c>
      <c r="Q720" s="38">
        <f t="shared" si="11"/>
        <v>500</v>
      </c>
      <c r="R720" s="38"/>
      <c r="S720" s="38"/>
    </row>
    <row r="721" spans="1:19" hidden="1" x14ac:dyDescent="0.25">
      <c r="A721" s="38" t="str">
        <f>F721&amp;C721</f>
        <v>C13240041820</v>
      </c>
      <c r="B721" s="38" t="str">
        <f>IF(J721&gt;=SUMIFS(E:E,C:C,C721),"Good to go","Short in Qty")</f>
        <v>Good to go</v>
      </c>
      <c r="C721" s="40">
        <v>40041820</v>
      </c>
      <c r="D721" s="40" t="s">
        <v>525</v>
      </c>
      <c r="E721" s="66">
        <v>30</v>
      </c>
      <c r="F721" s="38" t="s">
        <v>18</v>
      </c>
      <c r="G721" s="40"/>
      <c r="H721" s="38" t="s">
        <v>84</v>
      </c>
      <c r="I721" s="38" t="s">
        <v>620</v>
      </c>
      <c r="J721" s="38">
        <f>IFERROR(VLOOKUP(C:C,'[1]S&amp;S'!$B:$F,5,0),)</f>
        <v>245</v>
      </c>
      <c r="K721" s="38">
        <f>IFERROR(VLOOKUP(A:A,[1]APO!$A:$F,6,0),)</f>
        <v>0</v>
      </c>
      <c r="L721" s="38">
        <f>IFERROR(VLOOKUP(C:C,'[1]TOTAL APO'!$A:$B,2,0),)</f>
        <v>0</v>
      </c>
      <c r="M721" s="38">
        <f>IFERROR(VLOOKUP(A:A,[1]Short!$A:$Q,17,0),)</f>
        <v>0</v>
      </c>
      <c r="N721" s="38">
        <f>IFERROR(VLOOKUP(C:C,[1]GIT!$B:$D,3,0),)</f>
        <v>0</v>
      </c>
      <c r="O721" s="38">
        <f>IFERROR(VLOOKUP(A:A,[2]Sheet1!$A:$B,2,0),)</f>
        <v>0</v>
      </c>
      <c r="P721" s="38">
        <f>IFERROR(VLOOKUP(A:A,[2]Sheet1!$A:$B,2,0),)</f>
        <v>0</v>
      </c>
      <c r="Q721" s="38">
        <f t="shared" si="11"/>
        <v>30</v>
      </c>
      <c r="R721" s="38"/>
      <c r="S721" s="38"/>
    </row>
    <row r="722" spans="1:19" hidden="1" x14ac:dyDescent="0.25">
      <c r="A722" s="38" t="str">
        <f>F722&amp;C722</f>
        <v>C04840062537</v>
      </c>
      <c r="B722" s="38" t="str">
        <f>IF(J722&gt;=SUMIFS(E:E,C:C,C722),"Good to go","Short in Qty")</f>
        <v>Good to go</v>
      </c>
      <c r="C722" s="40">
        <v>40062537</v>
      </c>
      <c r="D722" s="38" t="s">
        <v>310</v>
      </c>
      <c r="E722" s="66">
        <v>40</v>
      </c>
      <c r="F722" s="38" t="s">
        <v>8</v>
      </c>
      <c r="G722" s="40" t="s">
        <v>467</v>
      </c>
      <c r="H722" s="38" t="s">
        <v>641</v>
      </c>
      <c r="I722" s="38" t="s">
        <v>456</v>
      </c>
      <c r="J722" s="38">
        <f>IFERROR(VLOOKUP(C:C,'[1]S&amp;S'!$B:$F,5,0),)</f>
        <v>125</v>
      </c>
      <c r="K722" s="38">
        <f>IFERROR(VLOOKUP(A:A,[1]APO!$A:$F,6,0),)</f>
        <v>0</v>
      </c>
      <c r="L722" s="38">
        <f>IFERROR(VLOOKUP(C:C,'[1]TOTAL APO'!$A:$B,2,0),)</f>
        <v>0</v>
      </c>
      <c r="M722" s="38">
        <f>IFERROR(VLOOKUP(A:A,[1]Short!$A:$Q,17,0),)</f>
        <v>0</v>
      </c>
      <c r="N722" s="38">
        <f>IFERROR(VLOOKUP(C:C,[1]GIT!$B:$D,3,0),)</f>
        <v>37</v>
      </c>
      <c r="O722" s="38">
        <f>IFERROR(VLOOKUP(A:A,[2]Sheet1!$A:$B,2,0),)</f>
        <v>40</v>
      </c>
      <c r="P722" s="38">
        <f>IFERROR(VLOOKUP(A:A,[2]Sheet1!$A:$B,2,0),)</f>
        <v>40</v>
      </c>
      <c r="Q722" s="38">
        <f t="shared" si="11"/>
        <v>0</v>
      </c>
      <c r="R722" s="38"/>
      <c r="S722" s="38"/>
    </row>
    <row r="723" spans="1:19" hidden="1" x14ac:dyDescent="0.25">
      <c r="A723" s="38" t="str">
        <f>F723&amp;C723</f>
        <v>C10240063407</v>
      </c>
      <c r="B723" s="38" t="str">
        <f>IF(J723&gt;=SUMIFS(E:E,C:C,C723),"Good to go","Short in Qty")</f>
        <v>Good to go</v>
      </c>
      <c r="C723" s="40">
        <v>40063407</v>
      </c>
      <c r="D723" s="38" t="s">
        <v>645</v>
      </c>
      <c r="E723" s="66">
        <v>200</v>
      </c>
      <c r="F723" s="38" t="s">
        <v>226</v>
      </c>
      <c r="G723" s="40" t="s">
        <v>467</v>
      </c>
      <c r="H723" s="38" t="s">
        <v>315</v>
      </c>
      <c r="I723" s="38" t="s">
        <v>456</v>
      </c>
      <c r="J723" s="38">
        <f>IFERROR(VLOOKUP(C:C,'[1]S&amp;S'!$B:$F,5,0),)</f>
        <v>200</v>
      </c>
      <c r="K723" s="38">
        <f>IFERROR(VLOOKUP(A:A,[1]APO!$A:$F,6,0),)</f>
        <v>0</v>
      </c>
      <c r="L723" s="38">
        <f>IFERROR(VLOOKUP(C:C,'[1]TOTAL APO'!$A:$B,2,0),)</f>
        <v>0</v>
      </c>
      <c r="M723" s="38">
        <f>IFERROR(VLOOKUP(A:A,[1]Short!$A:$Q,17,0),)</f>
        <v>0</v>
      </c>
      <c r="N723" s="38">
        <f>IFERROR(VLOOKUP(C:C,[1]GIT!$B:$D,3,0),)</f>
        <v>0</v>
      </c>
      <c r="O723" s="38">
        <f>IFERROR(VLOOKUP(A:A,[2]Sheet1!$A:$B,2,0),)</f>
        <v>200</v>
      </c>
      <c r="P723" s="38">
        <f>IFERROR(VLOOKUP(A:A,[2]Sheet1!$A:$B,2,0),)</f>
        <v>200</v>
      </c>
      <c r="Q723" s="38">
        <f t="shared" si="11"/>
        <v>0</v>
      </c>
      <c r="R723" s="38"/>
      <c r="S723" s="38"/>
    </row>
    <row r="724" spans="1:19" hidden="1" x14ac:dyDescent="0.25">
      <c r="A724" s="38" t="str">
        <f>F724&amp;C724</f>
        <v/>
      </c>
      <c r="B724" s="38" t="str">
        <f>IF(J724&gt;=SUMIFS(E:E,C:C,C724),"Good to go","Short in Qty")</f>
        <v>Good to go</v>
      </c>
      <c r="C724" s="40"/>
      <c r="D724" s="40"/>
      <c r="E724" s="66"/>
      <c r="F724" s="38"/>
      <c r="G724" s="40"/>
      <c r="H724" s="38"/>
      <c r="I724" s="38"/>
      <c r="J724" s="38">
        <f>IFERROR(VLOOKUP(C:C,'[1]S&amp;S'!$B:$F,5,0),)</f>
        <v>0</v>
      </c>
      <c r="K724" s="38">
        <f>IFERROR(VLOOKUP(A:A,[1]APO!$A:$F,6,0),)</f>
        <v>0</v>
      </c>
      <c r="L724" s="38">
        <f>IFERROR(VLOOKUP(C:C,'[1]TOTAL APO'!$A:$B,2,0),)</f>
        <v>0</v>
      </c>
      <c r="M724" s="38">
        <f>IFERROR(VLOOKUP(A:A,[1]Short!$A:$Q,17,0),)</f>
        <v>0</v>
      </c>
      <c r="N724" s="38">
        <f>IFERROR(VLOOKUP(C:C,[1]GIT!$B:$D,3,0),)</f>
        <v>0</v>
      </c>
      <c r="O724" s="38">
        <f>IFERROR(VLOOKUP(A:A,[2]Sheet1!$A:$B,2,0),)</f>
        <v>0</v>
      </c>
      <c r="P724" s="38">
        <f>IFERROR(VLOOKUP(A:A,[2]Sheet1!$A:$B,2,0),)</f>
        <v>0</v>
      </c>
      <c r="Q724" s="38">
        <f t="shared" si="11"/>
        <v>0</v>
      </c>
      <c r="R724" s="38"/>
      <c r="S724" s="38"/>
    </row>
    <row r="725" spans="1:19" hidden="1" x14ac:dyDescent="0.25">
      <c r="A725" s="38" t="str">
        <f>F725&amp;C725</f>
        <v/>
      </c>
      <c r="B725" s="38" t="str">
        <f>IF(J725&gt;=SUMIFS(E:E,C:C,C725),"Good to go","Short in Qty")</f>
        <v>Good to go</v>
      </c>
      <c r="C725" s="40"/>
      <c r="D725" s="40"/>
      <c r="E725" s="66"/>
      <c r="F725" s="38"/>
      <c r="G725" s="40"/>
      <c r="H725" s="38"/>
      <c r="I725" s="38"/>
      <c r="J725" s="38">
        <f>IFERROR(VLOOKUP(C:C,'[1]S&amp;S'!$B:$F,5,0),)</f>
        <v>0</v>
      </c>
      <c r="K725" s="38">
        <f>IFERROR(VLOOKUP(A:A,[1]APO!$A:$F,6,0),)</f>
        <v>0</v>
      </c>
      <c r="L725" s="38">
        <f>IFERROR(VLOOKUP(C:C,'[1]TOTAL APO'!$A:$B,2,0),)</f>
        <v>0</v>
      </c>
      <c r="M725" s="38">
        <f>IFERROR(VLOOKUP(A:A,[1]Short!$A:$Q,17,0),)</f>
        <v>0</v>
      </c>
      <c r="N725" s="38">
        <f>IFERROR(VLOOKUP(C:C,[1]GIT!$B:$D,3,0),)</f>
        <v>0</v>
      </c>
      <c r="O725" s="38">
        <f>IFERROR(VLOOKUP(A:A,[2]Sheet1!$A:$B,2,0),)</f>
        <v>0</v>
      </c>
      <c r="P725" s="38">
        <f>IFERROR(VLOOKUP(A:A,[2]Sheet1!$A:$B,2,0),)</f>
        <v>0</v>
      </c>
      <c r="Q725" s="38">
        <f t="shared" si="11"/>
        <v>0</v>
      </c>
      <c r="R725" s="38"/>
      <c r="S725" s="38"/>
    </row>
    <row r="726" spans="1:19" hidden="1" x14ac:dyDescent="0.25">
      <c r="A726" s="38" t="str">
        <f>F726&amp;C726</f>
        <v/>
      </c>
      <c r="B726" s="38" t="str">
        <f>IF(J726&gt;=SUMIFS(E:E,C:C,C726),"Good to go","Short in Qty")</f>
        <v>Good to go</v>
      </c>
      <c r="C726" s="40"/>
      <c r="D726" s="40"/>
      <c r="E726" s="66"/>
      <c r="F726" s="38"/>
      <c r="G726" s="40"/>
      <c r="H726" s="38"/>
      <c r="I726" s="38"/>
      <c r="J726" s="38">
        <f>IFERROR(VLOOKUP(C:C,'[1]S&amp;S'!$B:$F,5,0),)</f>
        <v>0</v>
      </c>
      <c r="K726" s="38">
        <f>IFERROR(VLOOKUP(A:A,[1]APO!$A:$F,6,0),)</f>
        <v>0</v>
      </c>
      <c r="L726" s="38">
        <f>IFERROR(VLOOKUP(C:C,'[1]TOTAL APO'!$A:$B,2,0),)</f>
        <v>0</v>
      </c>
      <c r="M726" s="38">
        <f>IFERROR(VLOOKUP(A:A,[1]Short!$A:$Q,17,0),)</f>
        <v>0</v>
      </c>
      <c r="N726" s="38">
        <f>IFERROR(VLOOKUP(C:C,[1]GIT!$B:$D,3,0),)</f>
        <v>0</v>
      </c>
      <c r="O726" s="38">
        <f>IFERROR(VLOOKUP(A:A,[2]Sheet1!$A:$B,2,0),)</f>
        <v>0</v>
      </c>
      <c r="P726" s="38">
        <f>IFERROR(VLOOKUP(A:A,[2]Sheet1!$A:$B,2,0),)</f>
        <v>0</v>
      </c>
      <c r="Q726" s="38">
        <f t="shared" si="11"/>
        <v>0</v>
      </c>
      <c r="R726" s="38"/>
      <c r="S726" s="38"/>
    </row>
    <row r="727" spans="1:19" hidden="1" x14ac:dyDescent="0.25">
      <c r="A727" s="38" t="str">
        <f>F727&amp;C727</f>
        <v/>
      </c>
      <c r="B727" s="38" t="str">
        <f>IF(J727&gt;=SUMIFS(E:E,C:C,C727),"Good to go","Short in Qty")</f>
        <v>Good to go</v>
      </c>
      <c r="C727" s="40"/>
      <c r="D727" s="40"/>
      <c r="E727" s="66"/>
      <c r="F727" s="38"/>
      <c r="G727" s="40"/>
      <c r="H727" s="38"/>
      <c r="I727" s="38"/>
      <c r="J727" s="38">
        <f>IFERROR(VLOOKUP(C:C,'[1]S&amp;S'!$B:$F,5,0),)</f>
        <v>0</v>
      </c>
      <c r="K727" s="38">
        <f>IFERROR(VLOOKUP(A:A,[1]APO!$A:$F,6,0),)</f>
        <v>0</v>
      </c>
      <c r="L727" s="38">
        <f>IFERROR(VLOOKUP(C:C,'[1]TOTAL APO'!$A:$B,2,0),)</f>
        <v>0</v>
      </c>
      <c r="M727" s="38">
        <f>IFERROR(VLOOKUP(A:A,[1]Short!$A:$Q,17,0),)</f>
        <v>0</v>
      </c>
      <c r="N727" s="38">
        <f>IFERROR(VLOOKUP(C:C,[1]GIT!$B:$D,3,0),)</f>
        <v>0</v>
      </c>
      <c r="O727" s="38">
        <f>IFERROR(VLOOKUP(A:A,[2]Sheet1!$A:$B,2,0),)</f>
        <v>0</v>
      </c>
      <c r="P727" s="38">
        <f>IFERROR(VLOOKUP(A:A,[2]Sheet1!$A:$B,2,0),)</f>
        <v>0</v>
      </c>
      <c r="Q727" s="38">
        <f t="shared" si="11"/>
        <v>0</v>
      </c>
      <c r="R727" s="38"/>
      <c r="S727" s="38"/>
    </row>
    <row r="728" spans="1:19" hidden="1" x14ac:dyDescent="0.25">
      <c r="A728" s="38" t="str">
        <f>F728&amp;C728</f>
        <v/>
      </c>
      <c r="B728" s="38" t="str">
        <f>IF(J728&gt;=SUMIFS(E:E,C:C,C728),"Good to go","Short in Qty")</f>
        <v>Good to go</v>
      </c>
      <c r="C728" s="40"/>
      <c r="D728" s="40"/>
      <c r="E728" s="66"/>
      <c r="F728" s="38"/>
      <c r="G728" s="40"/>
      <c r="H728" s="38"/>
      <c r="I728" s="38"/>
      <c r="J728" s="38">
        <f>IFERROR(VLOOKUP(C:C,'[1]S&amp;S'!$B:$F,5,0),)</f>
        <v>0</v>
      </c>
      <c r="K728" s="38">
        <f>IFERROR(VLOOKUP(A:A,[1]APO!$A:$F,6,0),)</f>
        <v>0</v>
      </c>
      <c r="L728" s="38">
        <f>IFERROR(VLOOKUP(C:C,'[1]TOTAL APO'!$A:$B,2,0),)</f>
        <v>0</v>
      </c>
      <c r="M728" s="38">
        <f>IFERROR(VLOOKUP(A:A,[1]Short!$A:$Q,17,0),)</f>
        <v>0</v>
      </c>
      <c r="N728" s="38">
        <f>IFERROR(VLOOKUP(C:C,[1]GIT!$B:$D,3,0),)</f>
        <v>0</v>
      </c>
      <c r="O728" s="38">
        <f>IFERROR(VLOOKUP(A:A,[2]Sheet1!$A:$B,2,0),)</f>
        <v>0</v>
      </c>
      <c r="P728" s="38">
        <f>IFERROR(VLOOKUP(A:A,[2]Sheet1!$A:$B,2,0),)</f>
        <v>0</v>
      </c>
      <c r="Q728" s="38">
        <f t="shared" si="11"/>
        <v>0</v>
      </c>
      <c r="R728" s="38"/>
      <c r="S728" s="38"/>
    </row>
    <row r="729" spans="1:19" hidden="1" x14ac:dyDescent="0.25">
      <c r="A729" s="38" t="str">
        <f>F729&amp;C729</f>
        <v/>
      </c>
      <c r="B729" s="38" t="str">
        <f>IF(J729&gt;=SUMIFS(E:E,C:C,C729),"Good to go","Short in Qty")</f>
        <v>Good to go</v>
      </c>
      <c r="C729" s="40"/>
      <c r="D729" s="40"/>
      <c r="E729" s="66"/>
      <c r="F729" s="38"/>
      <c r="G729" s="40"/>
      <c r="H729" s="38"/>
      <c r="I729" s="38"/>
      <c r="J729" s="38">
        <f>IFERROR(VLOOKUP(C:C,'[1]S&amp;S'!$B:$F,5,0),)</f>
        <v>0</v>
      </c>
      <c r="K729" s="38">
        <f>IFERROR(VLOOKUP(A:A,[1]APO!$A:$F,6,0),)</f>
        <v>0</v>
      </c>
      <c r="L729" s="38">
        <f>IFERROR(VLOOKUP(C:C,'[1]TOTAL APO'!$A:$B,2,0),)</f>
        <v>0</v>
      </c>
      <c r="M729" s="38">
        <f>IFERROR(VLOOKUP(A:A,[1]Short!$A:$Q,17,0),)</f>
        <v>0</v>
      </c>
      <c r="N729" s="38">
        <f>IFERROR(VLOOKUP(C:C,[1]GIT!$B:$D,3,0),)</f>
        <v>0</v>
      </c>
      <c r="O729" s="38">
        <f>IFERROR(VLOOKUP(A:A,[2]Sheet1!$A:$B,2,0),)</f>
        <v>0</v>
      </c>
      <c r="P729" s="38">
        <f>IFERROR(VLOOKUP(A:A,[2]Sheet1!$A:$B,2,0),)</f>
        <v>0</v>
      </c>
      <c r="Q729" s="38">
        <f t="shared" si="11"/>
        <v>0</v>
      </c>
      <c r="R729" s="38"/>
      <c r="S729" s="38"/>
    </row>
    <row r="730" spans="1:19" hidden="1" x14ac:dyDescent="0.25">
      <c r="A730" s="38" t="str">
        <f>F730&amp;C730</f>
        <v/>
      </c>
      <c r="B730" s="38" t="str">
        <f>IF(J730&gt;=SUMIFS(E:E,C:C,C730),"Good to go","Short in Qty")</f>
        <v>Good to go</v>
      </c>
      <c r="C730" s="40"/>
      <c r="D730" s="40"/>
      <c r="E730" s="66"/>
      <c r="F730" s="38"/>
      <c r="G730" s="40"/>
      <c r="H730" s="38"/>
      <c r="I730" s="38"/>
      <c r="J730" s="38">
        <f>IFERROR(VLOOKUP(C:C,'[1]S&amp;S'!$B:$F,5,0),)</f>
        <v>0</v>
      </c>
      <c r="K730" s="38">
        <f>IFERROR(VLOOKUP(A:A,[1]APO!$A:$F,6,0),)</f>
        <v>0</v>
      </c>
      <c r="L730" s="38">
        <f>IFERROR(VLOOKUP(C:C,'[1]TOTAL APO'!$A:$B,2,0),)</f>
        <v>0</v>
      </c>
      <c r="M730" s="38">
        <f>IFERROR(VLOOKUP(A:A,[1]Short!$A:$Q,17,0),)</f>
        <v>0</v>
      </c>
      <c r="N730" s="38">
        <f>IFERROR(VLOOKUP(C:C,[1]GIT!$B:$D,3,0),)</f>
        <v>0</v>
      </c>
      <c r="O730" s="38">
        <f>IFERROR(VLOOKUP(A:A,[2]Sheet1!$A:$B,2,0),)</f>
        <v>0</v>
      </c>
      <c r="P730" s="38">
        <f>IFERROR(VLOOKUP(A:A,[2]Sheet1!$A:$B,2,0),)</f>
        <v>0</v>
      </c>
      <c r="Q730" s="38">
        <f t="shared" si="11"/>
        <v>0</v>
      </c>
      <c r="R730" s="38"/>
      <c r="S730" s="38"/>
    </row>
    <row r="731" spans="1:19" hidden="1" x14ac:dyDescent="0.25">
      <c r="A731" s="38" t="str">
        <f>F731&amp;C731</f>
        <v/>
      </c>
      <c r="B731" s="38" t="str">
        <f>IF(J731&gt;=SUMIFS(E:E,C:C,C731),"Good to go","Short in Qty")</f>
        <v>Good to go</v>
      </c>
      <c r="C731" s="40"/>
      <c r="D731" s="40"/>
      <c r="E731" s="66"/>
      <c r="F731" s="38"/>
      <c r="G731" s="40"/>
      <c r="H731" s="38"/>
      <c r="I731" s="38"/>
      <c r="J731" s="38">
        <f>IFERROR(VLOOKUP(C:C,'[1]S&amp;S'!$B:$F,5,0),)</f>
        <v>0</v>
      </c>
      <c r="K731" s="38">
        <f>IFERROR(VLOOKUP(A:A,[1]APO!$A:$F,6,0),)</f>
        <v>0</v>
      </c>
      <c r="L731" s="38">
        <f>IFERROR(VLOOKUP(C:C,'[1]TOTAL APO'!$A:$B,2,0),)</f>
        <v>0</v>
      </c>
      <c r="M731" s="38">
        <f>IFERROR(VLOOKUP(A:A,[1]Short!$A:$Q,17,0),)</f>
        <v>0</v>
      </c>
      <c r="N731" s="38">
        <f>IFERROR(VLOOKUP(C:C,[1]GIT!$B:$D,3,0),)</f>
        <v>0</v>
      </c>
      <c r="O731" s="38">
        <f>IFERROR(VLOOKUP(A:A,[2]Sheet1!$A:$B,2,0),)</f>
        <v>0</v>
      </c>
      <c r="P731" s="38">
        <f>IFERROR(VLOOKUP(A:A,[2]Sheet1!$A:$B,2,0),)</f>
        <v>0</v>
      </c>
      <c r="Q731" s="38">
        <f t="shared" si="11"/>
        <v>0</v>
      </c>
      <c r="R731" s="38"/>
      <c r="S731" s="38"/>
    </row>
    <row r="732" spans="1:19" hidden="1" x14ac:dyDescent="0.25">
      <c r="A732" s="38" t="str">
        <f>F732&amp;C732</f>
        <v/>
      </c>
      <c r="B732" s="38" t="str">
        <f>IF(J732&gt;=SUMIFS(E:E,C:C,C732),"Good to go","Short in Qty")</f>
        <v>Good to go</v>
      </c>
      <c r="C732" s="40"/>
      <c r="D732" s="40"/>
      <c r="E732" s="66"/>
      <c r="F732" s="38"/>
      <c r="G732" s="40"/>
      <c r="H732" s="38"/>
      <c r="I732" s="38"/>
      <c r="J732" s="38">
        <f>IFERROR(VLOOKUP(C:C,'[1]S&amp;S'!$B:$F,5,0),)</f>
        <v>0</v>
      </c>
      <c r="K732" s="38">
        <f>IFERROR(VLOOKUP(A:A,[1]APO!$A:$F,6,0),)</f>
        <v>0</v>
      </c>
      <c r="L732" s="38">
        <f>IFERROR(VLOOKUP(C:C,'[1]TOTAL APO'!$A:$B,2,0),)</f>
        <v>0</v>
      </c>
      <c r="M732" s="38">
        <f>IFERROR(VLOOKUP(A:A,[1]Short!$A:$Q,17,0),)</f>
        <v>0</v>
      </c>
      <c r="N732" s="38">
        <f>IFERROR(VLOOKUP(C:C,[1]GIT!$B:$D,3,0),)</f>
        <v>0</v>
      </c>
      <c r="O732" s="38">
        <f>IFERROR(VLOOKUP(A:A,[2]Sheet1!$A:$B,2,0),)</f>
        <v>0</v>
      </c>
      <c r="P732" s="38">
        <f>IFERROR(VLOOKUP(A:A,[2]Sheet1!$A:$B,2,0),)</f>
        <v>0</v>
      </c>
      <c r="Q732" s="38">
        <f t="shared" si="11"/>
        <v>0</v>
      </c>
      <c r="R732" s="38"/>
      <c r="S732" s="38"/>
    </row>
    <row r="733" spans="1:19" hidden="1" x14ac:dyDescent="0.25">
      <c r="A733" s="38" t="str">
        <f>F733&amp;C733</f>
        <v/>
      </c>
      <c r="B733" s="38" t="str">
        <f>IF(J733&gt;=SUMIFS(E:E,C:C,C733),"Good to go","Short in Qty")</f>
        <v>Good to go</v>
      </c>
      <c r="C733" s="40"/>
      <c r="D733" s="40"/>
      <c r="E733" s="66"/>
      <c r="F733" s="38"/>
      <c r="G733" s="40"/>
      <c r="H733" s="38"/>
      <c r="I733" s="38"/>
      <c r="J733" s="38">
        <f>IFERROR(VLOOKUP(C:C,'[1]S&amp;S'!$B:$F,5,0),)</f>
        <v>0</v>
      </c>
      <c r="K733" s="38">
        <f>IFERROR(VLOOKUP(A:A,[1]APO!$A:$F,6,0),)</f>
        <v>0</v>
      </c>
      <c r="L733" s="38">
        <f>IFERROR(VLOOKUP(C:C,'[1]TOTAL APO'!$A:$B,2,0),)</f>
        <v>0</v>
      </c>
      <c r="M733" s="38">
        <f>IFERROR(VLOOKUP(A:A,[1]Short!$A:$Q,17,0),)</f>
        <v>0</v>
      </c>
      <c r="N733" s="38">
        <f>IFERROR(VLOOKUP(C:C,[1]GIT!$B:$D,3,0),)</f>
        <v>0</v>
      </c>
      <c r="O733" s="38">
        <f>IFERROR(VLOOKUP(A:A,[2]Sheet1!$A:$B,2,0),)</f>
        <v>0</v>
      </c>
      <c r="P733" s="38">
        <f>IFERROR(VLOOKUP(A:A,[2]Sheet1!$A:$B,2,0),)</f>
        <v>0</v>
      </c>
      <c r="Q733" s="38">
        <f t="shared" si="11"/>
        <v>0</v>
      </c>
      <c r="R733" s="38"/>
      <c r="S733" s="38"/>
    </row>
    <row r="734" spans="1:19" hidden="1" x14ac:dyDescent="0.25">
      <c r="A734" s="38" t="str">
        <f>F734&amp;C734</f>
        <v/>
      </c>
      <c r="B734" s="38" t="str">
        <f>IF(J734&gt;=SUMIFS(E:E,C:C,C734),"Good to go","Short in Qty")</f>
        <v>Good to go</v>
      </c>
      <c r="C734" s="40"/>
      <c r="D734" s="40"/>
      <c r="E734" s="66"/>
      <c r="F734" s="38"/>
      <c r="G734" s="40"/>
      <c r="H734" s="38"/>
      <c r="I734" s="38"/>
      <c r="J734" s="38">
        <f>IFERROR(VLOOKUP(C:C,'[1]S&amp;S'!$B:$F,5,0),)</f>
        <v>0</v>
      </c>
      <c r="K734" s="38">
        <f>IFERROR(VLOOKUP(A:A,[1]APO!$A:$F,6,0),)</f>
        <v>0</v>
      </c>
      <c r="L734" s="38">
        <f>IFERROR(VLOOKUP(C:C,'[1]TOTAL APO'!$A:$B,2,0),)</f>
        <v>0</v>
      </c>
      <c r="M734" s="38">
        <f>IFERROR(VLOOKUP(A:A,[1]Short!$A:$Q,17,0),)</f>
        <v>0</v>
      </c>
      <c r="N734" s="38">
        <f>IFERROR(VLOOKUP(C:C,[1]GIT!$B:$D,3,0),)</f>
        <v>0</v>
      </c>
      <c r="O734" s="38">
        <f>IFERROR(VLOOKUP(A:A,[2]Sheet1!$A:$B,2,0),)</f>
        <v>0</v>
      </c>
      <c r="P734" s="38">
        <f>IFERROR(VLOOKUP(A:A,[2]Sheet1!$A:$B,2,0),)</f>
        <v>0</v>
      </c>
      <c r="Q734" s="38">
        <f t="shared" si="11"/>
        <v>0</v>
      </c>
      <c r="R734" s="38"/>
      <c r="S734" s="38"/>
    </row>
    <row r="735" spans="1:19" hidden="1" x14ac:dyDescent="0.25">
      <c r="A735" s="38" t="str">
        <f>F735&amp;C735</f>
        <v/>
      </c>
      <c r="B735" s="38" t="str">
        <f>IF(J735&gt;=SUMIFS(E:E,C:C,C735),"Good to go","Short in Qty")</f>
        <v>Good to go</v>
      </c>
      <c r="C735" s="40"/>
      <c r="D735" s="40"/>
      <c r="E735" s="66"/>
      <c r="F735" s="38"/>
      <c r="G735" s="40"/>
      <c r="H735" s="38"/>
      <c r="I735" s="38"/>
      <c r="J735" s="38">
        <f>IFERROR(VLOOKUP(C:C,'[1]S&amp;S'!$B:$F,5,0),)</f>
        <v>0</v>
      </c>
      <c r="K735" s="38">
        <f>IFERROR(VLOOKUP(A:A,[1]APO!$A:$F,6,0),)</f>
        <v>0</v>
      </c>
      <c r="L735" s="38">
        <f>IFERROR(VLOOKUP(C:C,'[1]TOTAL APO'!$A:$B,2,0),)</f>
        <v>0</v>
      </c>
      <c r="M735" s="38">
        <f>IFERROR(VLOOKUP(A:A,[1]Short!$A:$Q,17,0),)</f>
        <v>0</v>
      </c>
      <c r="N735" s="38">
        <f>IFERROR(VLOOKUP(C:C,[1]GIT!$B:$D,3,0),)</f>
        <v>0</v>
      </c>
      <c r="O735" s="38">
        <f>IFERROR(VLOOKUP(A:A,[2]Sheet1!$A:$B,2,0),)</f>
        <v>0</v>
      </c>
      <c r="P735" s="38">
        <f>IFERROR(VLOOKUP(A:A,[2]Sheet1!$A:$B,2,0),)</f>
        <v>0</v>
      </c>
      <c r="Q735" s="38">
        <f t="shared" si="11"/>
        <v>0</v>
      </c>
      <c r="R735" s="38"/>
      <c r="S735" s="38"/>
    </row>
    <row r="736" spans="1:19" hidden="1" x14ac:dyDescent="0.25">
      <c r="A736" s="38" t="str">
        <f>F736&amp;C736</f>
        <v/>
      </c>
      <c r="B736" s="38" t="str">
        <f>IF(J736&gt;=SUMIFS(E:E,C:C,C736),"Good to go","Short in Qty")</f>
        <v>Good to go</v>
      </c>
      <c r="C736" s="40"/>
      <c r="D736" s="40"/>
      <c r="E736" s="66"/>
      <c r="F736" s="38"/>
      <c r="G736" s="40"/>
      <c r="H736" s="38"/>
      <c r="I736" s="38"/>
      <c r="J736" s="38">
        <f>IFERROR(VLOOKUP(C:C,'[1]S&amp;S'!$B:$F,5,0),)</f>
        <v>0</v>
      </c>
      <c r="K736" s="38">
        <f>IFERROR(VLOOKUP(A:A,[1]APO!$A:$F,6,0),)</f>
        <v>0</v>
      </c>
      <c r="L736" s="38">
        <f>IFERROR(VLOOKUP(C:C,'[1]TOTAL APO'!$A:$B,2,0),)</f>
        <v>0</v>
      </c>
      <c r="M736" s="38">
        <f>IFERROR(VLOOKUP(A:A,[1]Short!$A:$Q,17,0),)</f>
        <v>0</v>
      </c>
      <c r="N736" s="38">
        <f>IFERROR(VLOOKUP(C:C,[1]GIT!$B:$D,3,0),)</f>
        <v>0</v>
      </c>
      <c r="O736" s="38">
        <f>IFERROR(VLOOKUP(A:A,[2]Sheet1!$A:$B,2,0),)</f>
        <v>0</v>
      </c>
      <c r="P736" s="38">
        <f>IFERROR(VLOOKUP(A:A,[2]Sheet1!$A:$B,2,0),)</f>
        <v>0</v>
      </c>
      <c r="Q736" s="38">
        <f t="shared" si="11"/>
        <v>0</v>
      </c>
      <c r="R736" s="38"/>
      <c r="S736" s="38"/>
    </row>
    <row r="737" spans="1:19" hidden="1" x14ac:dyDescent="0.25">
      <c r="A737" s="38" t="str">
        <f>F737&amp;C737</f>
        <v/>
      </c>
      <c r="B737" s="38" t="str">
        <f>IF(J737&gt;=SUMIFS(E:E,C:C,C737),"Good to go","Short in Qty")</f>
        <v>Good to go</v>
      </c>
      <c r="C737" s="40"/>
      <c r="D737" s="40"/>
      <c r="E737" s="66"/>
      <c r="F737" s="38"/>
      <c r="G737" s="40"/>
      <c r="H737" s="38"/>
      <c r="I737" s="38"/>
      <c r="J737" s="38">
        <f>IFERROR(VLOOKUP(C:C,'[1]S&amp;S'!$B:$F,5,0),)</f>
        <v>0</v>
      </c>
      <c r="K737" s="38">
        <f>IFERROR(VLOOKUP(A:A,[1]APO!$A:$F,6,0),)</f>
        <v>0</v>
      </c>
      <c r="L737" s="38">
        <f>IFERROR(VLOOKUP(C:C,'[1]TOTAL APO'!$A:$B,2,0),)</f>
        <v>0</v>
      </c>
      <c r="M737" s="38">
        <f>IFERROR(VLOOKUP(A:A,[1]Short!$A:$Q,17,0),)</f>
        <v>0</v>
      </c>
      <c r="N737" s="38">
        <f>IFERROR(VLOOKUP(C:C,[1]GIT!$B:$D,3,0),)</f>
        <v>0</v>
      </c>
      <c r="O737" s="38">
        <f>IFERROR(VLOOKUP(A:A,[2]Sheet1!$A:$B,2,0),)</f>
        <v>0</v>
      </c>
      <c r="P737" s="38">
        <f>IFERROR(VLOOKUP(A:A,[2]Sheet1!$A:$B,2,0),)</f>
        <v>0</v>
      </c>
      <c r="Q737" s="38">
        <f t="shared" si="11"/>
        <v>0</v>
      </c>
      <c r="R737" s="38"/>
      <c r="S737" s="38"/>
    </row>
    <row r="738" spans="1:19" hidden="1" x14ac:dyDescent="0.25">
      <c r="A738" s="38" t="str">
        <f>F738&amp;C738</f>
        <v/>
      </c>
      <c r="B738" s="38" t="str">
        <f>IF(J738&gt;=SUMIFS(E:E,C:C,C738),"Good to go","Short in Qty")</f>
        <v>Good to go</v>
      </c>
      <c r="C738" s="40"/>
      <c r="D738" s="40"/>
      <c r="E738" s="66"/>
      <c r="F738" s="38"/>
      <c r="G738" s="40"/>
      <c r="H738" s="38"/>
      <c r="I738" s="38"/>
      <c r="J738" s="38">
        <f>IFERROR(VLOOKUP(C:C,'[1]S&amp;S'!$B:$F,5,0),)</f>
        <v>0</v>
      </c>
      <c r="K738" s="38">
        <f>IFERROR(VLOOKUP(A:A,[1]APO!$A:$F,6,0),)</f>
        <v>0</v>
      </c>
      <c r="L738" s="38">
        <f>IFERROR(VLOOKUP(C:C,'[1]TOTAL APO'!$A:$B,2,0),)</f>
        <v>0</v>
      </c>
      <c r="M738" s="38">
        <f>IFERROR(VLOOKUP(A:A,[1]Short!$A:$Q,17,0),)</f>
        <v>0</v>
      </c>
      <c r="N738" s="38">
        <f>IFERROR(VLOOKUP(C:C,[1]GIT!$B:$D,3,0),)</f>
        <v>0</v>
      </c>
      <c r="O738" s="38">
        <f>IFERROR(VLOOKUP(A:A,[2]Sheet1!$A:$B,2,0),)</f>
        <v>0</v>
      </c>
      <c r="P738" s="38">
        <f>IFERROR(VLOOKUP(A:A,[2]Sheet1!$A:$B,2,0),)</f>
        <v>0</v>
      </c>
      <c r="Q738" s="38">
        <f t="shared" si="11"/>
        <v>0</v>
      </c>
      <c r="R738" s="38"/>
      <c r="S738" s="38"/>
    </row>
    <row r="739" spans="1:19" hidden="1" x14ac:dyDescent="0.25">
      <c r="A739" s="38" t="str">
        <f>F739&amp;C739</f>
        <v/>
      </c>
      <c r="B739" s="38" t="str">
        <f>IF(J739&gt;=SUMIFS(E:E,C:C,C739),"Good to go","Short in Qty")</f>
        <v>Good to go</v>
      </c>
      <c r="C739" s="40"/>
      <c r="D739" s="40"/>
      <c r="E739" s="66"/>
      <c r="F739" s="38"/>
      <c r="G739" s="40"/>
      <c r="H739" s="38"/>
      <c r="I739" s="38"/>
      <c r="J739" s="38">
        <f>IFERROR(VLOOKUP(C:C,'[1]S&amp;S'!$B:$F,5,0),)</f>
        <v>0</v>
      </c>
      <c r="K739" s="38">
        <f>IFERROR(VLOOKUP(A:A,[1]APO!$A:$F,6,0),)</f>
        <v>0</v>
      </c>
      <c r="L739" s="38">
        <f>IFERROR(VLOOKUP(C:C,'[1]TOTAL APO'!$A:$B,2,0),)</f>
        <v>0</v>
      </c>
      <c r="M739" s="38">
        <f>IFERROR(VLOOKUP(A:A,[1]Short!$A:$Q,17,0),)</f>
        <v>0</v>
      </c>
      <c r="N739" s="38">
        <f>IFERROR(VLOOKUP(C:C,[1]GIT!$B:$D,3,0),)</f>
        <v>0</v>
      </c>
      <c r="O739" s="38">
        <f>IFERROR(VLOOKUP(A:A,[2]Sheet1!$A:$B,2,0),)</f>
        <v>0</v>
      </c>
      <c r="P739" s="38">
        <f>IFERROR(VLOOKUP(A:A,[2]Sheet1!$A:$B,2,0),)</f>
        <v>0</v>
      </c>
      <c r="Q739" s="38">
        <f t="shared" si="11"/>
        <v>0</v>
      </c>
      <c r="R739" s="38"/>
      <c r="S739" s="38"/>
    </row>
    <row r="740" spans="1:19" hidden="1" x14ac:dyDescent="0.25">
      <c r="A740" s="38" t="str">
        <f>F740&amp;C740</f>
        <v/>
      </c>
      <c r="B740" s="38" t="str">
        <f>IF(J740&gt;=SUMIFS(E:E,C:C,C740),"Good to go","Short in Qty")</f>
        <v>Good to go</v>
      </c>
      <c r="C740" s="40"/>
      <c r="D740" s="40"/>
      <c r="E740" s="66"/>
      <c r="F740" s="38"/>
      <c r="G740" s="40"/>
      <c r="H740" s="38"/>
      <c r="I740" s="38"/>
      <c r="J740" s="38">
        <f>IFERROR(VLOOKUP(C:C,'[1]S&amp;S'!$B:$F,5,0),)</f>
        <v>0</v>
      </c>
      <c r="K740" s="38">
        <f>IFERROR(VLOOKUP(A:A,[1]APO!$A:$F,6,0),)</f>
        <v>0</v>
      </c>
      <c r="L740" s="38">
        <f>IFERROR(VLOOKUP(C:C,'[1]TOTAL APO'!$A:$B,2,0),)</f>
        <v>0</v>
      </c>
      <c r="M740" s="38">
        <f>IFERROR(VLOOKUP(A:A,[1]Short!$A:$Q,17,0),)</f>
        <v>0</v>
      </c>
      <c r="N740" s="38">
        <f>IFERROR(VLOOKUP(C:C,[1]GIT!$B:$D,3,0),)</f>
        <v>0</v>
      </c>
      <c r="O740" s="38">
        <f>IFERROR(VLOOKUP(A:A,[2]Sheet1!$A:$B,2,0),)</f>
        <v>0</v>
      </c>
      <c r="P740" s="38">
        <f>IFERROR(VLOOKUP(A:A,[2]Sheet1!$A:$B,2,0),)</f>
        <v>0</v>
      </c>
      <c r="Q740" s="38">
        <f t="shared" si="11"/>
        <v>0</v>
      </c>
      <c r="R740" s="38"/>
      <c r="S740" s="38"/>
    </row>
    <row r="741" spans="1:19" hidden="1" x14ac:dyDescent="0.25">
      <c r="A741" s="38" t="str">
        <f>F741&amp;C741</f>
        <v/>
      </c>
      <c r="B741" s="38" t="str">
        <f>IF(J741&gt;=SUMIFS(E:E,C:C,C741),"Good to go","Short in Qty")</f>
        <v>Good to go</v>
      </c>
      <c r="C741" s="40"/>
      <c r="D741" s="40"/>
      <c r="E741" s="66"/>
      <c r="F741" s="38"/>
      <c r="G741" s="40"/>
      <c r="H741" s="38"/>
      <c r="I741" s="38"/>
      <c r="J741" s="38">
        <f>IFERROR(VLOOKUP(C:C,'[1]S&amp;S'!$B:$F,5,0),)</f>
        <v>0</v>
      </c>
      <c r="K741" s="38">
        <f>IFERROR(VLOOKUP(A:A,[1]APO!$A:$F,6,0),)</f>
        <v>0</v>
      </c>
      <c r="L741" s="38">
        <f>IFERROR(VLOOKUP(C:C,'[1]TOTAL APO'!$A:$B,2,0),)</f>
        <v>0</v>
      </c>
      <c r="M741" s="38">
        <f>IFERROR(VLOOKUP(A:A,[1]Short!$A:$Q,17,0),)</f>
        <v>0</v>
      </c>
      <c r="N741" s="38">
        <f>IFERROR(VLOOKUP(C:C,[1]GIT!$B:$D,3,0),)</f>
        <v>0</v>
      </c>
      <c r="O741" s="38">
        <f>IFERROR(VLOOKUP(A:A,[2]Sheet1!$A:$B,2,0),)</f>
        <v>0</v>
      </c>
      <c r="P741" s="38">
        <f>IFERROR(VLOOKUP(A:A,[2]Sheet1!$A:$B,2,0),)</f>
        <v>0</v>
      </c>
      <c r="Q741" s="38">
        <f t="shared" si="11"/>
        <v>0</v>
      </c>
      <c r="R741" s="38"/>
      <c r="S741" s="38"/>
    </row>
    <row r="742" spans="1:19" hidden="1" x14ac:dyDescent="0.25">
      <c r="A742" s="38" t="str">
        <f>F742&amp;C742</f>
        <v/>
      </c>
      <c r="B742" s="38" t="str">
        <f>IF(J742&gt;=SUMIFS(E:E,C:C,C742),"Good to go","Short in Qty")</f>
        <v>Good to go</v>
      </c>
      <c r="C742" s="40"/>
      <c r="D742" s="40"/>
      <c r="E742" s="66"/>
      <c r="F742" s="38"/>
      <c r="G742" s="40"/>
      <c r="H742" s="38"/>
      <c r="I742" s="38"/>
      <c r="J742" s="38">
        <f>IFERROR(VLOOKUP(C:C,'[1]S&amp;S'!$B:$F,5,0),)</f>
        <v>0</v>
      </c>
      <c r="K742" s="38">
        <f>IFERROR(VLOOKUP(A:A,[1]APO!$A:$F,6,0),)</f>
        <v>0</v>
      </c>
      <c r="L742" s="38">
        <f>IFERROR(VLOOKUP(C:C,'[1]TOTAL APO'!$A:$B,2,0),)</f>
        <v>0</v>
      </c>
      <c r="M742" s="38">
        <f>IFERROR(VLOOKUP(A:A,[1]Short!$A:$Q,17,0),)</f>
        <v>0</v>
      </c>
      <c r="N742" s="38">
        <f>IFERROR(VLOOKUP(C:C,[1]GIT!$B:$D,3,0),)</f>
        <v>0</v>
      </c>
      <c r="O742" s="38">
        <f>IFERROR(VLOOKUP(A:A,[2]Sheet1!$A:$B,2,0),)</f>
        <v>0</v>
      </c>
      <c r="P742" s="38">
        <f>IFERROR(VLOOKUP(A:A,[2]Sheet1!$A:$B,2,0),)</f>
        <v>0</v>
      </c>
      <c r="Q742" s="38">
        <f t="shared" si="11"/>
        <v>0</v>
      </c>
      <c r="R742" s="38"/>
      <c r="S742" s="38"/>
    </row>
    <row r="743" spans="1:19" hidden="1" x14ac:dyDescent="0.25">
      <c r="A743" s="38" t="str">
        <f>F743&amp;C743</f>
        <v/>
      </c>
      <c r="B743" s="38" t="str">
        <f>IF(J743&gt;=SUMIFS(E:E,C:C,C743),"Good to go","Short in Qty")</f>
        <v>Good to go</v>
      </c>
      <c r="C743" s="40"/>
      <c r="D743" s="40"/>
      <c r="E743" s="66"/>
      <c r="F743" s="38"/>
      <c r="G743" s="40"/>
      <c r="H743" s="38"/>
      <c r="I743" s="38"/>
      <c r="J743" s="38">
        <f>IFERROR(VLOOKUP(C:C,'[1]S&amp;S'!$B:$F,5,0),)</f>
        <v>0</v>
      </c>
      <c r="K743" s="38">
        <f>IFERROR(VLOOKUP(A:A,[1]APO!$A:$F,6,0),)</f>
        <v>0</v>
      </c>
      <c r="L743" s="38">
        <f>IFERROR(VLOOKUP(C:C,'[1]TOTAL APO'!$A:$B,2,0),)</f>
        <v>0</v>
      </c>
      <c r="M743" s="38">
        <f>IFERROR(VLOOKUP(A:A,[1]Short!$A:$Q,17,0),)</f>
        <v>0</v>
      </c>
      <c r="N743" s="38">
        <f>IFERROR(VLOOKUP(C:C,[1]GIT!$B:$D,3,0),)</f>
        <v>0</v>
      </c>
      <c r="O743" s="38">
        <f>IFERROR(VLOOKUP(A:A,[2]Sheet1!$A:$B,2,0),)</f>
        <v>0</v>
      </c>
      <c r="P743" s="38">
        <f>IFERROR(VLOOKUP(A:A,[2]Sheet1!$A:$B,2,0),)</f>
        <v>0</v>
      </c>
      <c r="Q743" s="38">
        <f t="shared" si="11"/>
        <v>0</v>
      </c>
      <c r="R743" s="38"/>
      <c r="S743" s="38"/>
    </row>
    <row r="744" spans="1:19" hidden="1" x14ac:dyDescent="0.25">
      <c r="A744" s="38" t="str">
        <f>F744&amp;C744</f>
        <v/>
      </c>
      <c r="B744" s="38" t="str">
        <f>IF(J744&gt;=SUMIFS(E:E,C:C,C744),"Good to go","Short in Qty")</f>
        <v>Good to go</v>
      </c>
      <c r="C744" s="40"/>
      <c r="D744" s="40"/>
      <c r="E744" s="66"/>
      <c r="F744" s="38"/>
      <c r="G744" s="40"/>
      <c r="H744" s="38"/>
      <c r="I744" s="38"/>
      <c r="J744" s="38">
        <f>IFERROR(VLOOKUP(C:C,'[1]S&amp;S'!$B:$F,5,0),)</f>
        <v>0</v>
      </c>
      <c r="K744" s="38">
        <f>IFERROR(VLOOKUP(A:A,[1]APO!$A:$F,6,0),)</f>
        <v>0</v>
      </c>
      <c r="L744" s="38">
        <f>IFERROR(VLOOKUP(C:C,'[1]TOTAL APO'!$A:$B,2,0),)</f>
        <v>0</v>
      </c>
      <c r="M744" s="38">
        <f>IFERROR(VLOOKUP(A:A,[1]Short!$A:$Q,17,0),)</f>
        <v>0</v>
      </c>
      <c r="N744" s="38">
        <f>IFERROR(VLOOKUP(C:C,[1]GIT!$B:$D,3,0),)</f>
        <v>0</v>
      </c>
      <c r="O744" s="38">
        <f>IFERROR(VLOOKUP(A:A,[2]Sheet1!$A:$B,2,0),)</f>
        <v>0</v>
      </c>
      <c r="P744" s="38">
        <f>IFERROR(VLOOKUP(A:A,[2]Sheet1!$A:$B,2,0),)</f>
        <v>0</v>
      </c>
      <c r="Q744" s="38">
        <f t="shared" si="11"/>
        <v>0</v>
      </c>
      <c r="R744" s="38"/>
      <c r="S744" s="38"/>
    </row>
    <row r="745" spans="1:19" hidden="1" x14ac:dyDescent="0.25">
      <c r="A745" s="38" t="str">
        <f>F745&amp;C745</f>
        <v/>
      </c>
      <c r="B745" s="38" t="str">
        <f>IF(J745&gt;=SUMIFS(E:E,C:C,C745),"Good to go","Short in Qty")</f>
        <v>Good to go</v>
      </c>
      <c r="C745" s="40"/>
      <c r="D745" s="40"/>
      <c r="E745" s="66"/>
      <c r="F745" s="38"/>
      <c r="G745" s="40"/>
      <c r="H745" s="38"/>
      <c r="I745" s="38"/>
      <c r="J745" s="38">
        <f>IFERROR(VLOOKUP(C:C,'[1]S&amp;S'!$B:$F,5,0),)</f>
        <v>0</v>
      </c>
      <c r="K745" s="38">
        <f>IFERROR(VLOOKUP(A:A,[1]APO!$A:$F,6,0),)</f>
        <v>0</v>
      </c>
      <c r="L745" s="38">
        <f>IFERROR(VLOOKUP(C:C,'[1]TOTAL APO'!$A:$B,2,0),)</f>
        <v>0</v>
      </c>
      <c r="M745" s="38">
        <f>IFERROR(VLOOKUP(A:A,[1]Short!$A:$Q,17,0),)</f>
        <v>0</v>
      </c>
      <c r="N745" s="38">
        <f>IFERROR(VLOOKUP(C:C,[1]GIT!$B:$D,3,0),)</f>
        <v>0</v>
      </c>
      <c r="O745" s="38">
        <f>IFERROR(VLOOKUP(A:A,[2]Sheet1!$A:$B,2,0),)</f>
        <v>0</v>
      </c>
      <c r="P745" s="38">
        <f>IFERROR(VLOOKUP(A:A,[2]Sheet1!$A:$B,2,0),)</f>
        <v>0</v>
      </c>
      <c r="Q745" s="38">
        <f t="shared" si="11"/>
        <v>0</v>
      </c>
      <c r="R745" s="38"/>
      <c r="S745" s="38"/>
    </row>
    <row r="746" spans="1:19" hidden="1" x14ac:dyDescent="0.25">
      <c r="A746" s="38" t="str">
        <f>F746&amp;C746</f>
        <v/>
      </c>
      <c r="B746" s="38" t="str">
        <f>IF(J746&gt;=SUMIFS(E:E,C:C,C746),"Good to go","Short in Qty")</f>
        <v>Good to go</v>
      </c>
      <c r="C746" s="40"/>
      <c r="D746" s="40"/>
      <c r="E746" s="66"/>
      <c r="F746" s="38"/>
      <c r="G746" s="40"/>
      <c r="H746" s="38"/>
      <c r="I746" s="38"/>
      <c r="J746" s="38">
        <f>IFERROR(VLOOKUP(C:C,'[1]S&amp;S'!$B:$F,5,0),)</f>
        <v>0</v>
      </c>
      <c r="K746" s="38">
        <f>IFERROR(VLOOKUP(A:A,[1]APO!$A:$F,6,0),)</f>
        <v>0</v>
      </c>
      <c r="L746" s="38">
        <f>IFERROR(VLOOKUP(C:C,'[1]TOTAL APO'!$A:$B,2,0),)</f>
        <v>0</v>
      </c>
      <c r="M746" s="38">
        <f>IFERROR(VLOOKUP(A:A,[1]Short!$A:$Q,17,0),)</f>
        <v>0</v>
      </c>
      <c r="N746" s="38">
        <f>IFERROR(VLOOKUP(C:C,[1]GIT!$B:$D,3,0),)</f>
        <v>0</v>
      </c>
      <c r="O746" s="38">
        <f>IFERROR(VLOOKUP(A:A,[2]Sheet1!$A:$B,2,0),)</f>
        <v>0</v>
      </c>
      <c r="P746" s="38">
        <f>IFERROR(VLOOKUP(A:A,[2]Sheet1!$A:$B,2,0),)</f>
        <v>0</v>
      </c>
      <c r="Q746" s="38">
        <f t="shared" si="11"/>
        <v>0</v>
      </c>
      <c r="R746" s="38"/>
      <c r="S746" s="38"/>
    </row>
    <row r="747" spans="1:19" hidden="1" x14ac:dyDescent="0.25">
      <c r="A747" s="38" t="str">
        <f>F747&amp;C747</f>
        <v/>
      </c>
      <c r="B747" s="38" t="str">
        <f>IF(J747&gt;=SUMIFS(E:E,C:C,C747),"Good to go","Short in Qty")</f>
        <v>Good to go</v>
      </c>
      <c r="C747" s="40"/>
      <c r="D747" s="40"/>
      <c r="E747" s="66"/>
      <c r="F747" s="38"/>
      <c r="G747" s="40"/>
      <c r="H747" s="38"/>
      <c r="I747" s="38"/>
      <c r="J747" s="38">
        <f>IFERROR(VLOOKUP(C:C,'[1]S&amp;S'!$B:$F,5,0),)</f>
        <v>0</v>
      </c>
      <c r="K747" s="38">
        <f>IFERROR(VLOOKUP(A:A,[1]APO!$A:$F,6,0),)</f>
        <v>0</v>
      </c>
      <c r="L747" s="38">
        <f>IFERROR(VLOOKUP(C:C,'[1]TOTAL APO'!$A:$B,2,0),)</f>
        <v>0</v>
      </c>
      <c r="M747" s="38">
        <f>IFERROR(VLOOKUP(A:A,[1]Short!$A:$Q,17,0),)</f>
        <v>0</v>
      </c>
      <c r="N747" s="38">
        <f>IFERROR(VLOOKUP(C:C,[1]GIT!$B:$D,3,0),)</f>
        <v>0</v>
      </c>
      <c r="O747" s="38">
        <f>IFERROR(VLOOKUP(A:A,[2]Sheet1!$A:$B,2,0),)</f>
        <v>0</v>
      </c>
      <c r="P747" s="38">
        <f>IFERROR(VLOOKUP(A:A,[2]Sheet1!$A:$B,2,0),)</f>
        <v>0</v>
      </c>
      <c r="Q747" s="38">
        <f t="shared" si="11"/>
        <v>0</v>
      </c>
      <c r="R747" s="38"/>
      <c r="S747" s="38"/>
    </row>
    <row r="748" spans="1:19" hidden="1" x14ac:dyDescent="0.25">
      <c r="A748" s="38" t="str">
        <f>F748&amp;C748</f>
        <v/>
      </c>
      <c r="B748" s="38" t="str">
        <f>IF(J748&gt;=SUMIFS(E:E,C:C,C748),"Good to go","Short in Qty")</f>
        <v>Good to go</v>
      </c>
      <c r="C748" s="40"/>
      <c r="D748" s="40"/>
      <c r="E748" s="66"/>
      <c r="F748" s="38"/>
      <c r="G748" s="40"/>
      <c r="H748" s="38"/>
      <c r="I748" s="38"/>
      <c r="J748" s="38">
        <f>IFERROR(VLOOKUP(C:C,'[1]S&amp;S'!$B:$F,5,0),)</f>
        <v>0</v>
      </c>
      <c r="K748" s="38">
        <f>IFERROR(VLOOKUP(A:A,[1]APO!$A:$F,6,0),)</f>
        <v>0</v>
      </c>
      <c r="L748" s="38">
        <f>IFERROR(VLOOKUP(C:C,'[1]TOTAL APO'!$A:$B,2,0),)</f>
        <v>0</v>
      </c>
      <c r="M748" s="38">
        <f>IFERROR(VLOOKUP(A:A,[1]Short!$A:$Q,17,0),)</f>
        <v>0</v>
      </c>
      <c r="N748" s="38">
        <f>IFERROR(VLOOKUP(C:C,[1]GIT!$B:$D,3,0),)</f>
        <v>0</v>
      </c>
      <c r="O748" s="38">
        <f>IFERROR(VLOOKUP(A:A,[2]Sheet1!$A:$B,2,0),)</f>
        <v>0</v>
      </c>
      <c r="P748" s="38">
        <f>IFERROR(VLOOKUP(A:A,[2]Sheet1!$A:$B,2,0),)</f>
        <v>0</v>
      </c>
      <c r="Q748" s="38">
        <f t="shared" si="11"/>
        <v>0</v>
      </c>
      <c r="R748" s="38"/>
      <c r="S748" s="38"/>
    </row>
    <row r="749" spans="1:19" hidden="1" x14ac:dyDescent="0.25">
      <c r="A749" s="38" t="str">
        <f>F749&amp;C749</f>
        <v/>
      </c>
      <c r="B749" s="38" t="str">
        <f>IF(J749&gt;=SUMIFS(E:E,C:C,C749),"Good to go","Short in Qty")</f>
        <v>Good to go</v>
      </c>
      <c r="C749" s="40"/>
      <c r="D749" s="40"/>
      <c r="E749" s="66"/>
      <c r="F749" s="38"/>
      <c r="G749" s="40"/>
      <c r="H749" s="38"/>
      <c r="I749" s="38"/>
      <c r="J749" s="38">
        <f>IFERROR(VLOOKUP(C:C,'[1]S&amp;S'!$B:$F,5,0),)</f>
        <v>0</v>
      </c>
      <c r="K749" s="38">
        <f>IFERROR(VLOOKUP(A:A,[1]APO!$A:$F,6,0),)</f>
        <v>0</v>
      </c>
      <c r="L749" s="38">
        <f>IFERROR(VLOOKUP(C:C,'[1]TOTAL APO'!$A:$B,2,0),)</f>
        <v>0</v>
      </c>
      <c r="M749" s="38">
        <f>IFERROR(VLOOKUP(A:A,[1]Short!$A:$Q,17,0),)</f>
        <v>0</v>
      </c>
      <c r="N749" s="38">
        <f>IFERROR(VLOOKUP(C:C,[1]GIT!$B:$D,3,0),)</f>
        <v>0</v>
      </c>
      <c r="O749" s="38">
        <f>IFERROR(VLOOKUP(A:A,[2]Sheet1!$A:$B,2,0),)</f>
        <v>0</v>
      </c>
      <c r="P749" s="38">
        <f>IFERROR(VLOOKUP(A:A,[2]Sheet1!$A:$B,2,0),)</f>
        <v>0</v>
      </c>
      <c r="Q749" s="38">
        <f t="shared" si="11"/>
        <v>0</v>
      </c>
      <c r="R749" s="38"/>
      <c r="S749" s="38"/>
    </row>
    <row r="750" spans="1:19" hidden="1" x14ac:dyDescent="0.25">
      <c r="A750" s="38" t="str">
        <f>F750&amp;C750</f>
        <v/>
      </c>
      <c r="B750" s="38" t="str">
        <f>IF(J750&gt;=SUMIFS(E:E,C:C,C750),"Good to go","Short in Qty")</f>
        <v>Good to go</v>
      </c>
      <c r="C750" s="40"/>
      <c r="D750" s="40"/>
      <c r="E750" s="66"/>
      <c r="F750" s="38"/>
      <c r="G750" s="40"/>
      <c r="H750" s="38"/>
      <c r="I750" s="38"/>
      <c r="J750" s="38">
        <f>IFERROR(VLOOKUP(C:C,'[1]S&amp;S'!$B:$F,5,0),)</f>
        <v>0</v>
      </c>
      <c r="K750" s="38">
        <f>IFERROR(VLOOKUP(A:A,[1]APO!$A:$F,6,0),)</f>
        <v>0</v>
      </c>
      <c r="L750" s="38">
        <f>IFERROR(VLOOKUP(C:C,'[1]TOTAL APO'!$A:$B,2,0),)</f>
        <v>0</v>
      </c>
      <c r="M750" s="38">
        <f>IFERROR(VLOOKUP(A:A,[1]Short!$A:$Q,17,0),)</f>
        <v>0</v>
      </c>
      <c r="N750" s="38">
        <f>IFERROR(VLOOKUP(C:C,[1]GIT!$B:$D,3,0),)</f>
        <v>0</v>
      </c>
      <c r="O750" s="38">
        <f>IFERROR(VLOOKUP(A:A,[2]Sheet1!$A:$B,2,0),)</f>
        <v>0</v>
      </c>
      <c r="P750" s="38">
        <f>IFERROR(VLOOKUP(A:A,[2]Sheet1!$A:$B,2,0),)</f>
        <v>0</v>
      </c>
      <c r="Q750" s="38">
        <f t="shared" si="11"/>
        <v>0</v>
      </c>
      <c r="R750" s="38"/>
      <c r="S750" s="38"/>
    </row>
    <row r="751" spans="1:19" hidden="1" x14ac:dyDescent="0.25">
      <c r="A751" s="38" t="str">
        <f>F751&amp;C751</f>
        <v/>
      </c>
      <c r="B751" s="38" t="str">
        <f>IF(J751&gt;=SUMIFS(E:E,C:C,C751),"Good to go","Short in Qty")</f>
        <v>Good to go</v>
      </c>
      <c r="C751" s="40"/>
      <c r="D751" s="40"/>
      <c r="E751" s="66"/>
      <c r="F751" s="38"/>
      <c r="G751" s="40"/>
      <c r="H751" s="38"/>
      <c r="I751" s="38"/>
      <c r="J751" s="38">
        <f>IFERROR(VLOOKUP(C:C,'[1]S&amp;S'!$B:$F,5,0),)</f>
        <v>0</v>
      </c>
      <c r="K751" s="38">
        <f>IFERROR(VLOOKUP(A:A,[1]APO!$A:$F,6,0),)</f>
        <v>0</v>
      </c>
      <c r="L751" s="38">
        <f>IFERROR(VLOOKUP(C:C,'[1]TOTAL APO'!$A:$B,2,0),)</f>
        <v>0</v>
      </c>
      <c r="M751" s="38">
        <f>IFERROR(VLOOKUP(A:A,[1]Short!$A:$Q,17,0),)</f>
        <v>0</v>
      </c>
      <c r="N751" s="38">
        <f>IFERROR(VLOOKUP(C:C,[1]GIT!$B:$D,3,0),)</f>
        <v>0</v>
      </c>
      <c r="O751" s="38">
        <f>IFERROR(VLOOKUP(A:A,[2]Sheet1!$A:$B,2,0),)</f>
        <v>0</v>
      </c>
      <c r="P751" s="38">
        <f>IFERROR(VLOOKUP(A:A,[2]Sheet1!$A:$B,2,0),)</f>
        <v>0</v>
      </c>
      <c r="Q751" s="38">
        <f t="shared" si="11"/>
        <v>0</v>
      </c>
      <c r="R751" s="38"/>
      <c r="S751" s="38"/>
    </row>
    <row r="752" spans="1:19" hidden="1" x14ac:dyDescent="0.25">
      <c r="A752" s="38" t="str">
        <f>F752&amp;C752</f>
        <v/>
      </c>
      <c r="B752" s="38" t="str">
        <f>IF(J752&gt;=SUMIFS(E:E,C:C,C752),"Good to go","Short in Qty")</f>
        <v>Good to go</v>
      </c>
      <c r="C752" s="40"/>
      <c r="D752" s="40"/>
      <c r="E752" s="66"/>
      <c r="F752" s="38"/>
      <c r="G752" s="40"/>
      <c r="H752" s="38"/>
      <c r="I752" s="38"/>
      <c r="J752" s="38">
        <f>IFERROR(VLOOKUP(C:C,'[1]S&amp;S'!$B:$F,5,0),)</f>
        <v>0</v>
      </c>
      <c r="K752" s="38">
        <f>IFERROR(VLOOKUP(A:A,[1]APO!$A:$F,6,0),)</f>
        <v>0</v>
      </c>
      <c r="L752" s="38">
        <f>IFERROR(VLOOKUP(C:C,'[1]TOTAL APO'!$A:$B,2,0),)</f>
        <v>0</v>
      </c>
      <c r="M752" s="38">
        <f>IFERROR(VLOOKUP(A:A,[1]Short!$A:$Q,17,0),)</f>
        <v>0</v>
      </c>
      <c r="N752" s="38">
        <f>IFERROR(VLOOKUP(C:C,[1]GIT!$B:$D,3,0),)</f>
        <v>0</v>
      </c>
      <c r="O752" s="38">
        <f>IFERROR(VLOOKUP(A:A,[2]Sheet1!$A:$B,2,0),)</f>
        <v>0</v>
      </c>
      <c r="P752" s="38">
        <f>IFERROR(VLOOKUP(A:A,[2]Sheet1!$A:$B,2,0),)</f>
        <v>0</v>
      </c>
      <c r="Q752" s="38">
        <f t="shared" si="11"/>
        <v>0</v>
      </c>
      <c r="R752" s="38"/>
      <c r="S752" s="38"/>
    </row>
    <row r="753" spans="1:19" hidden="1" x14ac:dyDescent="0.25">
      <c r="A753" s="38" t="str">
        <f>F753&amp;C753</f>
        <v/>
      </c>
      <c r="B753" s="38" t="str">
        <f>IF(J753&gt;=SUMIFS(E:E,C:C,C753),"Good to go","Short in Qty")</f>
        <v>Good to go</v>
      </c>
      <c r="C753" s="40"/>
      <c r="D753" s="40"/>
      <c r="E753" s="66"/>
      <c r="F753" s="38"/>
      <c r="G753" s="40"/>
      <c r="H753" s="38"/>
      <c r="I753" s="38"/>
      <c r="J753" s="38">
        <f>IFERROR(VLOOKUP(C:C,'[1]S&amp;S'!$B:$F,5,0),)</f>
        <v>0</v>
      </c>
      <c r="K753" s="38">
        <f>IFERROR(VLOOKUP(A:A,[1]APO!$A:$F,6,0),)</f>
        <v>0</v>
      </c>
      <c r="L753" s="38">
        <f>IFERROR(VLOOKUP(C:C,'[1]TOTAL APO'!$A:$B,2,0),)</f>
        <v>0</v>
      </c>
      <c r="M753" s="38">
        <f>IFERROR(VLOOKUP(A:A,[1]Short!$A:$Q,17,0),)</f>
        <v>0</v>
      </c>
      <c r="N753" s="38">
        <f>IFERROR(VLOOKUP(C:C,[1]GIT!$B:$D,3,0),)</f>
        <v>0</v>
      </c>
      <c r="O753" s="38">
        <f>IFERROR(VLOOKUP(A:A,[2]Sheet1!$A:$B,2,0),)</f>
        <v>0</v>
      </c>
      <c r="P753" s="38">
        <f>IFERROR(VLOOKUP(A:A,[2]Sheet1!$A:$B,2,0),)</f>
        <v>0</v>
      </c>
      <c r="Q753" s="38">
        <f t="shared" si="11"/>
        <v>0</v>
      </c>
      <c r="R753" s="38"/>
      <c r="S753" s="38"/>
    </row>
    <row r="754" spans="1:19" hidden="1" x14ac:dyDescent="0.25">
      <c r="A754" s="38" t="str">
        <f>F754&amp;C754</f>
        <v/>
      </c>
      <c r="B754" s="38" t="str">
        <f>IF(J754&gt;=SUMIFS(E:E,C:C,C754),"Good to go","Short in Qty")</f>
        <v>Good to go</v>
      </c>
      <c r="C754" s="40"/>
      <c r="D754" s="40"/>
      <c r="E754" s="66"/>
      <c r="F754" s="38"/>
      <c r="G754" s="40"/>
      <c r="H754" s="38"/>
      <c r="I754" s="38"/>
      <c r="J754" s="38">
        <f>IFERROR(VLOOKUP(C:C,'[1]S&amp;S'!$B:$F,5,0),)</f>
        <v>0</v>
      </c>
      <c r="K754" s="38">
        <f>IFERROR(VLOOKUP(A:A,[1]APO!$A:$F,6,0),)</f>
        <v>0</v>
      </c>
      <c r="L754" s="38">
        <f>IFERROR(VLOOKUP(C:C,'[1]TOTAL APO'!$A:$B,2,0),)</f>
        <v>0</v>
      </c>
      <c r="M754" s="38">
        <f>IFERROR(VLOOKUP(A:A,[1]Short!$A:$Q,17,0),)</f>
        <v>0</v>
      </c>
      <c r="N754" s="38">
        <f>IFERROR(VLOOKUP(C:C,[1]GIT!$B:$D,3,0),)</f>
        <v>0</v>
      </c>
      <c r="O754" s="38">
        <f>IFERROR(VLOOKUP(A:A,[2]Sheet1!$A:$B,2,0),)</f>
        <v>0</v>
      </c>
      <c r="P754" s="38">
        <f>IFERROR(VLOOKUP(A:A,[2]Sheet1!$A:$B,2,0),)</f>
        <v>0</v>
      </c>
      <c r="Q754" s="38">
        <f t="shared" si="11"/>
        <v>0</v>
      </c>
      <c r="R754" s="38"/>
      <c r="S754" s="38"/>
    </row>
    <row r="755" spans="1:19" hidden="1" x14ac:dyDescent="0.25">
      <c r="A755" s="38" t="str">
        <f>F755&amp;C755</f>
        <v/>
      </c>
      <c r="B755" s="38" t="str">
        <f>IF(J755&gt;=SUMIFS(E:E,C:C,C755),"Good to go","Short in Qty")</f>
        <v>Good to go</v>
      </c>
      <c r="C755" s="40"/>
      <c r="D755" s="40"/>
      <c r="E755" s="66"/>
      <c r="F755" s="38"/>
      <c r="G755" s="40"/>
      <c r="H755" s="38"/>
      <c r="I755" s="38"/>
      <c r="J755" s="38">
        <f>IFERROR(VLOOKUP(C:C,'[1]S&amp;S'!$B:$F,5,0),)</f>
        <v>0</v>
      </c>
      <c r="K755" s="38">
        <f>IFERROR(VLOOKUP(A:A,[1]APO!$A:$F,6,0),)</f>
        <v>0</v>
      </c>
      <c r="L755" s="38">
        <f>IFERROR(VLOOKUP(C:C,'[1]TOTAL APO'!$A:$B,2,0),)</f>
        <v>0</v>
      </c>
      <c r="M755" s="38">
        <f>IFERROR(VLOOKUP(A:A,[1]Short!$A:$Q,17,0),)</f>
        <v>0</v>
      </c>
      <c r="N755" s="38">
        <f>IFERROR(VLOOKUP(C:C,[1]GIT!$B:$D,3,0),)</f>
        <v>0</v>
      </c>
      <c r="O755" s="38">
        <f>IFERROR(VLOOKUP(A:A,[2]Sheet1!$A:$B,2,0),)</f>
        <v>0</v>
      </c>
      <c r="P755" s="38">
        <f>IFERROR(VLOOKUP(A:A,[2]Sheet1!$A:$B,2,0),)</f>
        <v>0</v>
      </c>
      <c r="Q755" s="38">
        <f t="shared" si="11"/>
        <v>0</v>
      </c>
      <c r="R755" s="38"/>
      <c r="S755" s="38"/>
    </row>
    <row r="756" spans="1:19" hidden="1" x14ac:dyDescent="0.25">
      <c r="A756" s="38" t="str">
        <f>F756&amp;C756</f>
        <v/>
      </c>
      <c r="B756" s="38" t="str">
        <f>IF(J756&gt;=SUMIFS(E:E,C:C,C756),"Good to go","Short in Qty")</f>
        <v>Good to go</v>
      </c>
      <c r="C756" s="40"/>
      <c r="D756" s="40"/>
      <c r="E756" s="66"/>
      <c r="F756" s="38"/>
      <c r="G756" s="40"/>
      <c r="H756" s="38"/>
      <c r="I756" s="38"/>
      <c r="J756" s="38">
        <f>IFERROR(VLOOKUP(C:C,'[1]S&amp;S'!$B:$F,5,0),)</f>
        <v>0</v>
      </c>
      <c r="K756" s="38">
        <f>IFERROR(VLOOKUP(A:A,[1]APO!$A:$F,6,0),)</f>
        <v>0</v>
      </c>
      <c r="L756" s="38">
        <f>IFERROR(VLOOKUP(C:C,'[1]TOTAL APO'!$A:$B,2,0),)</f>
        <v>0</v>
      </c>
      <c r="M756" s="38">
        <f>IFERROR(VLOOKUP(A:A,[1]Short!$A:$Q,17,0),)</f>
        <v>0</v>
      </c>
      <c r="N756" s="38">
        <f>IFERROR(VLOOKUP(C:C,[1]GIT!$B:$D,3,0),)</f>
        <v>0</v>
      </c>
      <c r="O756" s="38">
        <f>IFERROR(VLOOKUP(A:A,[2]Sheet1!$A:$B,2,0),)</f>
        <v>0</v>
      </c>
      <c r="P756" s="38">
        <f>IFERROR(VLOOKUP(A:A,[2]Sheet1!$A:$B,2,0),)</f>
        <v>0</v>
      </c>
      <c r="Q756" s="38">
        <f t="shared" si="11"/>
        <v>0</v>
      </c>
      <c r="R756" s="38"/>
      <c r="S756" s="38"/>
    </row>
    <row r="757" spans="1:19" hidden="1" x14ac:dyDescent="0.25">
      <c r="A757" s="38" t="str">
        <f>F757&amp;C757</f>
        <v/>
      </c>
      <c r="B757" s="38" t="str">
        <f>IF(J757&gt;=SUMIFS(E:E,C:C,C757),"Good to go","Short in Qty")</f>
        <v>Good to go</v>
      </c>
      <c r="C757" s="40"/>
      <c r="D757" s="40"/>
      <c r="E757" s="66"/>
      <c r="F757" s="38"/>
      <c r="G757" s="40"/>
      <c r="H757" s="38"/>
      <c r="I757" s="38"/>
      <c r="J757" s="38">
        <f>IFERROR(VLOOKUP(C:C,'[1]S&amp;S'!$B:$F,5,0),)</f>
        <v>0</v>
      </c>
      <c r="K757" s="38">
        <f>IFERROR(VLOOKUP(A:A,[1]APO!$A:$F,6,0),)</f>
        <v>0</v>
      </c>
      <c r="L757" s="38">
        <f>IFERROR(VLOOKUP(C:C,'[1]TOTAL APO'!$A:$B,2,0),)</f>
        <v>0</v>
      </c>
      <c r="M757" s="38">
        <f>IFERROR(VLOOKUP(A:A,[1]Short!$A:$Q,17,0),)</f>
        <v>0</v>
      </c>
      <c r="N757" s="38">
        <f>IFERROR(VLOOKUP(C:C,[1]GIT!$B:$D,3,0),)</f>
        <v>0</v>
      </c>
      <c r="O757" s="38">
        <f>IFERROR(VLOOKUP(A:A,[2]Sheet1!$A:$B,2,0),)</f>
        <v>0</v>
      </c>
      <c r="P757" s="38">
        <f>IFERROR(VLOOKUP(A:A,[2]Sheet1!$A:$B,2,0),)</f>
        <v>0</v>
      </c>
      <c r="Q757" s="38">
        <f t="shared" si="11"/>
        <v>0</v>
      </c>
      <c r="R757" s="38"/>
      <c r="S757" s="38"/>
    </row>
    <row r="758" spans="1:19" hidden="1" x14ac:dyDescent="0.25">
      <c r="A758" s="38" t="str">
        <f>F758&amp;C758</f>
        <v/>
      </c>
      <c r="B758" s="38" t="str">
        <f>IF(J758&gt;=SUMIFS(E:E,C:C,C758),"Good to go","Short in Qty")</f>
        <v>Good to go</v>
      </c>
      <c r="C758" s="40"/>
      <c r="D758" s="40"/>
      <c r="E758" s="66"/>
      <c r="F758" s="38"/>
      <c r="G758" s="40"/>
      <c r="H758" s="38"/>
      <c r="I758" s="38"/>
      <c r="J758" s="38">
        <f>IFERROR(VLOOKUP(C:C,'[1]S&amp;S'!$B:$F,5,0),)</f>
        <v>0</v>
      </c>
      <c r="K758" s="38">
        <f>IFERROR(VLOOKUP(A:A,[1]APO!$A:$F,6,0),)</f>
        <v>0</v>
      </c>
      <c r="L758" s="38">
        <f>IFERROR(VLOOKUP(C:C,'[1]TOTAL APO'!$A:$B,2,0),)</f>
        <v>0</v>
      </c>
      <c r="M758" s="38">
        <f>IFERROR(VLOOKUP(A:A,[1]Short!$A:$Q,17,0),)</f>
        <v>0</v>
      </c>
      <c r="N758" s="38">
        <f>IFERROR(VLOOKUP(C:C,[1]GIT!$B:$D,3,0),)</f>
        <v>0</v>
      </c>
      <c r="O758" s="38">
        <f>IFERROR(VLOOKUP(A:A,[2]Sheet1!$A:$B,2,0),)</f>
        <v>0</v>
      </c>
      <c r="P758" s="38">
        <f>IFERROR(VLOOKUP(A:A,[2]Sheet1!$A:$B,2,0),)</f>
        <v>0</v>
      </c>
      <c r="Q758" s="38">
        <f t="shared" si="11"/>
        <v>0</v>
      </c>
      <c r="R758" s="38"/>
      <c r="S758" s="38"/>
    </row>
    <row r="759" spans="1:19" hidden="1" x14ac:dyDescent="0.25">
      <c r="A759" s="38" t="str">
        <f>F759&amp;C759</f>
        <v/>
      </c>
      <c r="B759" s="38" t="str">
        <f>IF(J759&gt;=SUMIFS(E:E,C:C,C759),"Good to go","Short in Qty")</f>
        <v>Good to go</v>
      </c>
      <c r="C759" s="40"/>
      <c r="D759" s="40"/>
      <c r="E759" s="66"/>
      <c r="F759" s="38"/>
      <c r="G759" s="40"/>
      <c r="H759" s="38"/>
      <c r="I759" s="38"/>
      <c r="J759" s="38">
        <f>IFERROR(VLOOKUP(C:C,'[1]S&amp;S'!$B:$F,5,0),)</f>
        <v>0</v>
      </c>
      <c r="K759" s="38">
        <f>IFERROR(VLOOKUP(A:A,[1]APO!$A:$F,6,0),)</f>
        <v>0</v>
      </c>
      <c r="L759" s="38">
        <f>IFERROR(VLOOKUP(C:C,'[1]TOTAL APO'!$A:$B,2,0),)</f>
        <v>0</v>
      </c>
      <c r="M759" s="38">
        <f>IFERROR(VLOOKUP(A:A,[1]Short!$A:$Q,17,0),)</f>
        <v>0</v>
      </c>
      <c r="N759" s="38">
        <f>IFERROR(VLOOKUP(C:C,[1]GIT!$B:$D,3,0),)</f>
        <v>0</v>
      </c>
      <c r="O759" s="38">
        <f>IFERROR(VLOOKUP(A:A,[2]Sheet1!$A:$B,2,0),)</f>
        <v>0</v>
      </c>
      <c r="P759" s="38">
        <f>IFERROR(VLOOKUP(A:A,[2]Sheet1!$A:$B,2,0),)</f>
        <v>0</v>
      </c>
      <c r="Q759" s="38">
        <f t="shared" si="11"/>
        <v>0</v>
      </c>
      <c r="R759" s="38"/>
      <c r="S759" s="38"/>
    </row>
    <row r="760" spans="1:19" hidden="1" x14ac:dyDescent="0.25">
      <c r="A760" s="38" t="str">
        <f>F760&amp;C760</f>
        <v/>
      </c>
      <c r="B760" s="38" t="str">
        <f>IF(J760&gt;=SUMIFS(E:E,C:C,C760),"Good to go","Short in Qty")</f>
        <v>Good to go</v>
      </c>
      <c r="C760" s="40"/>
      <c r="D760" s="40"/>
      <c r="E760" s="66"/>
      <c r="F760" s="38"/>
      <c r="G760" s="40"/>
      <c r="H760" s="38"/>
      <c r="I760" s="38"/>
      <c r="J760" s="38">
        <f>IFERROR(VLOOKUP(C:C,'[1]S&amp;S'!$B:$F,5,0),)</f>
        <v>0</v>
      </c>
      <c r="K760" s="38">
        <f>IFERROR(VLOOKUP(A:A,[1]APO!$A:$F,6,0),)</f>
        <v>0</v>
      </c>
      <c r="L760" s="38">
        <f>IFERROR(VLOOKUP(C:C,'[1]TOTAL APO'!$A:$B,2,0),)</f>
        <v>0</v>
      </c>
      <c r="M760" s="38">
        <f>IFERROR(VLOOKUP(A:A,[1]Short!$A:$Q,17,0),)</f>
        <v>0</v>
      </c>
      <c r="N760" s="38">
        <f>IFERROR(VLOOKUP(C:C,[1]GIT!$B:$D,3,0),)</f>
        <v>0</v>
      </c>
      <c r="O760" s="38">
        <f>IFERROR(VLOOKUP(A:A,[2]Sheet1!$A:$B,2,0),)</f>
        <v>0</v>
      </c>
      <c r="P760" s="38">
        <f>IFERROR(VLOOKUP(A:A,[2]Sheet1!$A:$B,2,0),)</f>
        <v>0</v>
      </c>
      <c r="Q760" s="38">
        <f t="shared" si="11"/>
        <v>0</v>
      </c>
      <c r="R760" s="38"/>
      <c r="S760" s="38"/>
    </row>
    <row r="761" spans="1:19" hidden="1" x14ac:dyDescent="0.25">
      <c r="A761" s="38" t="str">
        <f>F761&amp;C761</f>
        <v/>
      </c>
      <c r="B761" s="38" t="str">
        <f>IF(J761&gt;=SUMIFS(E:E,C:C,C761),"Good to go","Short in Qty")</f>
        <v>Good to go</v>
      </c>
      <c r="C761" s="40"/>
      <c r="D761" s="40"/>
      <c r="E761" s="66"/>
      <c r="F761" s="38"/>
      <c r="G761" s="40"/>
      <c r="H761" s="38"/>
      <c r="I761" s="38"/>
      <c r="J761" s="38">
        <f>IFERROR(VLOOKUP(C:C,'[1]S&amp;S'!$B:$F,5,0),)</f>
        <v>0</v>
      </c>
      <c r="K761" s="38">
        <f>IFERROR(VLOOKUP(A:A,[1]APO!$A:$F,6,0),)</f>
        <v>0</v>
      </c>
      <c r="L761" s="38">
        <f>IFERROR(VLOOKUP(C:C,'[1]TOTAL APO'!$A:$B,2,0),)</f>
        <v>0</v>
      </c>
      <c r="M761" s="38">
        <f>IFERROR(VLOOKUP(A:A,[1]Short!$A:$Q,17,0),)</f>
        <v>0</v>
      </c>
      <c r="N761" s="38">
        <f>IFERROR(VLOOKUP(C:C,[1]GIT!$B:$D,3,0),)</f>
        <v>0</v>
      </c>
      <c r="O761" s="38">
        <f>IFERROR(VLOOKUP(A:A,[2]Sheet1!$A:$B,2,0),)</f>
        <v>0</v>
      </c>
      <c r="P761" s="38">
        <f>IFERROR(VLOOKUP(A:A,[2]Sheet1!$A:$B,2,0),)</f>
        <v>0</v>
      </c>
      <c r="Q761" s="38">
        <f t="shared" si="11"/>
        <v>0</v>
      </c>
      <c r="R761" s="38"/>
      <c r="S761" s="38"/>
    </row>
    <row r="762" spans="1:19" hidden="1" x14ac:dyDescent="0.25">
      <c r="A762" s="38" t="str">
        <f>F762&amp;C762</f>
        <v/>
      </c>
      <c r="B762" s="38" t="str">
        <f>IF(J762&gt;=SUMIFS(E:E,C:C,C762),"Good to go","Short in Qty")</f>
        <v>Good to go</v>
      </c>
      <c r="C762" s="40"/>
      <c r="D762" s="40"/>
      <c r="E762" s="66"/>
      <c r="F762" s="38"/>
      <c r="G762" s="40"/>
      <c r="H762" s="38"/>
      <c r="I762" s="38"/>
      <c r="J762" s="38">
        <f>IFERROR(VLOOKUP(C:C,'[1]S&amp;S'!$B:$F,5,0),)</f>
        <v>0</v>
      </c>
      <c r="K762" s="38">
        <f>IFERROR(VLOOKUP(A:A,[1]APO!$A:$F,6,0),)</f>
        <v>0</v>
      </c>
      <c r="L762" s="38">
        <f>IFERROR(VLOOKUP(C:C,'[1]TOTAL APO'!$A:$B,2,0),)</f>
        <v>0</v>
      </c>
      <c r="M762" s="38">
        <f>IFERROR(VLOOKUP(A:A,[1]Short!$A:$Q,17,0),)</f>
        <v>0</v>
      </c>
      <c r="N762" s="38">
        <f>IFERROR(VLOOKUP(C:C,[1]GIT!$B:$D,3,0),)</f>
        <v>0</v>
      </c>
      <c r="O762" s="38">
        <f>IFERROR(VLOOKUP(A:A,[2]Sheet1!$A:$B,2,0),)</f>
        <v>0</v>
      </c>
      <c r="P762" s="38">
        <f>IFERROR(VLOOKUP(A:A,[2]Sheet1!$A:$B,2,0),)</f>
        <v>0</v>
      </c>
      <c r="Q762" s="38">
        <f t="shared" si="11"/>
        <v>0</v>
      </c>
      <c r="R762" s="38"/>
      <c r="S762" s="38"/>
    </row>
    <row r="763" spans="1:19" hidden="1" x14ac:dyDescent="0.25">
      <c r="A763" s="38" t="str">
        <f>F763&amp;C763</f>
        <v/>
      </c>
      <c r="B763" s="38" t="str">
        <f>IF(J763&gt;=SUMIFS(E:E,C:C,C763),"Good to go","Short in Qty")</f>
        <v>Good to go</v>
      </c>
      <c r="C763" s="40"/>
      <c r="D763" s="40"/>
      <c r="E763" s="66"/>
      <c r="F763" s="38"/>
      <c r="G763" s="40"/>
      <c r="H763" s="38"/>
      <c r="I763" s="38"/>
      <c r="J763" s="38">
        <f>IFERROR(VLOOKUP(C:C,'[1]S&amp;S'!$B:$F,5,0),)</f>
        <v>0</v>
      </c>
      <c r="K763" s="38">
        <f>IFERROR(VLOOKUP(A:A,[1]APO!$A:$F,6,0),)</f>
        <v>0</v>
      </c>
      <c r="L763" s="38">
        <f>IFERROR(VLOOKUP(C:C,'[1]TOTAL APO'!$A:$B,2,0),)</f>
        <v>0</v>
      </c>
      <c r="M763" s="38">
        <f>IFERROR(VLOOKUP(A:A,[1]Short!$A:$Q,17,0),)</f>
        <v>0</v>
      </c>
      <c r="N763" s="38">
        <f>IFERROR(VLOOKUP(C:C,[1]GIT!$B:$D,3,0),)</f>
        <v>0</v>
      </c>
      <c r="O763" s="38">
        <f>IFERROR(VLOOKUP(A:A,[2]Sheet1!$A:$B,2,0),)</f>
        <v>0</v>
      </c>
      <c r="P763" s="38">
        <f>IFERROR(VLOOKUP(A:A,[2]Sheet1!$A:$B,2,0),)</f>
        <v>0</v>
      </c>
      <c r="Q763" s="38">
        <f t="shared" si="11"/>
        <v>0</v>
      </c>
      <c r="R763" s="38"/>
      <c r="S763" s="38"/>
    </row>
    <row r="764" spans="1:19" hidden="1" x14ac:dyDescent="0.25">
      <c r="A764" s="38" t="str">
        <f>F764&amp;C764</f>
        <v/>
      </c>
      <c r="B764" s="38" t="str">
        <f>IF(J764&gt;=SUMIFS(E:E,C:C,C764),"Good to go","Short in Qty")</f>
        <v>Good to go</v>
      </c>
      <c r="C764" s="40"/>
      <c r="D764" s="40"/>
      <c r="E764" s="66"/>
      <c r="F764" s="38"/>
      <c r="G764" s="40"/>
      <c r="H764" s="38"/>
      <c r="I764" s="38"/>
      <c r="J764" s="38">
        <f>IFERROR(VLOOKUP(C:C,'[1]S&amp;S'!$B:$F,5,0),)</f>
        <v>0</v>
      </c>
      <c r="K764" s="38">
        <f>IFERROR(VLOOKUP(A:A,[1]APO!$A:$F,6,0),)</f>
        <v>0</v>
      </c>
      <c r="L764" s="38">
        <f>IFERROR(VLOOKUP(C:C,'[1]TOTAL APO'!$A:$B,2,0),)</f>
        <v>0</v>
      </c>
      <c r="M764" s="38">
        <f>IFERROR(VLOOKUP(A:A,[1]Short!$A:$Q,17,0),)</f>
        <v>0</v>
      </c>
      <c r="N764" s="38">
        <f>IFERROR(VLOOKUP(C:C,[1]GIT!$B:$D,3,0),)</f>
        <v>0</v>
      </c>
      <c r="O764" s="38">
        <f>IFERROR(VLOOKUP(A:A,[2]Sheet1!$A:$B,2,0),)</f>
        <v>0</v>
      </c>
      <c r="P764" s="38">
        <f>IFERROR(VLOOKUP(A:A,[2]Sheet1!$A:$B,2,0),)</f>
        <v>0</v>
      </c>
      <c r="Q764" s="38">
        <f t="shared" si="11"/>
        <v>0</v>
      </c>
      <c r="R764" s="38"/>
      <c r="S764" s="38"/>
    </row>
    <row r="765" spans="1:19" hidden="1" x14ac:dyDescent="0.25">
      <c r="A765" s="38" t="str">
        <f>F765&amp;C765</f>
        <v/>
      </c>
      <c r="B765" s="38" t="str">
        <f>IF(J765&gt;=SUMIFS(E:E,C:C,C765),"Good to go","Short in Qty")</f>
        <v>Good to go</v>
      </c>
      <c r="C765" s="40"/>
      <c r="D765" s="40"/>
      <c r="E765" s="66"/>
      <c r="F765" s="38"/>
      <c r="G765" s="40"/>
      <c r="H765" s="38"/>
      <c r="I765" s="38"/>
      <c r="J765" s="38">
        <f>IFERROR(VLOOKUP(C:C,'[1]S&amp;S'!$B:$F,5,0),)</f>
        <v>0</v>
      </c>
      <c r="K765" s="38">
        <f>IFERROR(VLOOKUP(A:A,[1]APO!$A:$F,6,0),)</f>
        <v>0</v>
      </c>
      <c r="L765" s="38">
        <f>IFERROR(VLOOKUP(C:C,'[1]TOTAL APO'!$A:$B,2,0),)</f>
        <v>0</v>
      </c>
      <c r="M765" s="38">
        <f>IFERROR(VLOOKUP(A:A,[1]Short!$A:$Q,17,0),)</f>
        <v>0</v>
      </c>
      <c r="N765" s="38">
        <f>IFERROR(VLOOKUP(C:C,[1]GIT!$B:$D,3,0),)</f>
        <v>0</v>
      </c>
      <c r="O765" s="38">
        <f>IFERROR(VLOOKUP(A:A,[2]Sheet1!$A:$B,2,0),)</f>
        <v>0</v>
      </c>
      <c r="P765" s="38">
        <f>IFERROR(VLOOKUP(A:A,[2]Sheet1!$A:$B,2,0),)</f>
        <v>0</v>
      </c>
      <c r="Q765" s="38">
        <f t="shared" si="11"/>
        <v>0</v>
      </c>
      <c r="R765" s="38"/>
      <c r="S765" s="38"/>
    </row>
    <row r="766" spans="1:19" hidden="1" x14ac:dyDescent="0.25">
      <c r="A766" s="38" t="str">
        <f>F766&amp;C766</f>
        <v/>
      </c>
      <c r="B766" s="38" t="str">
        <f>IF(J766&gt;=SUMIFS(E:E,C:C,C766),"Good to go","Short in Qty")</f>
        <v>Good to go</v>
      </c>
      <c r="C766" s="40"/>
      <c r="D766" s="40"/>
      <c r="E766" s="66"/>
      <c r="F766" s="38"/>
      <c r="G766" s="40"/>
      <c r="H766" s="38"/>
      <c r="I766" s="38"/>
      <c r="J766" s="38">
        <f>IFERROR(VLOOKUP(C:C,'[1]S&amp;S'!$B:$F,5,0),)</f>
        <v>0</v>
      </c>
      <c r="K766" s="38">
        <f>IFERROR(VLOOKUP(A:A,[1]APO!$A:$F,6,0),)</f>
        <v>0</v>
      </c>
      <c r="L766" s="38">
        <f>IFERROR(VLOOKUP(C:C,'[1]TOTAL APO'!$A:$B,2,0),)</f>
        <v>0</v>
      </c>
      <c r="M766" s="38">
        <f>IFERROR(VLOOKUP(A:A,[1]Short!$A:$Q,17,0),)</f>
        <v>0</v>
      </c>
      <c r="N766" s="38">
        <f>IFERROR(VLOOKUP(C:C,[1]GIT!$B:$D,3,0),)</f>
        <v>0</v>
      </c>
      <c r="O766" s="38">
        <f>IFERROR(VLOOKUP(A:A,[2]Sheet1!$A:$B,2,0),)</f>
        <v>0</v>
      </c>
      <c r="P766" s="38">
        <f>IFERROR(VLOOKUP(A:A,[2]Sheet1!$A:$B,2,0),)</f>
        <v>0</v>
      </c>
      <c r="Q766" s="38">
        <f t="shared" si="11"/>
        <v>0</v>
      </c>
      <c r="R766" s="38"/>
      <c r="S766" s="38"/>
    </row>
    <row r="767" spans="1:19" hidden="1" x14ac:dyDescent="0.25">
      <c r="A767" s="38" t="str">
        <f>F767&amp;C767</f>
        <v/>
      </c>
      <c r="B767" s="38" t="str">
        <f>IF(J767&gt;=SUMIFS(E:E,C:C,C767),"Good to go","Short in Qty")</f>
        <v>Good to go</v>
      </c>
      <c r="C767" s="40"/>
      <c r="D767" s="40"/>
      <c r="E767" s="66"/>
      <c r="F767" s="38"/>
      <c r="G767" s="40"/>
      <c r="H767" s="38"/>
      <c r="I767" s="38"/>
      <c r="J767" s="38">
        <f>IFERROR(VLOOKUP(C:C,'[1]S&amp;S'!$B:$F,5,0),)</f>
        <v>0</v>
      </c>
      <c r="K767" s="38">
        <f>IFERROR(VLOOKUP(A:A,[1]APO!$A:$F,6,0),)</f>
        <v>0</v>
      </c>
      <c r="L767" s="38">
        <f>IFERROR(VLOOKUP(C:C,'[1]TOTAL APO'!$A:$B,2,0),)</f>
        <v>0</v>
      </c>
      <c r="M767" s="38">
        <f>IFERROR(VLOOKUP(A:A,[1]Short!$A:$Q,17,0),)</f>
        <v>0</v>
      </c>
      <c r="N767" s="38">
        <f>IFERROR(VLOOKUP(C:C,[1]GIT!$B:$D,3,0),)</f>
        <v>0</v>
      </c>
      <c r="O767" s="38">
        <f>IFERROR(VLOOKUP(A:A,[2]Sheet1!$A:$B,2,0),)</f>
        <v>0</v>
      </c>
      <c r="P767" s="38">
        <f>IFERROR(VLOOKUP(A:A,[2]Sheet1!$A:$B,2,0),)</f>
        <v>0</v>
      </c>
      <c r="Q767" s="38">
        <f t="shared" si="11"/>
        <v>0</v>
      </c>
      <c r="R767" s="38"/>
      <c r="S767" s="38"/>
    </row>
    <row r="768" spans="1:19" hidden="1" x14ac:dyDescent="0.25">
      <c r="A768" s="38" t="str">
        <f>F768&amp;C768</f>
        <v/>
      </c>
      <c r="B768" s="38" t="str">
        <f>IF(J768&gt;=SUMIFS(E:E,C:C,C768),"Good to go","Short in Qty")</f>
        <v>Good to go</v>
      </c>
      <c r="C768" s="40"/>
      <c r="D768" s="40"/>
      <c r="E768" s="66"/>
      <c r="F768" s="38"/>
      <c r="G768" s="40"/>
      <c r="H768" s="38"/>
      <c r="I768" s="38"/>
      <c r="J768" s="38">
        <f>IFERROR(VLOOKUP(C:C,'[1]S&amp;S'!$B:$F,5,0),)</f>
        <v>0</v>
      </c>
      <c r="K768" s="38">
        <f>IFERROR(VLOOKUP(A:A,[1]APO!$A:$F,6,0),)</f>
        <v>0</v>
      </c>
      <c r="L768" s="38">
        <f>IFERROR(VLOOKUP(C:C,'[1]TOTAL APO'!$A:$B,2,0),)</f>
        <v>0</v>
      </c>
      <c r="M768" s="38">
        <f>IFERROR(VLOOKUP(A:A,[1]Short!$A:$Q,17,0),)</f>
        <v>0</v>
      </c>
      <c r="N768" s="38">
        <f>IFERROR(VLOOKUP(C:C,[1]GIT!$B:$D,3,0),)</f>
        <v>0</v>
      </c>
      <c r="O768" s="38">
        <f>IFERROR(VLOOKUP(A:A,[2]Sheet1!$A:$B,2,0),)</f>
        <v>0</v>
      </c>
      <c r="P768" s="38">
        <f>IFERROR(VLOOKUP(A:A,[2]Sheet1!$A:$B,2,0),)</f>
        <v>0</v>
      </c>
      <c r="Q768" s="38">
        <f t="shared" si="11"/>
        <v>0</v>
      </c>
      <c r="R768" s="38"/>
      <c r="S768" s="38"/>
    </row>
    <row r="769" spans="1:19" hidden="1" x14ac:dyDescent="0.25">
      <c r="A769" s="38" t="str">
        <f>F769&amp;C769</f>
        <v/>
      </c>
      <c r="B769" s="38" t="str">
        <f>IF(J769&gt;=SUMIFS(E:E,C:C,C769),"Good to go","Short in Qty")</f>
        <v>Good to go</v>
      </c>
      <c r="C769" s="40"/>
      <c r="D769" s="40"/>
      <c r="E769" s="66"/>
      <c r="F769" s="38"/>
      <c r="G769" s="40"/>
      <c r="H769" s="38"/>
      <c r="I769" s="38"/>
      <c r="J769" s="38">
        <f>IFERROR(VLOOKUP(C:C,'[1]S&amp;S'!$B:$F,5,0),)</f>
        <v>0</v>
      </c>
      <c r="K769" s="38">
        <f>IFERROR(VLOOKUP(A:A,[1]APO!$A:$F,6,0),)</f>
        <v>0</v>
      </c>
      <c r="L769" s="38">
        <f>IFERROR(VLOOKUP(C:C,'[1]TOTAL APO'!$A:$B,2,0),)</f>
        <v>0</v>
      </c>
      <c r="M769" s="38">
        <f>IFERROR(VLOOKUP(A:A,[1]Short!$A:$Q,17,0),)</f>
        <v>0</v>
      </c>
      <c r="N769" s="38">
        <f>IFERROR(VLOOKUP(C:C,[1]GIT!$B:$D,3,0),)</f>
        <v>0</v>
      </c>
      <c r="O769" s="38">
        <f>IFERROR(VLOOKUP(A:A,[2]Sheet1!$A:$B,2,0),)</f>
        <v>0</v>
      </c>
      <c r="P769" s="38">
        <f>IFERROR(VLOOKUP(A:A,[2]Sheet1!$A:$B,2,0),)</f>
        <v>0</v>
      </c>
      <c r="Q769" s="38">
        <f t="shared" si="11"/>
        <v>0</v>
      </c>
      <c r="R769" s="38"/>
      <c r="S769" s="38"/>
    </row>
    <row r="770" spans="1:19" hidden="1" x14ac:dyDescent="0.25">
      <c r="A770" s="38" t="str">
        <f>F770&amp;C770</f>
        <v/>
      </c>
      <c r="B770" s="38" t="str">
        <f>IF(J770&gt;=SUMIFS(E:E,C:C,C770),"Good to go","Short in Qty")</f>
        <v>Good to go</v>
      </c>
      <c r="C770" s="40"/>
      <c r="D770" s="40"/>
      <c r="E770" s="66"/>
      <c r="F770" s="38"/>
      <c r="G770" s="40"/>
      <c r="H770" s="38"/>
      <c r="I770" s="38"/>
      <c r="J770" s="38">
        <f>IFERROR(VLOOKUP(C:C,'[1]S&amp;S'!$B:$F,5,0),)</f>
        <v>0</v>
      </c>
      <c r="K770" s="38">
        <f>IFERROR(VLOOKUP(A:A,[1]APO!$A:$F,6,0),)</f>
        <v>0</v>
      </c>
      <c r="L770" s="38">
        <f>IFERROR(VLOOKUP(C:C,'[1]TOTAL APO'!$A:$B,2,0),)</f>
        <v>0</v>
      </c>
      <c r="M770" s="38">
        <f>IFERROR(VLOOKUP(A:A,[1]Short!$A:$Q,17,0),)</f>
        <v>0</v>
      </c>
      <c r="N770" s="38">
        <f>IFERROR(VLOOKUP(C:C,[1]GIT!$B:$D,3,0),)</f>
        <v>0</v>
      </c>
      <c r="O770" s="38">
        <f>IFERROR(VLOOKUP(A:A,[2]Sheet1!$A:$B,2,0),)</f>
        <v>0</v>
      </c>
      <c r="P770" s="38">
        <f>IFERROR(VLOOKUP(A:A,[2]Sheet1!$A:$B,2,0),)</f>
        <v>0</v>
      </c>
      <c r="Q770" s="38">
        <f t="shared" si="11"/>
        <v>0</v>
      </c>
      <c r="R770" s="38"/>
      <c r="S770" s="38"/>
    </row>
    <row r="771" spans="1:19" hidden="1" x14ac:dyDescent="0.25">
      <c r="A771" s="38" t="str">
        <f>F771&amp;C771</f>
        <v/>
      </c>
      <c r="B771" s="38" t="str">
        <f>IF(J771&gt;=SUMIFS(E:E,C:C,C771),"Good to go","Short in Qty")</f>
        <v>Good to go</v>
      </c>
      <c r="C771" s="40"/>
      <c r="D771" s="40"/>
      <c r="E771" s="66"/>
      <c r="F771" s="38"/>
      <c r="G771" s="40"/>
      <c r="H771" s="38"/>
      <c r="I771" s="38"/>
      <c r="J771" s="38">
        <f>IFERROR(VLOOKUP(C:C,'[1]S&amp;S'!$B:$F,5,0),)</f>
        <v>0</v>
      </c>
      <c r="K771" s="38">
        <f>IFERROR(VLOOKUP(A:A,[1]APO!$A:$F,6,0),)</f>
        <v>0</v>
      </c>
      <c r="L771" s="38">
        <f>IFERROR(VLOOKUP(C:C,'[1]TOTAL APO'!$A:$B,2,0),)</f>
        <v>0</v>
      </c>
      <c r="M771" s="38">
        <f>IFERROR(VLOOKUP(A:A,[1]Short!$A:$Q,17,0),)</f>
        <v>0</v>
      </c>
      <c r="N771" s="38">
        <f>IFERROR(VLOOKUP(C:C,[1]GIT!$B:$D,3,0),)</f>
        <v>0</v>
      </c>
      <c r="O771" s="38">
        <f>IFERROR(VLOOKUP(A:A,[2]Sheet1!$A:$B,2,0),)</f>
        <v>0</v>
      </c>
      <c r="P771" s="38">
        <f>IFERROR(VLOOKUP(A:A,[2]Sheet1!$A:$B,2,0),)</f>
        <v>0</v>
      </c>
      <c r="Q771" s="38">
        <f t="shared" ref="Q771:Q834" si="12">+E771-P771</f>
        <v>0</v>
      </c>
      <c r="R771" s="38"/>
      <c r="S771" s="38"/>
    </row>
    <row r="772" spans="1:19" hidden="1" x14ac:dyDescent="0.25">
      <c r="A772" s="38" t="str">
        <f>F772&amp;C772</f>
        <v/>
      </c>
      <c r="B772" s="38" t="str">
        <f>IF(J772&gt;=SUMIFS(E:E,C:C,C772),"Good to go","Short in Qty")</f>
        <v>Good to go</v>
      </c>
      <c r="C772" s="40"/>
      <c r="D772" s="40"/>
      <c r="E772" s="66"/>
      <c r="F772" s="38"/>
      <c r="G772" s="40"/>
      <c r="H772" s="38"/>
      <c r="I772" s="38"/>
      <c r="J772" s="38">
        <f>IFERROR(VLOOKUP(C:C,'[1]S&amp;S'!$B:$F,5,0),)</f>
        <v>0</v>
      </c>
      <c r="K772" s="38">
        <f>IFERROR(VLOOKUP(A:A,[1]APO!$A:$F,6,0),)</f>
        <v>0</v>
      </c>
      <c r="L772" s="38">
        <f>IFERROR(VLOOKUP(C:C,'[1]TOTAL APO'!$A:$B,2,0),)</f>
        <v>0</v>
      </c>
      <c r="M772" s="38">
        <f>IFERROR(VLOOKUP(A:A,[1]Short!$A:$Q,17,0),)</f>
        <v>0</v>
      </c>
      <c r="N772" s="38">
        <f>IFERROR(VLOOKUP(C:C,[1]GIT!$B:$D,3,0),)</f>
        <v>0</v>
      </c>
      <c r="O772" s="38">
        <f>IFERROR(VLOOKUP(A:A,[2]Sheet1!$A:$B,2,0),)</f>
        <v>0</v>
      </c>
      <c r="P772" s="38">
        <f>IFERROR(VLOOKUP(A:A,[2]Sheet1!$A:$B,2,0),)</f>
        <v>0</v>
      </c>
      <c r="Q772" s="38">
        <f t="shared" si="12"/>
        <v>0</v>
      </c>
      <c r="R772" s="38"/>
      <c r="S772" s="38"/>
    </row>
    <row r="773" spans="1:19" hidden="1" x14ac:dyDescent="0.25">
      <c r="A773" s="38" t="str">
        <f>F773&amp;C773</f>
        <v/>
      </c>
      <c r="B773" s="38" t="str">
        <f>IF(J773&gt;=SUMIFS(E:E,C:C,C773),"Good to go","Short in Qty")</f>
        <v>Good to go</v>
      </c>
      <c r="C773" s="40"/>
      <c r="D773" s="40"/>
      <c r="E773" s="66"/>
      <c r="F773" s="38"/>
      <c r="G773" s="40"/>
      <c r="H773" s="38"/>
      <c r="I773" s="38"/>
      <c r="J773" s="38">
        <f>IFERROR(VLOOKUP(C:C,'[1]S&amp;S'!$B:$F,5,0),)</f>
        <v>0</v>
      </c>
      <c r="K773" s="38">
        <f>IFERROR(VLOOKUP(A:A,[1]APO!$A:$F,6,0),)</f>
        <v>0</v>
      </c>
      <c r="L773" s="38">
        <f>IFERROR(VLOOKUP(C:C,'[1]TOTAL APO'!$A:$B,2,0),)</f>
        <v>0</v>
      </c>
      <c r="M773" s="38">
        <f>IFERROR(VLOOKUP(A:A,[1]Short!$A:$Q,17,0),)</f>
        <v>0</v>
      </c>
      <c r="N773" s="38">
        <f>IFERROR(VLOOKUP(C:C,[1]GIT!$B:$D,3,0),)</f>
        <v>0</v>
      </c>
      <c r="O773" s="38">
        <f>IFERROR(VLOOKUP(A:A,[2]Sheet1!$A:$B,2,0),)</f>
        <v>0</v>
      </c>
      <c r="P773" s="38">
        <f>IFERROR(VLOOKUP(A:A,[2]Sheet1!$A:$B,2,0),)</f>
        <v>0</v>
      </c>
      <c r="Q773" s="38">
        <f t="shared" si="12"/>
        <v>0</v>
      </c>
      <c r="R773" s="38"/>
      <c r="S773" s="38"/>
    </row>
    <row r="774" spans="1:19" hidden="1" x14ac:dyDescent="0.25">
      <c r="A774" s="38" t="str">
        <f>F774&amp;C774</f>
        <v/>
      </c>
      <c r="B774" s="38" t="str">
        <f>IF(J774&gt;=SUMIFS(E:E,C:C,C774),"Good to go","Short in Qty")</f>
        <v>Good to go</v>
      </c>
      <c r="C774" s="40"/>
      <c r="D774" s="40"/>
      <c r="E774" s="66"/>
      <c r="F774" s="38"/>
      <c r="G774" s="40"/>
      <c r="H774" s="38"/>
      <c r="I774" s="38"/>
      <c r="J774" s="38">
        <f>IFERROR(VLOOKUP(C:C,'[1]S&amp;S'!$B:$F,5,0),)</f>
        <v>0</v>
      </c>
      <c r="K774" s="38">
        <f>IFERROR(VLOOKUP(A:A,[1]APO!$A:$F,6,0),)</f>
        <v>0</v>
      </c>
      <c r="L774" s="38">
        <f>IFERROR(VLOOKUP(C:C,'[1]TOTAL APO'!$A:$B,2,0),)</f>
        <v>0</v>
      </c>
      <c r="M774" s="38">
        <f>IFERROR(VLOOKUP(A:A,[1]Short!$A:$Q,17,0),)</f>
        <v>0</v>
      </c>
      <c r="N774" s="38">
        <f>IFERROR(VLOOKUP(C:C,[1]GIT!$B:$D,3,0),)</f>
        <v>0</v>
      </c>
      <c r="O774" s="38">
        <f>IFERROR(VLOOKUP(A:A,[2]Sheet1!$A:$B,2,0),)</f>
        <v>0</v>
      </c>
      <c r="P774" s="38">
        <f>IFERROR(VLOOKUP(A:A,[2]Sheet1!$A:$B,2,0),)</f>
        <v>0</v>
      </c>
      <c r="Q774" s="38">
        <f t="shared" si="12"/>
        <v>0</v>
      </c>
      <c r="R774" s="38"/>
      <c r="S774" s="38"/>
    </row>
    <row r="775" spans="1:19" hidden="1" x14ac:dyDescent="0.25">
      <c r="A775" s="38" t="str">
        <f>F775&amp;C775</f>
        <v/>
      </c>
      <c r="B775" s="38" t="str">
        <f>IF(J775&gt;=SUMIFS(E:E,C:C,C775),"Good to go","Short in Qty")</f>
        <v>Good to go</v>
      </c>
      <c r="C775" s="40"/>
      <c r="D775" s="40"/>
      <c r="E775" s="66"/>
      <c r="F775" s="38"/>
      <c r="G775" s="40"/>
      <c r="H775" s="38"/>
      <c r="I775" s="38"/>
      <c r="J775" s="38">
        <f>IFERROR(VLOOKUP(C:C,'[1]S&amp;S'!$B:$F,5,0),)</f>
        <v>0</v>
      </c>
      <c r="K775" s="38">
        <f>IFERROR(VLOOKUP(A:A,[1]APO!$A:$F,6,0),)</f>
        <v>0</v>
      </c>
      <c r="L775" s="38">
        <f>IFERROR(VLOOKUP(C:C,'[1]TOTAL APO'!$A:$B,2,0),)</f>
        <v>0</v>
      </c>
      <c r="M775" s="38">
        <f>IFERROR(VLOOKUP(A:A,[1]Short!$A:$Q,17,0),)</f>
        <v>0</v>
      </c>
      <c r="N775" s="38">
        <f>IFERROR(VLOOKUP(C:C,[1]GIT!$B:$D,3,0),)</f>
        <v>0</v>
      </c>
      <c r="O775" s="38">
        <f>IFERROR(VLOOKUP(A:A,[2]Sheet1!$A:$B,2,0),)</f>
        <v>0</v>
      </c>
      <c r="P775" s="38">
        <f>IFERROR(VLOOKUP(A:A,[2]Sheet1!$A:$B,2,0),)</f>
        <v>0</v>
      </c>
      <c r="Q775" s="38">
        <f t="shared" si="12"/>
        <v>0</v>
      </c>
      <c r="R775" s="38"/>
      <c r="S775" s="38"/>
    </row>
    <row r="776" spans="1:19" hidden="1" x14ac:dyDescent="0.25">
      <c r="A776" s="38" t="str">
        <f>F776&amp;C776</f>
        <v/>
      </c>
      <c r="B776" s="38" t="str">
        <f>IF(J776&gt;=SUMIFS(E:E,C:C,C776),"Good to go","Short in Qty")</f>
        <v>Good to go</v>
      </c>
      <c r="C776" s="40"/>
      <c r="D776" s="40"/>
      <c r="E776" s="66"/>
      <c r="F776" s="38"/>
      <c r="G776" s="40"/>
      <c r="H776" s="38"/>
      <c r="I776" s="38"/>
      <c r="J776" s="38">
        <f>IFERROR(VLOOKUP(C:C,'[1]S&amp;S'!$B:$F,5,0),)</f>
        <v>0</v>
      </c>
      <c r="K776" s="38">
        <f>IFERROR(VLOOKUP(A:A,[1]APO!$A:$F,6,0),)</f>
        <v>0</v>
      </c>
      <c r="L776" s="38">
        <f>IFERROR(VLOOKUP(C:C,'[1]TOTAL APO'!$A:$B,2,0),)</f>
        <v>0</v>
      </c>
      <c r="M776" s="38">
        <f>IFERROR(VLOOKUP(A:A,[1]Short!$A:$Q,17,0),)</f>
        <v>0</v>
      </c>
      <c r="N776" s="38">
        <f>IFERROR(VLOOKUP(C:C,[1]GIT!$B:$D,3,0),)</f>
        <v>0</v>
      </c>
      <c r="O776" s="38">
        <f>IFERROR(VLOOKUP(A:A,[2]Sheet1!$A:$B,2,0),)</f>
        <v>0</v>
      </c>
      <c r="P776" s="38">
        <f>IFERROR(VLOOKUP(A:A,[2]Sheet1!$A:$B,2,0),)</f>
        <v>0</v>
      </c>
      <c r="Q776" s="38">
        <f t="shared" si="12"/>
        <v>0</v>
      </c>
      <c r="R776" s="38"/>
      <c r="S776" s="38"/>
    </row>
    <row r="777" spans="1:19" hidden="1" x14ac:dyDescent="0.25">
      <c r="A777" s="38" t="str">
        <f>F777&amp;C777</f>
        <v/>
      </c>
      <c r="B777" s="38" t="str">
        <f>IF(J777&gt;=SUMIFS(E:E,C:C,C777),"Good to go","Short in Qty")</f>
        <v>Good to go</v>
      </c>
      <c r="C777" s="40"/>
      <c r="D777" s="40"/>
      <c r="E777" s="66"/>
      <c r="F777" s="38"/>
      <c r="G777" s="40"/>
      <c r="H777" s="38"/>
      <c r="I777" s="38"/>
      <c r="J777" s="38">
        <f>IFERROR(VLOOKUP(C:C,'[1]S&amp;S'!$B:$F,5,0),)</f>
        <v>0</v>
      </c>
      <c r="K777" s="38">
        <f>IFERROR(VLOOKUP(A:A,[1]APO!$A:$F,6,0),)</f>
        <v>0</v>
      </c>
      <c r="L777" s="38">
        <f>IFERROR(VLOOKUP(C:C,'[1]TOTAL APO'!$A:$B,2,0),)</f>
        <v>0</v>
      </c>
      <c r="M777" s="38">
        <f>IFERROR(VLOOKUP(A:A,[1]Short!$A:$Q,17,0),)</f>
        <v>0</v>
      </c>
      <c r="N777" s="38">
        <f>IFERROR(VLOOKUP(C:C,[1]GIT!$B:$D,3,0),)</f>
        <v>0</v>
      </c>
      <c r="O777" s="38">
        <f>IFERROR(VLOOKUP(A:A,[2]Sheet1!$A:$B,2,0),)</f>
        <v>0</v>
      </c>
      <c r="P777" s="38">
        <f>IFERROR(VLOOKUP(A:A,[2]Sheet1!$A:$B,2,0),)</f>
        <v>0</v>
      </c>
      <c r="Q777" s="38">
        <f t="shared" si="12"/>
        <v>0</v>
      </c>
      <c r="R777" s="38"/>
      <c r="S777" s="38"/>
    </row>
    <row r="778" spans="1:19" hidden="1" x14ac:dyDescent="0.25">
      <c r="A778" s="38" t="str">
        <f>F778&amp;C778</f>
        <v/>
      </c>
      <c r="B778" s="38" t="str">
        <f>IF(J778&gt;=SUMIFS(E:E,C:C,C778),"Good to go","Short in Qty")</f>
        <v>Good to go</v>
      </c>
      <c r="C778" s="40"/>
      <c r="D778" s="40"/>
      <c r="E778" s="66"/>
      <c r="F778" s="38"/>
      <c r="G778" s="40"/>
      <c r="H778" s="38"/>
      <c r="I778" s="38"/>
      <c r="J778" s="38">
        <f>IFERROR(VLOOKUP(C:C,'[1]S&amp;S'!$B:$F,5,0),)</f>
        <v>0</v>
      </c>
      <c r="K778" s="38">
        <f>IFERROR(VLOOKUP(A:A,[1]APO!$A:$F,6,0),)</f>
        <v>0</v>
      </c>
      <c r="L778" s="38">
        <f>IFERROR(VLOOKUP(C:C,'[1]TOTAL APO'!$A:$B,2,0),)</f>
        <v>0</v>
      </c>
      <c r="M778" s="38">
        <f>IFERROR(VLOOKUP(A:A,[1]Short!$A:$Q,17,0),)</f>
        <v>0</v>
      </c>
      <c r="N778" s="38">
        <f>IFERROR(VLOOKUP(C:C,[1]GIT!$B:$D,3,0),)</f>
        <v>0</v>
      </c>
      <c r="O778" s="38">
        <f>IFERROR(VLOOKUP(A:A,[2]Sheet1!$A:$B,2,0),)</f>
        <v>0</v>
      </c>
      <c r="P778" s="38">
        <f>IFERROR(VLOOKUP(A:A,[2]Sheet1!$A:$B,2,0),)</f>
        <v>0</v>
      </c>
      <c r="Q778" s="38">
        <f t="shared" si="12"/>
        <v>0</v>
      </c>
      <c r="R778" s="38"/>
      <c r="S778" s="38"/>
    </row>
    <row r="779" spans="1:19" hidden="1" x14ac:dyDescent="0.25">
      <c r="A779" s="38" t="str">
        <f>F779&amp;C779</f>
        <v/>
      </c>
      <c r="B779" s="38" t="str">
        <f>IF(J779&gt;=SUMIFS(E:E,C:C,C779),"Good to go","Short in Qty")</f>
        <v>Good to go</v>
      </c>
      <c r="C779" s="40"/>
      <c r="D779" s="40"/>
      <c r="E779" s="66"/>
      <c r="F779" s="38"/>
      <c r="G779" s="40"/>
      <c r="H779" s="38"/>
      <c r="I779" s="38"/>
      <c r="J779" s="38">
        <f>IFERROR(VLOOKUP(C:C,'[1]S&amp;S'!$B:$F,5,0),)</f>
        <v>0</v>
      </c>
      <c r="K779" s="38">
        <f>IFERROR(VLOOKUP(A:A,[1]APO!$A:$F,6,0),)</f>
        <v>0</v>
      </c>
      <c r="L779" s="38">
        <f>IFERROR(VLOOKUP(C:C,'[1]TOTAL APO'!$A:$B,2,0),)</f>
        <v>0</v>
      </c>
      <c r="M779" s="38">
        <f>IFERROR(VLOOKUP(A:A,[1]Short!$A:$Q,17,0),)</f>
        <v>0</v>
      </c>
      <c r="N779" s="38">
        <f>IFERROR(VLOOKUP(C:C,[1]GIT!$B:$D,3,0),)</f>
        <v>0</v>
      </c>
      <c r="O779" s="38">
        <f>IFERROR(VLOOKUP(A:A,[2]Sheet1!$A:$B,2,0),)</f>
        <v>0</v>
      </c>
      <c r="P779" s="38">
        <f>IFERROR(VLOOKUP(A:A,[2]Sheet1!$A:$B,2,0),)</f>
        <v>0</v>
      </c>
      <c r="Q779" s="38">
        <f t="shared" si="12"/>
        <v>0</v>
      </c>
      <c r="R779" s="38"/>
      <c r="S779" s="38"/>
    </row>
    <row r="780" spans="1:19" hidden="1" x14ac:dyDescent="0.25">
      <c r="A780" s="38" t="str">
        <f>F780&amp;C780</f>
        <v/>
      </c>
      <c r="B780" s="38" t="str">
        <f>IF(J780&gt;=SUMIFS(E:E,C:C,C780),"Good to go","Short in Qty")</f>
        <v>Good to go</v>
      </c>
      <c r="C780" s="40"/>
      <c r="D780" s="40"/>
      <c r="E780" s="66"/>
      <c r="F780" s="38"/>
      <c r="G780" s="40"/>
      <c r="H780" s="38"/>
      <c r="I780" s="38"/>
      <c r="J780" s="38">
        <f>IFERROR(VLOOKUP(C:C,'[1]S&amp;S'!$B:$F,5,0),)</f>
        <v>0</v>
      </c>
      <c r="K780" s="38">
        <f>IFERROR(VLOOKUP(A:A,[1]APO!$A:$F,6,0),)</f>
        <v>0</v>
      </c>
      <c r="L780" s="38">
        <f>IFERROR(VLOOKUP(C:C,'[1]TOTAL APO'!$A:$B,2,0),)</f>
        <v>0</v>
      </c>
      <c r="M780" s="38">
        <f>IFERROR(VLOOKUP(A:A,[1]Short!$A:$Q,17,0),)</f>
        <v>0</v>
      </c>
      <c r="N780" s="38">
        <f>IFERROR(VLOOKUP(C:C,[1]GIT!$B:$D,3,0),)</f>
        <v>0</v>
      </c>
      <c r="O780" s="38">
        <f>IFERROR(VLOOKUP(A:A,[2]Sheet1!$A:$B,2,0),)</f>
        <v>0</v>
      </c>
      <c r="P780" s="38">
        <f>IFERROR(VLOOKUP(A:A,[2]Sheet1!$A:$B,2,0),)</f>
        <v>0</v>
      </c>
      <c r="Q780" s="38">
        <f t="shared" si="12"/>
        <v>0</v>
      </c>
      <c r="R780" s="38"/>
      <c r="S780" s="38"/>
    </row>
    <row r="781" spans="1:19" hidden="1" x14ac:dyDescent="0.25">
      <c r="A781" s="38" t="str">
        <f>F781&amp;C781</f>
        <v/>
      </c>
      <c r="B781" s="38" t="str">
        <f>IF(J781&gt;=SUMIFS(E:E,C:C,C781),"Good to go","Short in Qty")</f>
        <v>Good to go</v>
      </c>
      <c r="C781" s="40"/>
      <c r="D781" s="40"/>
      <c r="E781" s="66"/>
      <c r="F781" s="38"/>
      <c r="G781" s="40"/>
      <c r="H781" s="38"/>
      <c r="I781" s="38"/>
      <c r="J781" s="38">
        <f>IFERROR(VLOOKUP(C:C,'[1]S&amp;S'!$B:$F,5,0),)</f>
        <v>0</v>
      </c>
      <c r="K781" s="38">
        <f>IFERROR(VLOOKUP(A:A,[1]APO!$A:$F,6,0),)</f>
        <v>0</v>
      </c>
      <c r="L781" s="38">
        <f>IFERROR(VLOOKUP(C:C,'[1]TOTAL APO'!$A:$B,2,0),)</f>
        <v>0</v>
      </c>
      <c r="M781" s="38">
        <f>IFERROR(VLOOKUP(A:A,[1]Short!$A:$Q,17,0),)</f>
        <v>0</v>
      </c>
      <c r="N781" s="38">
        <f>IFERROR(VLOOKUP(C:C,[1]GIT!$B:$D,3,0),)</f>
        <v>0</v>
      </c>
      <c r="O781" s="38">
        <f>IFERROR(VLOOKUP(A:A,[2]Sheet1!$A:$B,2,0),)</f>
        <v>0</v>
      </c>
      <c r="P781" s="38">
        <f>IFERROR(VLOOKUP(A:A,[2]Sheet1!$A:$B,2,0),)</f>
        <v>0</v>
      </c>
      <c r="Q781" s="38">
        <f t="shared" si="12"/>
        <v>0</v>
      </c>
      <c r="R781" s="38"/>
      <c r="S781" s="38"/>
    </row>
    <row r="782" spans="1:19" hidden="1" x14ac:dyDescent="0.25">
      <c r="A782" s="38" t="str">
        <f>F782&amp;C782</f>
        <v/>
      </c>
      <c r="B782" s="38" t="str">
        <f>IF(J782&gt;=SUMIFS(E:E,C:C,C782),"Good to go","Short in Qty")</f>
        <v>Good to go</v>
      </c>
      <c r="C782" s="40"/>
      <c r="D782" s="40"/>
      <c r="E782" s="66"/>
      <c r="F782" s="38"/>
      <c r="G782" s="40"/>
      <c r="H782" s="38"/>
      <c r="I782" s="38"/>
      <c r="J782" s="38">
        <f>IFERROR(VLOOKUP(C:C,'[1]S&amp;S'!$B:$F,5,0),)</f>
        <v>0</v>
      </c>
      <c r="K782" s="38">
        <f>IFERROR(VLOOKUP(A:A,[1]APO!$A:$F,6,0),)</f>
        <v>0</v>
      </c>
      <c r="L782" s="38">
        <f>IFERROR(VLOOKUP(C:C,'[1]TOTAL APO'!$A:$B,2,0),)</f>
        <v>0</v>
      </c>
      <c r="M782" s="38">
        <f>IFERROR(VLOOKUP(A:A,[1]Short!$A:$Q,17,0),)</f>
        <v>0</v>
      </c>
      <c r="N782" s="38">
        <f>IFERROR(VLOOKUP(C:C,[1]GIT!$B:$D,3,0),)</f>
        <v>0</v>
      </c>
      <c r="O782" s="38">
        <f>IFERROR(VLOOKUP(A:A,[2]Sheet1!$A:$B,2,0),)</f>
        <v>0</v>
      </c>
      <c r="P782" s="38">
        <f>IFERROR(VLOOKUP(A:A,[2]Sheet1!$A:$B,2,0),)</f>
        <v>0</v>
      </c>
      <c r="Q782" s="38">
        <f t="shared" si="12"/>
        <v>0</v>
      </c>
      <c r="R782" s="38"/>
      <c r="S782" s="38"/>
    </row>
    <row r="783" spans="1:19" hidden="1" x14ac:dyDescent="0.25">
      <c r="A783" s="38" t="str">
        <f>F783&amp;C783</f>
        <v/>
      </c>
      <c r="B783" s="38" t="str">
        <f>IF(J783&gt;=SUMIFS(E:E,C:C,C783),"Good to go","Short in Qty")</f>
        <v>Good to go</v>
      </c>
      <c r="C783" s="40"/>
      <c r="D783" s="40"/>
      <c r="E783" s="66"/>
      <c r="F783" s="38"/>
      <c r="G783" s="40"/>
      <c r="H783" s="38"/>
      <c r="I783" s="38"/>
      <c r="J783" s="38">
        <f>IFERROR(VLOOKUP(C:C,'[1]S&amp;S'!$B:$F,5,0),)</f>
        <v>0</v>
      </c>
      <c r="K783" s="38">
        <f>IFERROR(VLOOKUP(A:A,[1]APO!$A:$F,6,0),)</f>
        <v>0</v>
      </c>
      <c r="L783" s="38">
        <f>IFERROR(VLOOKUP(C:C,'[1]TOTAL APO'!$A:$B,2,0),)</f>
        <v>0</v>
      </c>
      <c r="M783" s="38">
        <f>IFERROR(VLOOKUP(A:A,[1]Short!$A:$Q,17,0),)</f>
        <v>0</v>
      </c>
      <c r="N783" s="38">
        <f>IFERROR(VLOOKUP(C:C,[1]GIT!$B:$D,3,0),)</f>
        <v>0</v>
      </c>
      <c r="O783" s="38">
        <f>IFERROR(VLOOKUP(A:A,[2]Sheet1!$A:$B,2,0),)</f>
        <v>0</v>
      </c>
      <c r="P783" s="38">
        <f>IFERROR(VLOOKUP(A:A,[2]Sheet1!$A:$B,2,0),)</f>
        <v>0</v>
      </c>
      <c r="Q783" s="38">
        <f t="shared" si="12"/>
        <v>0</v>
      </c>
      <c r="R783" s="38"/>
      <c r="S783" s="38"/>
    </row>
    <row r="784" spans="1:19" hidden="1" x14ac:dyDescent="0.25">
      <c r="A784" s="38" t="str">
        <f>F784&amp;C784</f>
        <v/>
      </c>
      <c r="B784" s="38" t="str">
        <f>IF(J784&gt;=SUMIFS(E:E,C:C,C784),"Good to go","Short in Qty")</f>
        <v>Good to go</v>
      </c>
      <c r="C784" s="40"/>
      <c r="D784" s="40"/>
      <c r="E784" s="66"/>
      <c r="F784" s="38"/>
      <c r="G784" s="40"/>
      <c r="H784" s="38"/>
      <c r="I784" s="38"/>
      <c r="J784" s="38">
        <f>IFERROR(VLOOKUP(C:C,'[1]S&amp;S'!$B:$F,5,0),)</f>
        <v>0</v>
      </c>
      <c r="K784" s="38">
        <f>IFERROR(VLOOKUP(A:A,[1]APO!$A:$F,6,0),)</f>
        <v>0</v>
      </c>
      <c r="L784" s="38">
        <f>IFERROR(VLOOKUP(C:C,'[1]TOTAL APO'!$A:$B,2,0),)</f>
        <v>0</v>
      </c>
      <c r="M784" s="38">
        <f>IFERROR(VLOOKUP(A:A,[1]Short!$A:$Q,17,0),)</f>
        <v>0</v>
      </c>
      <c r="N784" s="38">
        <f>IFERROR(VLOOKUP(C:C,[1]GIT!$B:$D,3,0),)</f>
        <v>0</v>
      </c>
      <c r="O784" s="38">
        <f>IFERROR(VLOOKUP(A:A,[2]Sheet1!$A:$B,2,0),)</f>
        <v>0</v>
      </c>
      <c r="P784" s="38">
        <f>IFERROR(VLOOKUP(A:A,[2]Sheet1!$A:$B,2,0),)</f>
        <v>0</v>
      </c>
      <c r="Q784" s="38">
        <f t="shared" si="12"/>
        <v>0</v>
      </c>
      <c r="R784" s="38"/>
      <c r="S784" s="38"/>
    </row>
    <row r="785" spans="1:19" hidden="1" x14ac:dyDescent="0.25">
      <c r="A785" s="38" t="str">
        <f>F785&amp;C785</f>
        <v/>
      </c>
      <c r="B785" s="38" t="str">
        <f>IF(J785&gt;=SUMIFS(E:E,C:C,C785),"Good to go","Short in Qty")</f>
        <v>Good to go</v>
      </c>
      <c r="C785" s="40"/>
      <c r="D785" s="40"/>
      <c r="E785" s="66"/>
      <c r="F785" s="38"/>
      <c r="G785" s="40"/>
      <c r="H785" s="38"/>
      <c r="I785" s="38"/>
      <c r="J785" s="38">
        <f>IFERROR(VLOOKUP(C:C,'[1]S&amp;S'!$B:$F,5,0),)</f>
        <v>0</v>
      </c>
      <c r="K785" s="38">
        <f>IFERROR(VLOOKUP(A:A,[1]APO!$A:$F,6,0),)</f>
        <v>0</v>
      </c>
      <c r="L785" s="38">
        <f>IFERROR(VLOOKUP(C:C,'[1]TOTAL APO'!$A:$B,2,0),)</f>
        <v>0</v>
      </c>
      <c r="M785" s="38">
        <f>IFERROR(VLOOKUP(A:A,[1]Short!$A:$Q,17,0),)</f>
        <v>0</v>
      </c>
      <c r="N785" s="38">
        <f>IFERROR(VLOOKUP(C:C,[1]GIT!$B:$D,3,0),)</f>
        <v>0</v>
      </c>
      <c r="O785" s="38">
        <f>IFERROR(VLOOKUP(A:A,[2]Sheet1!$A:$B,2,0),)</f>
        <v>0</v>
      </c>
      <c r="P785" s="38">
        <f>IFERROR(VLOOKUP(A:A,[2]Sheet1!$A:$B,2,0),)</f>
        <v>0</v>
      </c>
      <c r="Q785" s="38">
        <f t="shared" si="12"/>
        <v>0</v>
      </c>
      <c r="R785" s="38"/>
      <c r="S785" s="38"/>
    </row>
    <row r="786" spans="1:19" hidden="1" x14ac:dyDescent="0.25">
      <c r="A786" s="38" t="str">
        <f>F786&amp;C786</f>
        <v/>
      </c>
      <c r="B786" s="38" t="str">
        <f>IF(J786&gt;=SUMIFS(E:E,C:C,C786),"Good to go","Short in Qty")</f>
        <v>Good to go</v>
      </c>
      <c r="C786" s="40"/>
      <c r="D786" s="40"/>
      <c r="E786" s="66"/>
      <c r="F786" s="38"/>
      <c r="G786" s="40"/>
      <c r="H786" s="38"/>
      <c r="I786" s="38"/>
      <c r="J786" s="38">
        <f>IFERROR(VLOOKUP(C:C,'[1]S&amp;S'!$B:$F,5,0),)</f>
        <v>0</v>
      </c>
      <c r="K786" s="38">
        <f>IFERROR(VLOOKUP(A:A,[1]APO!$A:$F,6,0),)</f>
        <v>0</v>
      </c>
      <c r="L786" s="38">
        <f>IFERROR(VLOOKUP(C:C,'[1]TOTAL APO'!$A:$B,2,0),)</f>
        <v>0</v>
      </c>
      <c r="M786" s="38">
        <f>IFERROR(VLOOKUP(A:A,[1]Short!$A:$Q,17,0),)</f>
        <v>0</v>
      </c>
      <c r="N786" s="38">
        <f>IFERROR(VLOOKUP(C:C,[1]GIT!$B:$D,3,0),)</f>
        <v>0</v>
      </c>
      <c r="O786" s="38">
        <f>IFERROR(VLOOKUP(A:A,[2]Sheet1!$A:$B,2,0),)</f>
        <v>0</v>
      </c>
      <c r="P786" s="38">
        <f>IFERROR(VLOOKUP(A:A,[2]Sheet1!$A:$B,2,0),)</f>
        <v>0</v>
      </c>
      <c r="Q786" s="38">
        <f t="shared" si="12"/>
        <v>0</v>
      </c>
      <c r="R786" s="38"/>
      <c r="S786" s="38"/>
    </row>
    <row r="787" spans="1:19" hidden="1" x14ac:dyDescent="0.25">
      <c r="A787" s="38" t="str">
        <f>F787&amp;C787</f>
        <v/>
      </c>
      <c r="B787" s="38" t="str">
        <f>IF(J787&gt;=SUMIFS(E:E,C:C,C787),"Good to go","Short in Qty")</f>
        <v>Good to go</v>
      </c>
      <c r="C787" s="40"/>
      <c r="D787" s="40"/>
      <c r="E787" s="66"/>
      <c r="F787" s="38"/>
      <c r="G787" s="40"/>
      <c r="H787" s="38"/>
      <c r="I787" s="38"/>
      <c r="J787" s="38">
        <f>IFERROR(VLOOKUP(C:C,'[1]S&amp;S'!$B:$F,5,0),)</f>
        <v>0</v>
      </c>
      <c r="K787" s="38">
        <f>IFERROR(VLOOKUP(A:A,[1]APO!$A:$F,6,0),)</f>
        <v>0</v>
      </c>
      <c r="L787" s="38">
        <f>IFERROR(VLOOKUP(C:C,'[1]TOTAL APO'!$A:$B,2,0),)</f>
        <v>0</v>
      </c>
      <c r="M787" s="38">
        <f>IFERROR(VLOOKUP(A:A,[1]Short!$A:$Q,17,0),)</f>
        <v>0</v>
      </c>
      <c r="N787" s="38">
        <f>IFERROR(VLOOKUP(C:C,[1]GIT!$B:$D,3,0),)</f>
        <v>0</v>
      </c>
      <c r="O787" s="38">
        <f>IFERROR(VLOOKUP(A:A,[2]Sheet1!$A:$B,2,0),)</f>
        <v>0</v>
      </c>
      <c r="P787" s="38">
        <f>IFERROR(VLOOKUP(A:A,[2]Sheet1!$A:$B,2,0),)</f>
        <v>0</v>
      </c>
      <c r="Q787" s="38">
        <f t="shared" si="12"/>
        <v>0</v>
      </c>
      <c r="R787" s="38"/>
      <c r="S787" s="38"/>
    </row>
    <row r="788" spans="1:19" hidden="1" x14ac:dyDescent="0.25">
      <c r="A788" s="38" t="str">
        <f>F788&amp;C788</f>
        <v/>
      </c>
      <c r="B788" s="38" t="str">
        <f>IF(J788&gt;=SUMIFS(E:E,C:C,C788),"Good to go","Short in Qty")</f>
        <v>Good to go</v>
      </c>
      <c r="C788" s="40"/>
      <c r="D788" s="40"/>
      <c r="E788" s="66"/>
      <c r="F788" s="38"/>
      <c r="G788" s="40"/>
      <c r="H788" s="38"/>
      <c r="I788" s="38"/>
      <c r="J788" s="38">
        <f>IFERROR(VLOOKUP(C:C,'[1]S&amp;S'!$B:$F,5,0),)</f>
        <v>0</v>
      </c>
      <c r="K788" s="38">
        <f>IFERROR(VLOOKUP(A:A,[1]APO!$A:$F,6,0),)</f>
        <v>0</v>
      </c>
      <c r="L788" s="38">
        <f>IFERROR(VLOOKUP(C:C,'[1]TOTAL APO'!$A:$B,2,0),)</f>
        <v>0</v>
      </c>
      <c r="M788" s="38">
        <f>IFERROR(VLOOKUP(A:A,[1]Short!$A:$Q,17,0),)</f>
        <v>0</v>
      </c>
      <c r="N788" s="38">
        <f>IFERROR(VLOOKUP(C:C,[1]GIT!$B:$D,3,0),)</f>
        <v>0</v>
      </c>
      <c r="O788" s="38">
        <f>IFERROR(VLOOKUP(A:A,[2]Sheet1!$A:$B,2,0),)</f>
        <v>0</v>
      </c>
      <c r="P788" s="38">
        <f>IFERROR(VLOOKUP(A:A,[2]Sheet1!$A:$B,2,0),)</f>
        <v>0</v>
      </c>
      <c r="Q788" s="38">
        <f t="shared" si="12"/>
        <v>0</v>
      </c>
      <c r="R788" s="38"/>
      <c r="S788" s="38"/>
    </row>
    <row r="789" spans="1:19" hidden="1" x14ac:dyDescent="0.25">
      <c r="A789" s="38" t="str">
        <f>F789&amp;C789</f>
        <v/>
      </c>
      <c r="B789" s="38" t="str">
        <f>IF(J789&gt;=SUMIFS(E:E,C:C,C789),"Good to go","Short in Qty")</f>
        <v>Good to go</v>
      </c>
      <c r="C789" s="40"/>
      <c r="D789" s="40"/>
      <c r="E789" s="66"/>
      <c r="F789" s="38"/>
      <c r="G789" s="40"/>
      <c r="H789" s="38"/>
      <c r="I789" s="38"/>
      <c r="J789" s="38">
        <f>IFERROR(VLOOKUP(C:C,'[1]S&amp;S'!$B:$F,5,0),)</f>
        <v>0</v>
      </c>
      <c r="K789" s="38">
        <f>IFERROR(VLOOKUP(A:A,[1]APO!$A:$F,6,0),)</f>
        <v>0</v>
      </c>
      <c r="L789" s="38">
        <f>IFERROR(VLOOKUP(C:C,'[1]TOTAL APO'!$A:$B,2,0),)</f>
        <v>0</v>
      </c>
      <c r="M789" s="38">
        <f>IFERROR(VLOOKUP(A:A,[1]Short!$A:$Q,17,0),)</f>
        <v>0</v>
      </c>
      <c r="N789" s="38">
        <f>IFERROR(VLOOKUP(C:C,[1]GIT!$B:$D,3,0),)</f>
        <v>0</v>
      </c>
      <c r="O789" s="38">
        <f>IFERROR(VLOOKUP(A:A,[2]Sheet1!$A:$B,2,0),)</f>
        <v>0</v>
      </c>
      <c r="P789" s="38">
        <f>IFERROR(VLOOKUP(A:A,[2]Sheet1!$A:$B,2,0),)</f>
        <v>0</v>
      </c>
      <c r="Q789" s="38">
        <f t="shared" si="12"/>
        <v>0</v>
      </c>
      <c r="R789" s="38"/>
      <c r="S789" s="38"/>
    </row>
    <row r="790" spans="1:19" hidden="1" x14ac:dyDescent="0.25">
      <c r="A790" s="38" t="str">
        <f>F790&amp;C790</f>
        <v/>
      </c>
      <c r="B790" s="38" t="str">
        <f>IF(J790&gt;=SUMIFS(E:E,C:C,C790),"Good to go","Short in Qty")</f>
        <v>Good to go</v>
      </c>
      <c r="C790" s="40"/>
      <c r="D790" s="40"/>
      <c r="E790" s="66"/>
      <c r="F790" s="38"/>
      <c r="G790" s="40"/>
      <c r="H790" s="38"/>
      <c r="I790" s="38"/>
      <c r="J790" s="38">
        <f>IFERROR(VLOOKUP(C:C,'[1]S&amp;S'!$B:$F,5,0),)</f>
        <v>0</v>
      </c>
      <c r="K790" s="38">
        <f>IFERROR(VLOOKUP(A:A,[1]APO!$A:$F,6,0),)</f>
        <v>0</v>
      </c>
      <c r="L790" s="38">
        <f>IFERROR(VLOOKUP(C:C,'[1]TOTAL APO'!$A:$B,2,0),)</f>
        <v>0</v>
      </c>
      <c r="M790" s="38">
        <f>IFERROR(VLOOKUP(A:A,[1]Short!$A:$Q,17,0),)</f>
        <v>0</v>
      </c>
      <c r="N790" s="38">
        <f>IFERROR(VLOOKUP(C:C,[1]GIT!$B:$D,3,0),)</f>
        <v>0</v>
      </c>
      <c r="O790" s="38">
        <f>IFERROR(VLOOKUP(A:A,[2]Sheet1!$A:$B,2,0),)</f>
        <v>0</v>
      </c>
      <c r="P790" s="38">
        <f>IFERROR(VLOOKUP(A:A,[2]Sheet1!$A:$B,2,0),)</f>
        <v>0</v>
      </c>
      <c r="Q790" s="38">
        <f t="shared" si="12"/>
        <v>0</v>
      </c>
      <c r="R790" s="38"/>
      <c r="S790" s="38"/>
    </row>
    <row r="791" spans="1:19" hidden="1" x14ac:dyDescent="0.25">
      <c r="A791" s="38" t="str">
        <f>F791&amp;C791</f>
        <v/>
      </c>
      <c r="B791" s="38" t="str">
        <f>IF(J791&gt;=SUMIFS(E:E,C:C,C791),"Good to go","Short in Qty")</f>
        <v>Good to go</v>
      </c>
      <c r="C791" s="40"/>
      <c r="D791" s="40"/>
      <c r="E791" s="66"/>
      <c r="F791" s="38"/>
      <c r="G791" s="40"/>
      <c r="H791" s="38"/>
      <c r="I791" s="38"/>
      <c r="J791" s="38">
        <f>IFERROR(VLOOKUP(C:C,'[1]S&amp;S'!$B:$F,5,0),)</f>
        <v>0</v>
      </c>
      <c r="K791" s="38">
        <f>IFERROR(VLOOKUP(A:A,[1]APO!$A:$F,6,0),)</f>
        <v>0</v>
      </c>
      <c r="L791" s="38">
        <f>IFERROR(VLOOKUP(C:C,'[1]TOTAL APO'!$A:$B,2,0),)</f>
        <v>0</v>
      </c>
      <c r="M791" s="38">
        <f>IFERROR(VLOOKUP(A:A,[1]Short!$A:$Q,17,0),)</f>
        <v>0</v>
      </c>
      <c r="N791" s="38">
        <f>IFERROR(VLOOKUP(C:C,[1]GIT!$B:$D,3,0),)</f>
        <v>0</v>
      </c>
      <c r="O791" s="38">
        <f>IFERROR(VLOOKUP(A:A,[2]Sheet1!$A:$B,2,0),)</f>
        <v>0</v>
      </c>
      <c r="P791" s="38">
        <f>IFERROR(VLOOKUP(A:A,[2]Sheet1!$A:$B,2,0),)</f>
        <v>0</v>
      </c>
      <c r="Q791" s="38">
        <f t="shared" si="12"/>
        <v>0</v>
      </c>
      <c r="R791" s="38"/>
      <c r="S791" s="38"/>
    </row>
    <row r="792" spans="1:19" hidden="1" x14ac:dyDescent="0.25">
      <c r="A792" s="38" t="str">
        <f>F792&amp;C792</f>
        <v/>
      </c>
      <c r="B792" s="38" t="str">
        <f>IF(J792&gt;=SUMIFS(E:E,C:C,C792),"Good to go","Short in Qty")</f>
        <v>Good to go</v>
      </c>
      <c r="C792" s="40"/>
      <c r="D792" s="40"/>
      <c r="E792" s="66"/>
      <c r="F792" s="38"/>
      <c r="G792" s="40"/>
      <c r="H792" s="38"/>
      <c r="I792" s="38"/>
      <c r="J792" s="38">
        <f>IFERROR(VLOOKUP(C:C,'[1]S&amp;S'!$B:$F,5,0),)</f>
        <v>0</v>
      </c>
      <c r="K792" s="38">
        <f>IFERROR(VLOOKUP(A:A,[1]APO!$A:$F,6,0),)</f>
        <v>0</v>
      </c>
      <c r="L792" s="38">
        <f>IFERROR(VLOOKUP(C:C,'[1]TOTAL APO'!$A:$B,2,0),)</f>
        <v>0</v>
      </c>
      <c r="M792" s="38">
        <f>IFERROR(VLOOKUP(A:A,[1]Short!$A:$Q,17,0),)</f>
        <v>0</v>
      </c>
      <c r="N792" s="38">
        <f>IFERROR(VLOOKUP(C:C,[1]GIT!$B:$D,3,0),)</f>
        <v>0</v>
      </c>
      <c r="O792" s="38">
        <f>IFERROR(VLOOKUP(A:A,[2]Sheet1!$A:$B,2,0),)</f>
        <v>0</v>
      </c>
      <c r="P792" s="38">
        <f>IFERROR(VLOOKUP(A:A,[2]Sheet1!$A:$B,2,0),)</f>
        <v>0</v>
      </c>
      <c r="Q792" s="38">
        <f t="shared" si="12"/>
        <v>0</v>
      </c>
      <c r="R792" s="38"/>
      <c r="S792" s="38"/>
    </row>
    <row r="793" spans="1:19" hidden="1" x14ac:dyDescent="0.25">
      <c r="A793" s="38" t="str">
        <f>F793&amp;C793</f>
        <v/>
      </c>
      <c r="B793" s="38" t="str">
        <f>IF(J793&gt;=SUMIFS(E:E,C:C,C793),"Good to go","Short in Qty")</f>
        <v>Good to go</v>
      </c>
      <c r="C793" s="40"/>
      <c r="D793" s="40"/>
      <c r="E793" s="66"/>
      <c r="F793" s="38"/>
      <c r="G793" s="40"/>
      <c r="H793" s="38"/>
      <c r="I793" s="38"/>
      <c r="J793" s="38">
        <f>IFERROR(VLOOKUP(C:C,'[1]S&amp;S'!$B:$F,5,0),)</f>
        <v>0</v>
      </c>
      <c r="K793" s="38">
        <f>IFERROR(VLOOKUP(A:A,[1]APO!$A:$F,6,0),)</f>
        <v>0</v>
      </c>
      <c r="L793" s="38">
        <f>IFERROR(VLOOKUP(C:C,'[1]TOTAL APO'!$A:$B,2,0),)</f>
        <v>0</v>
      </c>
      <c r="M793" s="38">
        <f>IFERROR(VLOOKUP(A:A,[1]Short!$A:$Q,17,0),)</f>
        <v>0</v>
      </c>
      <c r="N793" s="38">
        <f>IFERROR(VLOOKUP(C:C,[1]GIT!$B:$D,3,0),)</f>
        <v>0</v>
      </c>
      <c r="O793" s="38">
        <f>IFERROR(VLOOKUP(A:A,[2]Sheet1!$A:$B,2,0),)</f>
        <v>0</v>
      </c>
      <c r="P793" s="38">
        <f>IFERROR(VLOOKUP(A:A,[2]Sheet1!$A:$B,2,0),)</f>
        <v>0</v>
      </c>
      <c r="Q793" s="38">
        <f t="shared" si="12"/>
        <v>0</v>
      </c>
      <c r="R793" s="38"/>
      <c r="S793" s="38"/>
    </row>
    <row r="794" spans="1:19" hidden="1" x14ac:dyDescent="0.25">
      <c r="A794" s="38" t="str">
        <f>F794&amp;C794</f>
        <v/>
      </c>
      <c r="B794" s="38" t="str">
        <f>IF(J794&gt;=SUMIFS(E:E,C:C,C794),"Good to go","Short in Qty")</f>
        <v>Good to go</v>
      </c>
      <c r="C794" s="40"/>
      <c r="D794" s="40"/>
      <c r="E794" s="66"/>
      <c r="F794" s="38"/>
      <c r="G794" s="40"/>
      <c r="H794" s="38"/>
      <c r="I794" s="38"/>
      <c r="J794" s="38">
        <f>IFERROR(VLOOKUP(C:C,'[1]S&amp;S'!$B:$F,5,0),)</f>
        <v>0</v>
      </c>
      <c r="K794" s="38">
        <f>IFERROR(VLOOKUP(A:A,[1]APO!$A:$F,6,0),)</f>
        <v>0</v>
      </c>
      <c r="L794" s="38">
        <f>IFERROR(VLOOKUP(C:C,'[1]TOTAL APO'!$A:$B,2,0),)</f>
        <v>0</v>
      </c>
      <c r="M794" s="38">
        <f>IFERROR(VLOOKUP(A:A,[1]Short!$A:$Q,17,0),)</f>
        <v>0</v>
      </c>
      <c r="N794" s="38">
        <f>IFERROR(VLOOKUP(C:C,[1]GIT!$B:$D,3,0),)</f>
        <v>0</v>
      </c>
      <c r="O794" s="38">
        <f>IFERROR(VLOOKUP(A:A,[2]Sheet1!$A:$B,2,0),)</f>
        <v>0</v>
      </c>
      <c r="P794" s="38">
        <f>IFERROR(VLOOKUP(A:A,[2]Sheet1!$A:$B,2,0),)</f>
        <v>0</v>
      </c>
      <c r="Q794" s="38">
        <f t="shared" si="12"/>
        <v>0</v>
      </c>
      <c r="R794" s="38"/>
      <c r="S794" s="38"/>
    </row>
    <row r="795" spans="1:19" hidden="1" x14ac:dyDescent="0.25">
      <c r="A795" s="38" t="str">
        <f>F795&amp;C795</f>
        <v/>
      </c>
      <c r="B795" s="38" t="str">
        <f>IF(J795&gt;=SUMIFS(E:E,C:C,C795),"Good to go","Short in Qty")</f>
        <v>Good to go</v>
      </c>
      <c r="C795" s="40"/>
      <c r="D795" s="40"/>
      <c r="E795" s="66"/>
      <c r="F795" s="38"/>
      <c r="G795" s="40"/>
      <c r="H795" s="38"/>
      <c r="I795" s="38"/>
      <c r="J795" s="38">
        <f>IFERROR(VLOOKUP(C:C,'[1]S&amp;S'!$B:$F,5,0),)</f>
        <v>0</v>
      </c>
      <c r="K795" s="38">
        <f>IFERROR(VLOOKUP(A:A,[1]APO!$A:$F,6,0),)</f>
        <v>0</v>
      </c>
      <c r="L795" s="38">
        <f>IFERROR(VLOOKUP(C:C,'[1]TOTAL APO'!$A:$B,2,0),)</f>
        <v>0</v>
      </c>
      <c r="M795" s="38">
        <f>IFERROR(VLOOKUP(A:A,[1]Short!$A:$Q,17,0),)</f>
        <v>0</v>
      </c>
      <c r="N795" s="38">
        <f>IFERROR(VLOOKUP(C:C,[1]GIT!$B:$D,3,0),)</f>
        <v>0</v>
      </c>
      <c r="O795" s="38">
        <f>IFERROR(VLOOKUP(A:A,[2]Sheet1!$A:$B,2,0),)</f>
        <v>0</v>
      </c>
      <c r="P795" s="38">
        <f>IFERROR(VLOOKUP(A:A,[2]Sheet1!$A:$B,2,0),)</f>
        <v>0</v>
      </c>
      <c r="Q795" s="38">
        <f t="shared" si="12"/>
        <v>0</v>
      </c>
      <c r="R795" s="38"/>
      <c r="S795" s="38"/>
    </row>
    <row r="796" spans="1:19" hidden="1" x14ac:dyDescent="0.25">
      <c r="A796" s="38" t="str">
        <f>F796&amp;C796</f>
        <v/>
      </c>
      <c r="B796" s="38" t="str">
        <f>IF(J796&gt;=SUMIFS(E:E,C:C,C796),"Good to go","Short in Qty")</f>
        <v>Good to go</v>
      </c>
      <c r="C796" s="40"/>
      <c r="D796" s="40"/>
      <c r="E796" s="66"/>
      <c r="F796" s="38"/>
      <c r="G796" s="40"/>
      <c r="H796" s="38"/>
      <c r="I796" s="38"/>
      <c r="J796" s="38">
        <f>IFERROR(VLOOKUP(C:C,'[1]S&amp;S'!$B:$F,5,0),)</f>
        <v>0</v>
      </c>
      <c r="K796" s="38">
        <f>IFERROR(VLOOKUP(A:A,[1]APO!$A:$F,6,0),)</f>
        <v>0</v>
      </c>
      <c r="L796" s="38">
        <f>IFERROR(VLOOKUP(C:C,'[1]TOTAL APO'!$A:$B,2,0),)</f>
        <v>0</v>
      </c>
      <c r="M796" s="38">
        <f>IFERROR(VLOOKUP(A:A,[1]Short!$A:$Q,17,0),)</f>
        <v>0</v>
      </c>
      <c r="N796" s="38">
        <f>IFERROR(VLOOKUP(C:C,[1]GIT!$B:$D,3,0),)</f>
        <v>0</v>
      </c>
      <c r="O796" s="38">
        <f>IFERROR(VLOOKUP(A:A,[2]Sheet1!$A:$B,2,0),)</f>
        <v>0</v>
      </c>
      <c r="P796" s="38">
        <f>IFERROR(VLOOKUP(A:A,[2]Sheet1!$A:$B,2,0),)</f>
        <v>0</v>
      </c>
      <c r="Q796" s="38">
        <f t="shared" si="12"/>
        <v>0</v>
      </c>
      <c r="R796" s="38"/>
      <c r="S796" s="38"/>
    </row>
    <row r="797" spans="1:19" hidden="1" x14ac:dyDescent="0.25">
      <c r="A797" s="38" t="str">
        <f>F797&amp;C797</f>
        <v/>
      </c>
      <c r="B797" s="38" t="str">
        <f>IF(J797&gt;=SUMIFS(E:E,C:C,C797),"Good to go","Short in Qty")</f>
        <v>Good to go</v>
      </c>
      <c r="C797" s="40"/>
      <c r="D797" s="40"/>
      <c r="E797" s="66"/>
      <c r="F797" s="38"/>
      <c r="G797" s="40"/>
      <c r="H797" s="38"/>
      <c r="I797" s="38"/>
      <c r="J797" s="38">
        <f>IFERROR(VLOOKUP(C:C,'[1]S&amp;S'!$B:$F,5,0),)</f>
        <v>0</v>
      </c>
      <c r="K797" s="38">
        <f>IFERROR(VLOOKUP(A:A,[1]APO!$A:$F,6,0),)</f>
        <v>0</v>
      </c>
      <c r="L797" s="38">
        <f>IFERROR(VLOOKUP(C:C,'[1]TOTAL APO'!$A:$B,2,0),)</f>
        <v>0</v>
      </c>
      <c r="M797" s="38">
        <f>IFERROR(VLOOKUP(A:A,[1]Short!$A:$Q,17,0),)</f>
        <v>0</v>
      </c>
      <c r="N797" s="38">
        <f>IFERROR(VLOOKUP(C:C,[1]GIT!$B:$D,3,0),)</f>
        <v>0</v>
      </c>
      <c r="O797" s="38">
        <f>IFERROR(VLOOKUP(A:A,[2]Sheet1!$A:$B,2,0),)</f>
        <v>0</v>
      </c>
      <c r="P797" s="38">
        <f>IFERROR(VLOOKUP(A:A,[2]Sheet1!$A:$B,2,0),)</f>
        <v>0</v>
      </c>
      <c r="Q797" s="38">
        <f t="shared" si="12"/>
        <v>0</v>
      </c>
      <c r="R797" s="38"/>
      <c r="S797" s="38"/>
    </row>
    <row r="798" spans="1:19" hidden="1" x14ac:dyDescent="0.25">
      <c r="A798" s="38" t="str">
        <f>F798&amp;C798</f>
        <v/>
      </c>
      <c r="B798" s="38" t="str">
        <f>IF(J798&gt;=SUMIFS(E:E,C:C,C798),"Good to go","Short in Qty")</f>
        <v>Good to go</v>
      </c>
      <c r="C798" s="40"/>
      <c r="D798" s="40"/>
      <c r="E798" s="66"/>
      <c r="F798" s="38"/>
      <c r="G798" s="40"/>
      <c r="H798" s="38"/>
      <c r="I798" s="38"/>
      <c r="J798" s="38">
        <f>IFERROR(VLOOKUP(C:C,'[1]S&amp;S'!$B:$F,5,0),)</f>
        <v>0</v>
      </c>
      <c r="K798" s="38">
        <f>IFERROR(VLOOKUP(A:A,[1]APO!$A:$F,6,0),)</f>
        <v>0</v>
      </c>
      <c r="L798" s="38">
        <f>IFERROR(VLOOKUP(C:C,'[1]TOTAL APO'!$A:$B,2,0),)</f>
        <v>0</v>
      </c>
      <c r="M798" s="38">
        <f>IFERROR(VLOOKUP(A:A,[1]Short!$A:$Q,17,0),)</f>
        <v>0</v>
      </c>
      <c r="N798" s="38">
        <f>IFERROR(VLOOKUP(C:C,[1]GIT!$B:$D,3,0),)</f>
        <v>0</v>
      </c>
      <c r="O798" s="38">
        <f>IFERROR(VLOOKUP(A:A,[2]Sheet1!$A:$B,2,0),)</f>
        <v>0</v>
      </c>
      <c r="P798" s="38">
        <f>IFERROR(VLOOKUP(A:A,[2]Sheet1!$A:$B,2,0),)</f>
        <v>0</v>
      </c>
      <c r="Q798" s="38">
        <f t="shared" si="12"/>
        <v>0</v>
      </c>
      <c r="R798" s="38"/>
      <c r="S798" s="38"/>
    </row>
    <row r="799" spans="1:19" hidden="1" x14ac:dyDescent="0.25">
      <c r="A799" s="38" t="str">
        <f>F799&amp;C799</f>
        <v/>
      </c>
      <c r="B799" s="38" t="str">
        <f>IF(J799&gt;=SUMIFS(E:E,C:C,C799),"Good to go","Short in Qty")</f>
        <v>Good to go</v>
      </c>
      <c r="C799" s="40"/>
      <c r="D799" s="40"/>
      <c r="E799" s="66"/>
      <c r="F799" s="38"/>
      <c r="G799" s="40"/>
      <c r="H799" s="38"/>
      <c r="I799" s="38"/>
      <c r="J799" s="38">
        <f>IFERROR(VLOOKUP(C:C,'[1]S&amp;S'!$B:$F,5,0),)</f>
        <v>0</v>
      </c>
      <c r="K799" s="38">
        <f>IFERROR(VLOOKUP(A:A,[1]APO!$A:$F,6,0),)</f>
        <v>0</v>
      </c>
      <c r="L799" s="38">
        <f>IFERROR(VLOOKUP(C:C,'[1]TOTAL APO'!$A:$B,2,0),)</f>
        <v>0</v>
      </c>
      <c r="M799" s="38">
        <f>IFERROR(VLOOKUP(A:A,[1]Short!$A:$Q,17,0),)</f>
        <v>0</v>
      </c>
      <c r="N799" s="38">
        <f>IFERROR(VLOOKUP(C:C,[1]GIT!$B:$D,3,0),)</f>
        <v>0</v>
      </c>
      <c r="O799" s="38">
        <f>IFERROR(VLOOKUP(A:A,[2]Sheet1!$A:$B,2,0),)</f>
        <v>0</v>
      </c>
      <c r="P799" s="38">
        <f>IFERROR(VLOOKUP(A:A,[2]Sheet1!$A:$B,2,0),)</f>
        <v>0</v>
      </c>
      <c r="Q799" s="38">
        <f t="shared" si="12"/>
        <v>0</v>
      </c>
      <c r="R799" s="38"/>
      <c r="S799" s="38"/>
    </row>
    <row r="800" spans="1:19" hidden="1" x14ac:dyDescent="0.25">
      <c r="A800" s="38" t="str">
        <f>F800&amp;C800</f>
        <v/>
      </c>
      <c r="B800" s="38" t="str">
        <f>IF(J800&gt;=SUMIFS(E:E,C:C,C800),"Good to go","Short in Qty")</f>
        <v>Good to go</v>
      </c>
      <c r="C800" s="40"/>
      <c r="D800" s="40"/>
      <c r="E800" s="66"/>
      <c r="F800" s="38"/>
      <c r="G800" s="40"/>
      <c r="H800" s="38"/>
      <c r="I800" s="38"/>
      <c r="J800" s="38">
        <f>IFERROR(VLOOKUP(C:C,'[1]S&amp;S'!$B:$F,5,0),)</f>
        <v>0</v>
      </c>
      <c r="K800" s="38">
        <f>IFERROR(VLOOKUP(A:A,[1]APO!$A:$F,6,0),)</f>
        <v>0</v>
      </c>
      <c r="L800" s="38">
        <f>IFERROR(VLOOKUP(C:C,'[1]TOTAL APO'!$A:$B,2,0),)</f>
        <v>0</v>
      </c>
      <c r="M800" s="38">
        <f>IFERROR(VLOOKUP(A:A,[1]Short!$A:$Q,17,0),)</f>
        <v>0</v>
      </c>
      <c r="N800" s="38">
        <f>IFERROR(VLOOKUP(C:C,[1]GIT!$B:$D,3,0),)</f>
        <v>0</v>
      </c>
      <c r="O800" s="38">
        <f>IFERROR(VLOOKUP(A:A,[2]Sheet1!$A:$B,2,0),)</f>
        <v>0</v>
      </c>
      <c r="P800" s="38">
        <f>IFERROR(VLOOKUP(A:A,[2]Sheet1!$A:$B,2,0),)</f>
        <v>0</v>
      </c>
      <c r="Q800" s="38">
        <f t="shared" si="12"/>
        <v>0</v>
      </c>
      <c r="R800" s="38"/>
      <c r="S800" s="38"/>
    </row>
    <row r="801" spans="1:19" hidden="1" x14ac:dyDescent="0.25">
      <c r="A801" s="38" t="str">
        <f>F801&amp;C801</f>
        <v/>
      </c>
      <c r="B801" s="38" t="str">
        <f>IF(J801&gt;=SUMIFS(E:E,C:C,C801),"Good to go","Short in Qty")</f>
        <v>Good to go</v>
      </c>
      <c r="C801" s="40"/>
      <c r="D801" s="40"/>
      <c r="E801" s="66"/>
      <c r="F801" s="38"/>
      <c r="G801" s="40"/>
      <c r="H801" s="38"/>
      <c r="I801" s="38"/>
      <c r="J801" s="38">
        <f>IFERROR(VLOOKUP(C:C,'[1]S&amp;S'!$B:$F,5,0),)</f>
        <v>0</v>
      </c>
      <c r="K801" s="38">
        <f>IFERROR(VLOOKUP(A:A,[1]APO!$A:$F,6,0),)</f>
        <v>0</v>
      </c>
      <c r="L801" s="38">
        <f>IFERROR(VLOOKUP(C:C,'[1]TOTAL APO'!$A:$B,2,0),)</f>
        <v>0</v>
      </c>
      <c r="M801" s="38">
        <f>IFERROR(VLOOKUP(A:A,[1]Short!$A:$Q,17,0),)</f>
        <v>0</v>
      </c>
      <c r="N801" s="38">
        <f>IFERROR(VLOOKUP(C:C,[1]GIT!$B:$D,3,0),)</f>
        <v>0</v>
      </c>
      <c r="O801" s="38">
        <f>IFERROR(VLOOKUP(A:A,[2]Sheet1!$A:$B,2,0),)</f>
        <v>0</v>
      </c>
      <c r="P801" s="38">
        <f>IFERROR(VLOOKUP(A:A,[2]Sheet1!$A:$B,2,0),)</f>
        <v>0</v>
      </c>
      <c r="Q801" s="38">
        <f t="shared" si="12"/>
        <v>0</v>
      </c>
      <c r="R801" s="38"/>
      <c r="S801" s="38"/>
    </row>
    <row r="802" spans="1:19" hidden="1" x14ac:dyDescent="0.25">
      <c r="A802" s="38" t="str">
        <f>F802&amp;C802</f>
        <v/>
      </c>
      <c r="B802" s="38" t="str">
        <f>IF(J802&gt;=SUMIFS(E:E,C:C,C802),"Good to go","Short in Qty")</f>
        <v>Good to go</v>
      </c>
      <c r="C802" s="40"/>
      <c r="D802" s="40"/>
      <c r="E802" s="66"/>
      <c r="F802" s="38"/>
      <c r="G802" s="40"/>
      <c r="H802" s="38"/>
      <c r="I802" s="38"/>
      <c r="J802" s="38">
        <f>IFERROR(VLOOKUP(C:C,'[1]S&amp;S'!$B:$F,5,0),)</f>
        <v>0</v>
      </c>
      <c r="K802" s="38">
        <f>IFERROR(VLOOKUP(A:A,[1]APO!$A:$F,6,0),)</f>
        <v>0</v>
      </c>
      <c r="L802" s="38">
        <f>IFERROR(VLOOKUP(C:C,'[1]TOTAL APO'!$A:$B,2,0),)</f>
        <v>0</v>
      </c>
      <c r="M802" s="38">
        <f>IFERROR(VLOOKUP(A:A,[1]Short!$A:$Q,17,0),)</f>
        <v>0</v>
      </c>
      <c r="N802" s="38">
        <f>IFERROR(VLOOKUP(C:C,[1]GIT!$B:$D,3,0),)</f>
        <v>0</v>
      </c>
      <c r="O802" s="38">
        <f>IFERROR(VLOOKUP(A:A,[2]Sheet1!$A:$B,2,0),)</f>
        <v>0</v>
      </c>
      <c r="P802" s="38">
        <f>IFERROR(VLOOKUP(A:A,[2]Sheet1!$A:$B,2,0),)</f>
        <v>0</v>
      </c>
      <c r="Q802" s="38">
        <f t="shared" si="12"/>
        <v>0</v>
      </c>
      <c r="R802" s="38"/>
      <c r="S802" s="38"/>
    </row>
    <row r="803" spans="1:19" hidden="1" x14ac:dyDescent="0.25">
      <c r="A803" s="38" t="str">
        <f>F803&amp;C803</f>
        <v/>
      </c>
      <c r="B803" s="38" t="str">
        <f>IF(J803&gt;=SUMIFS(E:E,C:C,C803),"Good to go","Short in Qty")</f>
        <v>Good to go</v>
      </c>
      <c r="C803" s="40"/>
      <c r="D803" s="40"/>
      <c r="E803" s="66"/>
      <c r="F803" s="38"/>
      <c r="G803" s="40"/>
      <c r="H803" s="38"/>
      <c r="I803" s="38"/>
      <c r="J803" s="38">
        <f>IFERROR(VLOOKUP(C:C,'[1]S&amp;S'!$B:$F,5,0),)</f>
        <v>0</v>
      </c>
      <c r="K803" s="38">
        <f>IFERROR(VLOOKUP(A:A,[1]APO!$A:$F,6,0),)</f>
        <v>0</v>
      </c>
      <c r="L803" s="38">
        <f>IFERROR(VLOOKUP(C:C,'[1]TOTAL APO'!$A:$B,2,0),)</f>
        <v>0</v>
      </c>
      <c r="M803" s="38">
        <f>IFERROR(VLOOKUP(A:A,[1]Short!$A:$Q,17,0),)</f>
        <v>0</v>
      </c>
      <c r="N803" s="38">
        <f>IFERROR(VLOOKUP(C:C,[1]GIT!$B:$D,3,0),)</f>
        <v>0</v>
      </c>
      <c r="O803" s="38">
        <f>IFERROR(VLOOKUP(A:A,[2]Sheet1!$A:$B,2,0),)</f>
        <v>0</v>
      </c>
      <c r="P803" s="38">
        <f>IFERROR(VLOOKUP(A:A,[2]Sheet1!$A:$B,2,0),)</f>
        <v>0</v>
      </c>
      <c r="Q803" s="38">
        <f t="shared" si="12"/>
        <v>0</v>
      </c>
      <c r="R803" s="38"/>
      <c r="S803" s="38"/>
    </row>
    <row r="804" spans="1:19" hidden="1" x14ac:dyDescent="0.25">
      <c r="A804" s="38" t="str">
        <f>F804&amp;C804</f>
        <v/>
      </c>
      <c r="B804" s="38" t="str">
        <f>IF(J804&gt;=SUMIFS(E:E,C:C,C804),"Good to go","Short in Qty")</f>
        <v>Good to go</v>
      </c>
      <c r="C804" s="40"/>
      <c r="D804" s="40"/>
      <c r="E804" s="66"/>
      <c r="F804" s="38"/>
      <c r="G804" s="40"/>
      <c r="H804" s="38"/>
      <c r="I804" s="38"/>
      <c r="J804" s="38">
        <f>IFERROR(VLOOKUP(C:C,'[1]S&amp;S'!$B:$F,5,0),)</f>
        <v>0</v>
      </c>
      <c r="K804" s="38">
        <f>IFERROR(VLOOKUP(A:A,[1]APO!$A:$F,6,0),)</f>
        <v>0</v>
      </c>
      <c r="L804" s="38">
        <f>IFERROR(VLOOKUP(C:C,'[1]TOTAL APO'!$A:$B,2,0),)</f>
        <v>0</v>
      </c>
      <c r="M804" s="38">
        <f>IFERROR(VLOOKUP(A:A,[1]Short!$A:$Q,17,0),)</f>
        <v>0</v>
      </c>
      <c r="N804" s="38">
        <f>IFERROR(VLOOKUP(C:C,[1]GIT!$B:$D,3,0),)</f>
        <v>0</v>
      </c>
      <c r="O804" s="38">
        <f>IFERROR(VLOOKUP(A:A,[2]Sheet1!$A:$B,2,0),)</f>
        <v>0</v>
      </c>
      <c r="P804" s="38">
        <f>IFERROR(VLOOKUP(A:A,[2]Sheet1!$A:$B,2,0),)</f>
        <v>0</v>
      </c>
      <c r="Q804" s="38">
        <f t="shared" si="12"/>
        <v>0</v>
      </c>
      <c r="R804" s="38"/>
      <c r="S804" s="38"/>
    </row>
    <row r="805" spans="1:19" hidden="1" x14ac:dyDescent="0.25">
      <c r="A805" s="38" t="str">
        <f>F805&amp;C805</f>
        <v/>
      </c>
      <c r="B805" s="38" t="str">
        <f>IF(J805&gt;=SUMIFS(E:E,C:C,C805),"Good to go","Short in Qty")</f>
        <v>Good to go</v>
      </c>
      <c r="C805" s="40"/>
      <c r="D805" s="40"/>
      <c r="E805" s="66"/>
      <c r="F805" s="38"/>
      <c r="G805" s="40"/>
      <c r="H805" s="38"/>
      <c r="I805" s="38"/>
      <c r="J805" s="38">
        <f>IFERROR(VLOOKUP(C:C,'[1]S&amp;S'!$B:$F,5,0),)</f>
        <v>0</v>
      </c>
      <c r="K805" s="38">
        <f>IFERROR(VLOOKUP(A:A,[1]APO!$A:$F,6,0),)</f>
        <v>0</v>
      </c>
      <c r="L805" s="38">
        <f>IFERROR(VLOOKUP(C:C,'[1]TOTAL APO'!$A:$B,2,0),)</f>
        <v>0</v>
      </c>
      <c r="M805" s="38">
        <f>IFERROR(VLOOKUP(A:A,[1]Short!$A:$Q,17,0),)</f>
        <v>0</v>
      </c>
      <c r="N805" s="38">
        <f>IFERROR(VLOOKUP(C:C,[1]GIT!$B:$D,3,0),)</f>
        <v>0</v>
      </c>
      <c r="O805" s="38">
        <f>IFERROR(VLOOKUP(A:A,[2]Sheet1!$A:$B,2,0),)</f>
        <v>0</v>
      </c>
      <c r="P805" s="38">
        <f>IFERROR(VLOOKUP(A:A,[2]Sheet1!$A:$B,2,0),)</f>
        <v>0</v>
      </c>
      <c r="Q805" s="38">
        <f t="shared" si="12"/>
        <v>0</v>
      </c>
      <c r="R805" s="38"/>
      <c r="S805" s="38"/>
    </row>
    <row r="806" spans="1:19" hidden="1" x14ac:dyDescent="0.25">
      <c r="A806" s="38" t="str">
        <f>F806&amp;C806</f>
        <v/>
      </c>
      <c r="B806" s="38" t="str">
        <f>IF(J806&gt;=SUMIFS(E:E,C:C,C806),"Good to go","Short in Qty")</f>
        <v>Good to go</v>
      </c>
      <c r="C806" s="40"/>
      <c r="D806" s="40"/>
      <c r="E806" s="66"/>
      <c r="F806" s="38"/>
      <c r="G806" s="40"/>
      <c r="H806" s="38"/>
      <c r="I806" s="38"/>
      <c r="J806" s="38">
        <f>IFERROR(VLOOKUP(C:C,'[1]S&amp;S'!$B:$F,5,0),)</f>
        <v>0</v>
      </c>
      <c r="K806" s="38">
        <f>IFERROR(VLOOKUP(A:A,[1]APO!$A:$F,6,0),)</f>
        <v>0</v>
      </c>
      <c r="L806" s="38">
        <f>IFERROR(VLOOKUP(C:C,'[1]TOTAL APO'!$A:$B,2,0),)</f>
        <v>0</v>
      </c>
      <c r="M806" s="38">
        <f>IFERROR(VLOOKUP(A:A,[1]Short!$A:$Q,17,0),)</f>
        <v>0</v>
      </c>
      <c r="N806" s="38">
        <f>IFERROR(VLOOKUP(C:C,[1]GIT!$B:$D,3,0),)</f>
        <v>0</v>
      </c>
      <c r="O806" s="38">
        <f>IFERROR(VLOOKUP(A:A,[2]Sheet1!$A:$B,2,0),)</f>
        <v>0</v>
      </c>
      <c r="P806" s="38">
        <f>IFERROR(VLOOKUP(A:A,[2]Sheet1!$A:$B,2,0),)</f>
        <v>0</v>
      </c>
      <c r="Q806" s="38">
        <f t="shared" si="12"/>
        <v>0</v>
      </c>
      <c r="R806" s="38"/>
      <c r="S806" s="38"/>
    </row>
    <row r="807" spans="1:19" hidden="1" x14ac:dyDescent="0.25">
      <c r="A807" s="38" t="str">
        <f>F807&amp;C807</f>
        <v/>
      </c>
      <c r="B807" s="38" t="str">
        <f>IF(J807&gt;=SUMIFS(E:E,C:C,C807),"Good to go","Short in Qty")</f>
        <v>Good to go</v>
      </c>
      <c r="C807" s="40"/>
      <c r="D807" s="40"/>
      <c r="E807" s="66"/>
      <c r="F807" s="38"/>
      <c r="G807" s="40"/>
      <c r="H807" s="38"/>
      <c r="I807" s="38"/>
      <c r="J807" s="38">
        <f>IFERROR(VLOOKUP(C:C,'[1]S&amp;S'!$B:$F,5,0),)</f>
        <v>0</v>
      </c>
      <c r="K807" s="38">
        <f>IFERROR(VLOOKUP(A:A,[1]APO!$A:$F,6,0),)</f>
        <v>0</v>
      </c>
      <c r="L807" s="38">
        <f>IFERROR(VLOOKUP(C:C,'[1]TOTAL APO'!$A:$B,2,0),)</f>
        <v>0</v>
      </c>
      <c r="M807" s="38">
        <f>IFERROR(VLOOKUP(A:A,[1]Short!$A:$Q,17,0),)</f>
        <v>0</v>
      </c>
      <c r="N807" s="38">
        <f>IFERROR(VLOOKUP(C:C,[1]GIT!$B:$D,3,0),)</f>
        <v>0</v>
      </c>
      <c r="O807" s="38">
        <f>IFERROR(VLOOKUP(A:A,[2]Sheet1!$A:$B,2,0),)</f>
        <v>0</v>
      </c>
      <c r="P807" s="38">
        <f>IFERROR(VLOOKUP(A:A,[2]Sheet1!$A:$B,2,0),)</f>
        <v>0</v>
      </c>
      <c r="Q807" s="38">
        <f t="shared" si="12"/>
        <v>0</v>
      </c>
      <c r="R807" s="38"/>
      <c r="S807" s="38"/>
    </row>
    <row r="808" spans="1:19" hidden="1" x14ac:dyDescent="0.25">
      <c r="A808" s="38" t="str">
        <f>F808&amp;C808</f>
        <v/>
      </c>
      <c r="B808" s="38" t="str">
        <f>IF(J808&gt;=SUMIFS(E:E,C:C,C808),"Good to go","Short in Qty")</f>
        <v>Good to go</v>
      </c>
      <c r="C808" s="40"/>
      <c r="D808" s="40"/>
      <c r="E808" s="66"/>
      <c r="F808" s="38"/>
      <c r="G808" s="40"/>
      <c r="H808" s="38"/>
      <c r="I808" s="38"/>
      <c r="J808" s="38">
        <f>IFERROR(VLOOKUP(C:C,'[1]S&amp;S'!$B:$F,5,0),)</f>
        <v>0</v>
      </c>
      <c r="K808" s="38">
        <f>IFERROR(VLOOKUP(A:A,[1]APO!$A:$F,6,0),)</f>
        <v>0</v>
      </c>
      <c r="L808" s="38">
        <f>IFERROR(VLOOKUP(C:C,'[1]TOTAL APO'!$A:$B,2,0),)</f>
        <v>0</v>
      </c>
      <c r="M808" s="38">
        <f>IFERROR(VLOOKUP(A:A,[1]Short!$A:$Q,17,0),)</f>
        <v>0</v>
      </c>
      <c r="N808" s="38">
        <f>IFERROR(VLOOKUP(C:C,[1]GIT!$B:$D,3,0),)</f>
        <v>0</v>
      </c>
      <c r="O808" s="38">
        <f>IFERROR(VLOOKUP(A:A,[2]Sheet1!$A:$B,2,0),)</f>
        <v>0</v>
      </c>
      <c r="P808" s="38">
        <f>IFERROR(VLOOKUP(A:A,[2]Sheet1!$A:$B,2,0),)</f>
        <v>0</v>
      </c>
      <c r="Q808" s="38">
        <f t="shared" si="12"/>
        <v>0</v>
      </c>
      <c r="R808" s="38"/>
      <c r="S808" s="38"/>
    </row>
    <row r="809" spans="1:19" hidden="1" x14ac:dyDescent="0.25">
      <c r="A809" s="38" t="str">
        <f>F809&amp;C809</f>
        <v/>
      </c>
      <c r="B809" s="38" t="str">
        <f>IF(J809&gt;=SUMIFS(E:E,C:C,C809),"Good to go","Short in Qty")</f>
        <v>Good to go</v>
      </c>
      <c r="C809" s="40"/>
      <c r="D809" s="40"/>
      <c r="E809" s="66"/>
      <c r="F809" s="38"/>
      <c r="G809" s="40"/>
      <c r="H809" s="38"/>
      <c r="I809" s="38"/>
      <c r="J809" s="38">
        <f>IFERROR(VLOOKUP(C:C,'[1]S&amp;S'!$B:$F,5,0),)</f>
        <v>0</v>
      </c>
      <c r="K809" s="38">
        <f>IFERROR(VLOOKUP(A:A,[1]APO!$A:$F,6,0),)</f>
        <v>0</v>
      </c>
      <c r="L809" s="38">
        <f>IFERROR(VLOOKUP(C:C,'[1]TOTAL APO'!$A:$B,2,0),)</f>
        <v>0</v>
      </c>
      <c r="M809" s="38">
        <f>IFERROR(VLOOKUP(A:A,[1]Short!$A:$Q,17,0),)</f>
        <v>0</v>
      </c>
      <c r="N809" s="38">
        <f>IFERROR(VLOOKUP(C:C,[1]GIT!$B:$D,3,0),)</f>
        <v>0</v>
      </c>
      <c r="O809" s="38">
        <f>IFERROR(VLOOKUP(A:A,[2]Sheet1!$A:$B,2,0),)</f>
        <v>0</v>
      </c>
      <c r="P809" s="38">
        <f>IFERROR(VLOOKUP(A:A,[2]Sheet1!$A:$B,2,0),)</f>
        <v>0</v>
      </c>
      <c r="Q809" s="38">
        <f t="shared" si="12"/>
        <v>0</v>
      </c>
      <c r="R809" s="38"/>
      <c r="S809" s="38"/>
    </row>
    <row r="810" spans="1:19" hidden="1" x14ac:dyDescent="0.25">
      <c r="A810" s="38" t="str">
        <f>F810&amp;C810</f>
        <v/>
      </c>
      <c r="B810" s="38" t="str">
        <f>IF(J810&gt;=SUMIFS(E:E,C:C,C810),"Good to go","Short in Qty")</f>
        <v>Good to go</v>
      </c>
      <c r="C810" s="40"/>
      <c r="D810" s="40"/>
      <c r="E810" s="66"/>
      <c r="F810" s="38"/>
      <c r="G810" s="40"/>
      <c r="H810" s="38"/>
      <c r="I810" s="38"/>
      <c r="J810" s="38">
        <f>IFERROR(VLOOKUP(C:C,'[1]S&amp;S'!$B:$F,5,0),)</f>
        <v>0</v>
      </c>
      <c r="K810" s="38">
        <f>IFERROR(VLOOKUP(A:A,[1]APO!$A:$F,6,0),)</f>
        <v>0</v>
      </c>
      <c r="L810" s="38">
        <f>IFERROR(VLOOKUP(C:C,'[1]TOTAL APO'!$A:$B,2,0),)</f>
        <v>0</v>
      </c>
      <c r="M810" s="38">
        <f>IFERROR(VLOOKUP(A:A,[1]Short!$A:$Q,17,0),)</f>
        <v>0</v>
      </c>
      <c r="N810" s="38">
        <f>IFERROR(VLOOKUP(C:C,[1]GIT!$B:$D,3,0),)</f>
        <v>0</v>
      </c>
      <c r="O810" s="38">
        <f>IFERROR(VLOOKUP(A:A,[2]Sheet1!$A:$B,2,0),)</f>
        <v>0</v>
      </c>
      <c r="P810" s="38">
        <f>IFERROR(VLOOKUP(A:A,[2]Sheet1!$A:$B,2,0),)</f>
        <v>0</v>
      </c>
      <c r="Q810" s="38">
        <f t="shared" si="12"/>
        <v>0</v>
      </c>
      <c r="R810" s="38"/>
      <c r="S810" s="38"/>
    </row>
    <row r="811" spans="1:19" hidden="1" x14ac:dyDescent="0.25">
      <c r="A811" s="38" t="str">
        <f>F811&amp;C811</f>
        <v/>
      </c>
      <c r="B811" s="38" t="str">
        <f>IF(J811&gt;=SUMIFS(E:E,C:C,C811),"Good to go","Short in Qty")</f>
        <v>Good to go</v>
      </c>
      <c r="C811" s="40"/>
      <c r="D811" s="40"/>
      <c r="E811" s="66"/>
      <c r="F811" s="38"/>
      <c r="G811" s="40"/>
      <c r="H811" s="38"/>
      <c r="I811" s="38"/>
      <c r="J811" s="38">
        <f>IFERROR(VLOOKUP(C:C,'[1]S&amp;S'!$B:$F,5,0),)</f>
        <v>0</v>
      </c>
      <c r="K811" s="38">
        <f>IFERROR(VLOOKUP(A:A,[1]APO!$A:$F,6,0),)</f>
        <v>0</v>
      </c>
      <c r="L811" s="38">
        <f>IFERROR(VLOOKUP(C:C,'[1]TOTAL APO'!$A:$B,2,0),)</f>
        <v>0</v>
      </c>
      <c r="M811" s="38">
        <f>IFERROR(VLOOKUP(A:A,[1]Short!$A:$Q,17,0),)</f>
        <v>0</v>
      </c>
      <c r="N811" s="38">
        <f>IFERROR(VLOOKUP(C:C,[1]GIT!$B:$D,3,0),)</f>
        <v>0</v>
      </c>
      <c r="O811" s="38">
        <f>IFERROR(VLOOKUP(A:A,[2]Sheet1!$A:$B,2,0),)</f>
        <v>0</v>
      </c>
      <c r="P811" s="38">
        <f>IFERROR(VLOOKUP(A:A,[2]Sheet1!$A:$B,2,0),)</f>
        <v>0</v>
      </c>
      <c r="Q811" s="38">
        <f t="shared" si="12"/>
        <v>0</v>
      </c>
      <c r="R811" s="38"/>
      <c r="S811" s="38"/>
    </row>
    <row r="812" spans="1:19" hidden="1" x14ac:dyDescent="0.25">
      <c r="A812" s="38" t="str">
        <f>F812&amp;C812</f>
        <v/>
      </c>
      <c r="B812" s="38" t="str">
        <f>IF(J812&gt;=SUMIFS(E:E,C:C,C812),"Good to go","Short in Qty")</f>
        <v>Good to go</v>
      </c>
      <c r="C812" s="40"/>
      <c r="D812" s="40"/>
      <c r="E812" s="66"/>
      <c r="F812" s="38"/>
      <c r="G812" s="40"/>
      <c r="H812" s="38"/>
      <c r="I812" s="38"/>
      <c r="J812" s="38">
        <f>IFERROR(VLOOKUP(C:C,'[1]S&amp;S'!$B:$F,5,0),)</f>
        <v>0</v>
      </c>
      <c r="K812" s="38">
        <f>IFERROR(VLOOKUP(A:A,[1]APO!$A:$F,6,0),)</f>
        <v>0</v>
      </c>
      <c r="L812" s="38">
        <f>IFERROR(VLOOKUP(C:C,'[1]TOTAL APO'!$A:$B,2,0),)</f>
        <v>0</v>
      </c>
      <c r="M812" s="38">
        <f>IFERROR(VLOOKUP(A:A,[1]Short!$A:$Q,17,0),)</f>
        <v>0</v>
      </c>
      <c r="N812" s="38">
        <f>IFERROR(VLOOKUP(C:C,[1]GIT!$B:$D,3,0),)</f>
        <v>0</v>
      </c>
      <c r="O812" s="38">
        <f>IFERROR(VLOOKUP(A:A,[2]Sheet1!$A:$B,2,0),)</f>
        <v>0</v>
      </c>
      <c r="P812" s="38">
        <f>IFERROR(VLOOKUP(A:A,[2]Sheet1!$A:$B,2,0),)</f>
        <v>0</v>
      </c>
      <c r="Q812" s="38">
        <f t="shared" si="12"/>
        <v>0</v>
      </c>
      <c r="R812" s="38"/>
      <c r="S812" s="38"/>
    </row>
    <row r="813" spans="1:19" hidden="1" x14ac:dyDescent="0.25">
      <c r="A813" s="38" t="str">
        <f>F813&amp;C813</f>
        <v/>
      </c>
      <c r="B813" s="38" t="str">
        <f>IF(J813&gt;=SUMIFS(E:E,C:C,C813),"Good to go","Short in Qty")</f>
        <v>Good to go</v>
      </c>
      <c r="C813" s="40"/>
      <c r="D813" s="40"/>
      <c r="E813" s="66"/>
      <c r="F813" s="38"/>
      <c r="G813" s="40"/>
      <c r="H813" s="38"/>
      <c r="I813" s="38"/>
      <c r="J813" s="38">
        <f>IFERROR(VLOOKUP(C:C,'[1]S&amp;S'!$B:$F,5,0),)</f>
        <v>0</v>
      </c>
      <c r="K813" s="38">
        <f>IFERROR(VLOOKUP(A:A,[1]APO!$A:$F,6,0),)</f>
        <v>0</v>
      </c>
      <c r="L813" s="38">
        <f>IFERROR(VLOOKUP(C:C,'[1]TOTAL APO'!$A:$B,2,0),)</f>
        <v>0</v>
      </c>
      <c r="M813" s="38">
        <f>IFERROR(VLOOKUP(A:A,[1]Short!$A:$Q,17,0),)</f>
        <v>0</v>
      </c>
      <c r="N813" s="38">
        <f>IFERROR(VLOOKUP(C:C,[1]GIT!$B:$D,3,0),)</f>
        <v>0</v>
      </c>
      <c r="O813" s="38">
        <f>IFERROR(VLOOKUP(A:A,[2]Sheet1!$A:$B,2,0),)</f>
        <v>0</v>
      </c>
      <c r="P813" s="38">
        <f>IFERROR(VLOOKUP(A:A,[2]Sheet1!$A:$B,2,0),)</f>
        <v>0</v>
      </c>
      <c r="Q813" s="38">
        <f t="shared" si="12"/>
        <v>0</v>
      </c>
      <c r="R813" s="38"/>
      <c r="S813" s="38"/>
    </row>
    <row r="814" spans="1:19" hidden="1" x14ac:dyDescent="0.25">
      <c r="A814" s="38" t="str">
        <f>F814&amp;C814</f>
        <v/>
      </c>
      <c r="B814" s="38" t="str">
        <f>IF(J814&gt;=SUMIFS(E:E,C:C,C814),"Good to go","Short in Qty")</f>
        <v>Good to go</v>
      </c>
      <c r="C814" s="40"/>
      <c r="D814" s="40"/>
      <c r="E814" s="66"/>
      <c r="F814" s="38"/>
      <c r="G814" s="40"/>
      <c r="H814" s="38"/>
      <c r="I814" s="38"/>
      <c r="J814" s="38">
        <f>IFERROR(VLOOKUP(C:C,'[1]S&amp;S'!$B:$F,5,0),)</f>
        <v>0</v>
      </c>
      <c r="K814" s="38">
        <f>IFERROR(VLOOKUP(A:A,[1]APO!$A:$F,6,0),)</f>
        <v>0</v>
      </c>
      <c r="L814" s="38">
        <f>IFERROR(VLOOKUP(C:C,'[1]TOTAL APO'!$A:$B,2,0),)</f>
        <v>0</v>
      </c>
      <c r="M814" s="38">
        <f>IFERROR(VLOOKUP(A:A,[1]Short!$A:$Q,17,0),)</f>
        <v>0</v>
      </c>
      <c r="N814" s="38">
        <f>IFERROR(VLOOKUP(C:C,[1]GIT!$B:$D,3,0),)</f>
        <v>0</v>
      </c>
      <c r="O814" s="38">
        <f>IFERROR(VLOOKUP(A:A,[2]Sheet1!$A:$B,2,0),)</f>
        <v>0</v>
      </c>
      <c r="P814" s="38">
        <f>IFERROR(VLOOKUP(A:A,[2]Sheet1!$A:$B,2,0),)</f>
        <v>0</v>
      </c>
      <c r="Q814" s="38">
        <f t="shared" si="12"/>
        <v>0</v>
      </c>
      <c r="R814" s="38"/>
      <c r="S814" s="38"/>
    </row>
    <row r="815" spans="1:19" hidden="1" x14ac:dyDescent="0.25">
      <c r="A815" s="38" t="str">
        <f>F815&amp;C815</f>
        <v/>
      </c>
      <c r="B815" s="38" t="str">
        <f>IF(J815&gt;=SUMIFS(E:E,C:C,C815),"Good to go","Short in Qty")</f>
        <v>Good to go</v>
      </c>
      <c r="C815" s="40"/>
      <c r="D815" s="40"/>
      <c r="E815" s="66"/>
      <c r="F815" s="38"/>
      <c r="G815" s="40"/>
      <c r="H815" s="38"/>
      <c r="I815" s="38"/>
      <c r="J815" s="38">
        <f>IFERROR(VLOOKUP(C:C,'[1]S&amp;S'!$B:$F,5,0),)</f>
        <v>0</v>
      </c>
      <c r="K815" s="38">
        <f>IFERROR(VLOOKUP(A:A,[1]APO!$A:$F,6,0),)</f>
        <v>0</v>
      </c>
      <c r="L815" s="38">
        <f>IFERROR(VLOOKUP(C:C,'[1]TOTAL APO'!$A:$B,2,0),)</f>
        <v>0</v>
      </c>
      <c r="M815" s="38">
        <f>IFERROR(VLOOKUP(A:A,[1]Short!$A:$Q,17,0),)</f>
        <v>0</v>
      </c>
      <c r="N815" s="38">
        <f>IFERROR(VLOOKUP(C:C,[1]GIT!$B:$D,3,0),)</f>
        <v>0</v>
      </c>
      <c r="O815" s="38">
        <f>IFERROR(VLOOKUP(A:A,[2]Sheet1!$A:$B,2,0),)</f>
        <v>0</v>
      </c>
      <c r="P815" s="38">
        <f>IFERROR(VLOOKUP(A:A,[2]Sheet1!$A:$B,2,0),)</f>
        <v>0</v>
      </c>
      <c r="Q815" s="38">
        <f t="shared" si="12"/>
        <v>0</v>
      </c>
      <c r="R815" s="38"/>
      <c r="S815" s="38"/>
    </row>
    <row r="816" spans="1:19" hidden="1" x14ac:dyDescent="0.25">
      <c r="A816" s="38" t="str">
        <f>F816&amp;C816</f>
        <v/>
      </c>
      <c r="B816" s="38" t="str">
        <f>IF(J816&gt;=SUMIFS(E:E,C:C,C816),"Good to go","Short in Qty")</f>
        <v>Good to go</v>
      </c>
      <c r="C816" s="40"/>
      <c r="D816" s="40"/>
      <c r="E816" s="66"/>
      <c r="F816" s="38"/>
      <c r="G816" s="40"/>
      <c r="H816" s="38"/>
      <c r="I816" s="38"/>
      <c r="J816" s="38">
        <f>IFERROR(VLOOKUP(C:C,'[1]S&amp;S'!$B:$F,5,0),)</f>
        <v>0</v>
      </c>
      <c r="K816" s="38">
        <f>IFERROR(VLOOKUP(A:A,[1]APO!$A:$F,6,0),)</f>
        <v>0</v>
      </c>
      <c r="L816" s="38">
        <f>IFERROR(VLOOKUP(C:C,'[1]TOTAL APO'!$A:$B,2,0),)</f>
        <v>0</v>
      </c>
      <c r="M816" s="38">
        <f>IFERROR(VLOOKUP(A:A,[1]Short!$A:$Q,17,0),)</f>
        <v>0</v>
      </c>
      <c r="N816" s="38">
        <f>IFERROR(VLOOKUP(C:C,[1]GIT!$B:$D,3,0),)</f>
        <v>0</v>
      </c>
      <c r="O816" s="38">
        <f>IFERROR(VLOOKUP(A:A,[2]Sheet1!$A:$B,2,0),)</f>
        <v>0</v>
      </c>
      <c r="P816" s="38">
        <f>IFERROR(VLOOKUP(A:A,[2]Sheet1!$A:$B,2,0),)</f>
        <v>0</v>
      </c>
      <c r="Q816" s="38">
        <f t="shared" si="12"/>
        <v>0</v>
      </c>
      <c r="R816" s="38"/>
      <c r="S816" s="38"/>
    </row>
    <row r="817" spans="1:19" hidden="1" x14ac:dyDescent="0.25">
      <c r="A817" s="38" t="str">
        <f>F817&amp;C817</f>
        <v/>
      </c>
      <c r="B817" s="38" t="str">
        <f>IF(J817&gt;=SUMIFS(E:E,C:C,C817),"Good to go","Short in Qty")</f>
        <v>Good to go</v>
      </c>
      <c r="C817" s="40"/>
      <c r="D817" s="40"/>
      <c r="E817" s="66"/>
      <c r="F817" s="38"/>
      <c r="G817" s="40"/>
      <c r="H817" s="38"/>
      <c r="I817" s="38"/>
      <c r="J817" s="38">
        <f>IFERROR(VLOOKUP(C:C,'[1]S&amp;S'!$B:$F,5,0),)</f>
        <v>0</v>
      </c>
      <c r="K817" s="38">
        <f>IFERROR(VLOOKUP(A:A,[1]APO!$A:$F,6,0),)</f>
        <v>0</v>
      </c>
      <c r="L817" s="38">
        <f>IFERROR(VLOOKUP(C:C,'[1]TOTAL APO'!$A:$B,2,0),)</f>
        <v>0</v>
      </c>
      <c r="M817" s="38">
        <f>IFERROR(VLOOKUP(A:A,[1]Short!$A:$Q,17,0),)</f>
        <v>0</v>
      </c>
      <c r="N817" s="38">
        <f>IFERROR(VLOOKUP(C:C,[1]GIT!$B:$D,3,0),)</f>
        <v>0</v>
      </c>
      <c r="O817" s="38">
        <f>IFERROR(VLOOKUP(A:A,[2]Sheet1!$A:$B,2,0),)</f>
        <v>0</v>
      </c>
      <c r="P817" s="38">
        <f>IFERROR(VLOOKUP(A:A,[2]Sheet1!$A:$B,2,0),)</f>
        <v>0</v>
      </c>
      <c r="Q817" s="38">
        <f t="shared" si="12"/>
        <v>0</v>
      </c>
      <c r="R817" s="38"/>
      <c r="S817" s="38"/>
    </row>
    <row r="818" spans="1:19" hidden="1" x14ac:dyDescent="0.25">
      <c r="A818" s="38" t="str">
        <f>F818&amp;C818</f>
        <v/>
      </c>
      <c r="B818" s="38" t="str">
        <f>IF(J818&gt;=SUMIFS(E:E,C:C,C818),"Good to go","Short in Qty")</f>
        <v>Good to go</v>
      </c>
      <c r="C818" s="40"/>
      <c r="D818" s="40"/>
      <c r="E818" s="66"/>
      <c r="F818" s="38"/>
      <c r="G818" s="40"/>
      <c r="H818" s="38"/>
      <c r="I818" s="38"/>
      <c r="J818" s="38">
        <f>IFERROR(VLOOKUP(C:C,'[1]S&amp;S'!$B:$F,5,0),)</f>
        <v>0</v>
      </c>
      <c r="K818" s="38">
        <f>IFERROR(VLOOKUP(A:A,[1]APO!$A:$F,6,0),)</f>
        <v>0</v>
      </c>
      <c r="L818" s="38">
        <f>IFERROR(VLOOKUP(C:C,'[1]TOTAL APO'!$A:$B,2,0),)</f>
        <v>0</v>
      </c>
      <c r="M818" s="38">
        <f>IFERROR(VLOOKUP(A:A,[1]Short!$A:$Q,17,0),)</f>
        <v>0</v>
      </c>
      <c r="N818" s="38">
        <f>IFERROR(VLOOKUP(C:C,[1]GIT!$B:$D,3,0),)</f>
        <v>0</v>
      </c>
      <c r="O818" s="38">
        <f>IFERROR(VLOOKUP(A:A,[2]Sheet1!$A:$B,2,0),)</f>
        <v>0</v>
      </c>
      <c r="P818" s="38">
        <f>IFERROR(VLOOKUP(A:A,[2]Sheet1!$A:$B,2,0),)</f>
        <v>0</v>
      </c>
      <c r="Q818" s="38">
        <f t="shared" si="12"/>
        <v>0</v>
      </c>
      <c r="R818" s="38"/>
      <c r="S818" s="38"/>
    </row>
    <row r="819" spans="1:19" hidden="1" x14ac:dyDescent="0.25">
      <c r="A819" s="38" t="str">
        <f>F819&amp;C819</f>
        <v/>
      </c>
      <c r="B819" s="38" t="str">
        <f>IF(J819&gt;=SUMIFS(E:E,C:C,C819),"Good to go","Short in Qty")</f>
        <v>Good to go</v>
      </c>
      <c r="C819" s="40"/>
      <c r="D819" s="40"/>
      <c r="E819" s="66"/>
      <c r="F819" s="38"/>
      <c r="G819" s="40"/>
      <c r="H819" s="38"/>
      <c r="I819" s="38"/>
      <c r="J819" s="38">
        <f>IFERROR(VLOOKUP(C:C,'[1]S&amp;S'!$B:$F,5,0),)</f>
        <v>0</v>
      </c>
      <c r="K819" s="38">
        <f>IFERROR(VLOOKUP(A:A,[1]APO!$A:$F,6,0),)</f>
        <v>0</v>
      </c>
      <c r="L819" s="38">
        <f>IFERROR(VLOOKUP(C:C,'[1]TOTAL APO'!$A:$B,2,0),)</f>
        <v>0</v>
      </c>
      <c r="M819" s="38">
        <f>IFERROR(VLOOKUP(A:A,[1]Short!$A:$Q,17,0),)</f>
        <v>0</v>
      </c>
      <c r="N819" s="38">
        <f>IFERROR(VLOOKUP(C:C,[1]GIT!$B:$D,3,0),)</f>
        <v>0</v>
      </c>
      <c r="O819" s="38">
        <f>IFERROR(VLOOKUP(A:A,[2]Sheet1!$A:$B,2,0),)</f>
        <v>0</v>
      </c>
      <c r="P819" s="38">
        <f>IFERROR(VLOOKUP(A:A,[2]Sheet1!$A:$B,2,0),)</f>
        <v>0</v>
      </c>
      <c r="Q819" s="38">
        <f t="shared" si="12"/>
        <v>0</v>
      </c>
      <c r="R819" s="38"/>
      <c r="S819" s="38"/>
    </row>
    <row r="820" spans="1:19" hidden="1" x14ac:dyDescent="0.25">
      <c r="A820" s="38" t="str">
        <f>F820&amp;C820</f>
        <v/>
      </c>
      <c r="B820" s="38" t="str">
        <f>IF(J820&gt;=SUMIFS(E:E,C:C,C820),"Good to go","Short in Qty")</f>
        <v>Good to go</v>
      </c>
      <c r="C820" s="40"/>
      <c r="D820" s="40"/>
      <c r="E820" s="66"/>
      <c r="F820" s="38"/>
      <c r="G820" s="40"/>
      <c r="H820" s="38"/>
      <c r="I820" s="38"/>
      <c r="J820" s="38">
        <f>IFERROR(VLOOKUP(C:C,'[1]S&amp;S'!$B:$F,5,0),)</f>
        <v>0</v>
      </c>
      <c r="K820" s="38">
        <f>IFERROR(VLOOKUP(A:A,[1]APO!$A:$F,6,0),)</f>
        <v>0</v>
      </c>
      <c r="L820" s="38">
        <f>IFERROR(VLOOKUP(C:C,'[1]TOTAL APO'!$A:$B,2,0),)</f>
        <v>0</v>
      </c>
      <c r="M820" s="38">
        <f>IFERROR(VLOOKUP(A:A,[1]Short!$A:$Q,17,0),)</f>
        <v>0</v>
      </c>
      <c r="N820" s="38">
        <f>IFERROR(VLOOKUP(C:C,[1]GIT!$B:$D,3,0),)</f>
        <v>0</v>
      </c>
      <c r="O820" s="38">
        <f>IFERROR(VLOOKUP(A:A,[2]Sheet1!$A:$B,2,0),)</f>
        <v>0</v>
      </c>
      <c r="P820" s="38">
        <f>IFERROR(VLOOKUP(A:A,[2]Sheet1!$A:$B,2,0),)</f>
        <v>0</v>
      </c>
      <c r="Q820" s="38">
        <f t="shared" si="12"/>
        <v>0</v>
      </c>
      <c r="R820" s="38"/>
      <c r="S820" s="38"/>
    </row>
    <row r="821" spans="1:19" hidden="1" x14ac:dyDescent="0.25">
      <c r="A821" s="38" t="str">
        <f>F821&amp;C821</f>
        <v/>
      </c>
      <c r="B821" s="38" t="str">
        <f>IF(J821&gt;=SUMIFS(E:E,C:C,C821),"Good to go","Short in Qty")</f>
        <v>Good to go</v>
      </c>
      <c r="C821" s="40"/>
      <c r="D821" s="40"/>
      <c r="E821" s="66"/>
      <c r="F821" s="38"/>
      <c r="G821" s="40"/>
      <c r="H821" s="38"/>
      <c r="I821" s="38"/>
      <c r="J821" s="38">
        <f>IFERROR(VLOOKUP(C:C,'[1]S&amp;S'!$B:$F,5,0),)</f>
        <v>0</v>
      </c>
      <c r="K821" s="38">
        <f>IFERROR(VLOOKUP(A:A,[1]APO!$A:$F,6,0),)</f>
        <v>0</v>
      </c>
      <c r="L821" s="38">
        <f>IFERROR(VLOOKUP(C:C,'[1]TOTAL APO'!$A:$B,2,0),)</f>
        <v>0</v>
      </c>
      <c r="M821" s="38">
        <f>IFERROR(VLOOKUP(A:A,[1]Short!$A:$Q,17,0),)</f>
        <v>0</v>
      </c>
      <c r="N821" s="38">
        <f>IFERROR(VLOOKUP(C:C,[1]GIT!$B:$D,3,0),)</f>
        <v>0</v>
      </c>
      <c r="O821" s="38">
        <f>IFERROR(VLOOKUP(A:A,[2]Sheet1!$A:$B,2,0),)</f>
        <v>0</v>
      </c>
      <c r="P821" s="38">
        <f>IFERROR(VLOOKUP(A:A,[2]Sheet1!$A:$B,2,0),)</f>
        <v>0</v>
      </c>
      <c r="Q821" s="38">
        <f t="shared" si="12"/>
        <v>0</v>
      </c>
      <c r="R821" s="38"/>
      <c r="S821" s="38"/>
    </row>
    <row r="822" spans="1:19" hidden="1" x14ac:dyDescent="0.25">
      <c r="A822" s="38" t="str">
        <f>F822&amp;C822</f>
        <v/>
      </c>
      <c r="B822" s="38" t="str">
        <f>IF(J822&gt;=SUMIFS(E:E,C:C,C822),"Good to go","Short in Qty")</f>
        <v>Good to go</v>
      </c>
      <c r="C822" s="40"/>
      <c r="D822" s="40"/>
      <c r="E822" s="66"/>
      <c r="F822" s="38"/>
      <c r="G822" s="40"/>
      <c r="H822" s="38"/>
      <c r="I822" s="38"/>
      <c r="J822" s="38">
        <f>IFERROR(VLOOKUP(C:C,'[1]S&amp;S'!$B:$F,5,0),)</f>
        <v>0</v>
      </c>
      <c r="K822" s="38">
        <f>IFERROR(VLOOKUP(A:A,[1]APO!$A:$F,6,0),)</f>
        <v>0</v>
      </c>
      <c r="L822" s="38">
        <f>IFERROR(VLOOKUP(C:C,'[1]TOTAL APO'!$A:$B,2,0),)</f>
        <v>0</v>
      </c>
      <c r="M822" s="38">
        <f>IFERROR(VLOOKUP(A:A,[1]Short!$A:$Q,17,0),)</f>
        <v>0</v>
      </c>
      <c r="N822" s="38">
        <f>IFERROR(VLOOKUP(C:C,[1]GIT!$B:$D,3,0),)</f>
        <v>0</v>
      </c>
      <c r="O822" s="38">
        <f>IFERROR(VLOOKUP(A:A,[2]Sheet1!$A:$B,2,0),)</f>
        <v>0</v>
      </c>
      <c r="P822" s="38">
        <f>IFERROR(VLOOKUP(A:A,[2]Sheet1!$A:$B,2,0),)</f>
        <v>0</v>
      </c>
      <c r="Q822" s="38">
        <f t="shared" si="12"/>
        <v>0</v>
      </c>
      <c r="R822" s="38"/>
      <c r="S822" s="38"/>
    </row>
    <row r="823" spans="1:19" hidden="1" x14ac:dyDescent="0.25">
      <c r="A823" s="38" t="str">
        <f>F823&amp;C823</f>
        <v/>
      </c>
      <c r="B823" s="38" t="str">
        <f>IF(J823&gt;=SUMIFS(E:E,C:C,C823),"Good to go","Short in Qty")</f>
        <v>Good to go</v>
      </c>
      <c r="C823" s="40"/>
      <c r="D823" s="40"/>
      <c r="E823" s="66"/>
      <c r="F823" s="38"/>
      <c r="G823" s="40"/>
      <c r="H823" s="38"/>
      <c r="I823" s="38"/>
      <c r="J823" s="38">
        <f>IFERROR(VLOOKUP(C:C,'[1]S&amp;S'!$B:$F,5,0),)</f>
        <v>0</v>
      </c>
      <c r="K823" s="38">
        <f>IFERROR(VLOOKUP(A:A,[1]APO!$A:$F,6,0),)</f>
        <v>0</v>
      </c>
      <c r="L823" s="38">
        <f>IFERROR(VLOOKUP(C:C,'[1]TOTAL APO'!$A:$B,2,0),)</f>
        <v>0</v>
      </c>
      <c r="M823" s="38">
        <f>IFERROR(VLOOKUP(A:A,[1]Short!$A:$Q,17,0),)</f>
        <v>0</v>
      </c>
      <c r="N823" s="38">
        <f>IFERROR(VLOOKUP(C:C,[1]GIT!$B:$D,3,0),)</f>
        <v>0</v>
      </c>
      <c r="O823" s="38">
        <f>IFERROR(VLOOKUP(A:A,[2]Sheet1!$A:$B,2,0),)</f>
        <v>0</v>
      </c>
      <c r="P823" s="38">
        <f>IFERROR(VLOOKUP(A:A,[2]Sheet1!$A:$B,2,0),)</f>
        <v>0</v>
      </c>
      <c r="Q823" s="38">
        <f t="shared" si="12"/>
        <v>0</v>
      </c>
      <c r="R823" s="38"/>
      <c r="S823" s="38"/>
    </row>
    <row r="824" spans="1:19" hidden="1" x14ac:dyDescent="0.25">
      <c r="A824" s="38" t="str">
        <f>F824&amp;C824</f>
        <v/>
      </c>
      <c r="B824" s="38" t="str">
        <f>IF(J824&gt;=SUMIFS(E:E,C:C,C824),"Good to go","Short in Qty")</f>
        <v>Good to go</v>
      </c>
      <c r="C824" s="40"/>
      <c r="D824" s="40"/>
      <c r="E824" s="66"/>
      <c r="F824" s="38"/>
      <c r="G824" s="40"/>
      <c r="H824" s="38"/>
      <c r="I824" s="38"/>
      <c r="J824" s="38">
        <f>IFERROR(VLOOKUP(C:C,'[1]S&amp;S'!$B:$F,5,0),)</f>
        <v>0</v>
      </c>
      <c r="K824" s="38">
        <f>IFERROR(VLOOKUP(A:A,[1]APO!$A:$F,6,0),)</f>
        <v>0</v>
      </c>
      <c r="L824" s="38">
        <f>IFERROR(VLOOKUP(C:C,'[1]TOTAL APO'!$A:$B,2,0),)</f>
        <v>0</v>
      </c>
      <c r="M824" s="38">
        <f>IFERROR(VLOOKUP(A:A,[1]Short!$A:$Q,17,0),)</f>
        <v>0</v>
      </c>
      <c r="N824" s="38">
        <f>IFERROR(VLOOKUP(C:C,[1]GIT!$B:$D,3,0),)</f>
        <v>0</v>
      </c>
      <c r="O824" s="38">
        <f>IFERROR(VLOOKUP(A:A,[2]Sheet1!$A:$B,2,0),)</f>
        <v>0</v>
      </c>
      <c r="P824" s="38">
        <f>IFERROR(VLOOKUP(A:A,[2]Sheet1!$A:$B,2,0),)</f>
        <v>0</v>
      </c>
      <c r="Q824" s="38">
        <f t="shared" si="12"/>
        <v>0</v>
      </c>
      <c r="R824" s="38"/>
      <c r="S824" s="38"/>
    </row>
    <row r="825" spans="1:19" hidden="1" x14ac:dyDescent="0.25">
      <c r="A825" s="38" t="str">
        <f>F825&amp;C825</f>
        <v/>
      </c>
      <c r="B825" s="38" t="str">
        <f>IF(J825&gt;=SUMIFS(E:E,C:C,C825),"Good to go","Short in Qty")</f>
        <v>Good to go</v>
      </c>
      <c r="C825" s="40"/>
      <c r="D825" s="40"/>
      <c r="E825" s="66"/>
      <c r="F825" s="38"/>
      <c r="G825" s="40"/>
      <c r="H825" s="38"/>
      <c r="I825" s="38"/>
      <c r="J825" s="38">
        <f>IFERROR(VLOOKUP(C:C,'[1]S&amp;S'!$B:$F,5,0),)</f>
        <v>0</v>
      </c>
      <c r="K825" s="38">
        <f>IFERROR(VLOOKUP(A:A,[1]APO!$A:$F,6,0),)</f>
        <v>0</v>
      </c>
      <c r="L825" s="38">
        <f>IFERROR(VLOOKUP(C:C,'[1]TOTAL APO'!$A:$B,2,0),)</f>
        <v>0</v>
      </c>
      <c r="M825" s="38">
        <f>IFERROR(VLOOKUP(A:A,[1]Short!$A:$Q,17,0),)</f>
        <v>0</v>
      </c>
      <c r="N825" s="38">
        <f>IFERROR(VLOOKUP(C:C,[1]GIT!$B:$D,3,0),)</f>
        <v>0</v>
      </c>
      <c r="O825" s="38">
        <f>IFERROR(VLOOKUP(A:A,[2]Sheet1!$A:$B,2,0),)</f>
        <v>0</v>
      </c>
      <c r="P825" s="38">
        <f>IFERROR(VLOOKUP(A:A,[2]Sheet1!$A:$B,2,0),)</f>
        <v>0</v>
      </c>
      <c r="Q825" s="38">
        <f t="shared" si="12"/>
        <v>0</v>
      </c>
      <c r="R825" s="38"/>
      <c r="S825" s="38"/>
    </row>
    <row r="826" spans="1:19" hidden="1" x14ac:dyDescent="0.25">
      <c r="A826" s="38" t="str">
        <f>F826&amp;C826</f>
        <v/>
      </c>
      <c r="B826" s="38" t="str">
        <f>IF(J826&gt;=SUMIFS(E:E,C:C,C826),"Good to go","Short in Qty")</f>
        <v>Good to go</v>
      </c>
      <c r="C826" s="40"/>
      <c r="D826" s="40"/>
      <c r="E826" s="66"/>
      <c r="F826" s="38"/>
      <c r="G826" s="40"/>
      <c r="H826" s="38"/>
      <c r="I826" s="38"/>
      <c r="J826" s="38">
        <f>IFERROR(VLOOKUP(C:C,'[1]S&amp;S'!$B:$F,5,0),)</f>
        <v>0</v>
      </c>
      <c r="K826" s="38">
        <f>IFERROR(VLOOKUP(A:A,[1]APO!$A:$F,6,0),)</f>
        <v>0</v>
      </c>
      <c r="L826" s="38">
        <f>IFERROR(VLOOKUP(C:C,'[1]TOTAL APO'!$A:$B,2,0),)</f>
        <v>0</v>
      </c>
      <c r="M826" s="38">
        <f>IFERROR(VLOOKUP(A:A,[1]Short!$A:$Q,17,0),)</f>
        <v>0</v>
      </c>
      <c r="N826" s="38">
        <f>IFERROR(VLOOKUP(C:C,[1]GIT!$B:$D,3,0),)</f>
        <v>0</v>
      </c>
      <c r="O826" s="38">
        <f>IFERROR(VLOOKUP(A:A,[2]Sheet1!$A:$B,2,0),)</f>
        <v>0</v>
      </c>
      <c r="P826" s="38">
        <f>IFERROR(VLOOKUP(A:A,[2]Sheet1!$A:$B,2,0),)</f>
        <v>0</v>
      </c>
      <c r="Q826" s="38">
        <f t="shared" si="12"/>
        <v>0</v>
      </c>
      <c r="R826" s="38"/>
      <c r="S826" s="38"/>
    </row>
    <row r="827" spans="1:19" hidden="1" x14ac:dyDescent="0.25">
      <c r="A827" s="38" t="str">
        <f>F827&amp;C827</f>
        <v/>
      </c>
      <c r="B827" s="38" t="str">
        <f>IF(J827&gt;=SUMIFS(E:E,C:C,C827),"Good to go","Short in Qty")</f>
        <v>Good to go</v>
      </c>
      <c r="C827" s="40"/>
      <c r="D827" s="40"/>
      <c r="E827" s="66"/>
      <c r="F827" s="38"/>
      <c r="G827" s="40"/>
      <c r="H827" s="38"/>
      <c r="I827" s="38"/>
      <c r="J827" s="38">
        <f>IFERROR(VLOOKUP(C:C,'[1]S&amp;S'!$B:$F,5,0),)</f>
        <v>0</v>
      </c>
      <c r="K827" s="38">
        <f>IFERROR(VLOOKUP(A:A,[1]APO!$A:$F,6,0),)</f>
        <v>0</v>
      </c>
      <c r="L827" s="38">
        <f>IFERROR(VLOOKUP(C:C,'[1]TOTAL APO'!$A:$B,2,0),)</f>
        <v>0</v>
      </c>
      <c r="M827" s="38">
        <f>IFERROR(VLOOKUP(A:A,[1]Short!$A:$Q,17,0),)</f>
        <v>0</v>
      </c>
      <c r="N827" s="38">
        <f>IFERROR(VLOOKUP(C:C,[1]GIT!$B:$D,3,0),)</f>
        <v>0</v>
      </c>
      <c r="O827" s="38">
        <f>IFERROR(VLOOKUP(A:A,[2]Sheet1!$A:$B,2,0),)</f>
        <v>0</v>
      </c>
      <c r="P827" s="38">
        <f>IFERROR(VLOOKUP(A:A,[2]Sheet1!$A:$B,2,0),)</f>
        <v>0</v>
      </c>
      <c r="Q827" s="38">
        <f t="shared" si="12"/>
        <v>0</v>
      </c>
      <c r="R827" s="38"/>
      <c r="S827" s="38"/>
    </row>
    <row r="828" spans="1:19" hidden="1" x14ac:dyDescent="0.25">
      <c r="A828" s="38" t="str">
        <f>F828&amp;C828</f>
        <v/>
      </c>
      <c r="B828" s="38" t="str">
        <f>IF(J828&gt;=SUMIFS(E:E,C:C,C828),"Good to go","Short in Qty")</f>
        <v>Good to go</v>
      </c>
      <c r="C828" s="40"/>
      <c r="D828" s="40"/>
      <c r="E828" s="66"/>
      <c r="F828" s="38"/>
      <c r="G828" s="40"/>
      <c r="H828" s="38"/>
      <c r="I828" s="38"/>
      <c r="J828" s="38">
        <f>IFERROR(VLOOKUP(C:C,'[1]S&amp;S'!$B:$F,5,0),)</f>
        <v>0</v>
      </c>
      <c r="K828" s="38">
        <f>IFERROR(VLOOKUP(A:A,[1]APO!$A:$F,6,0),)</f>
        <v>0</v>
      </c>
      <c r="L828" s="38">
        <f>IFERROR(VLOOKUP(C:C,'[1]TOTAL APO'!$A:$B,2,0),)</f>
        <v>0</v>
      </c>
      <c r="M828" s="38">
        <f>IFERROR(VLOOKUP(A:A,[1]Short!$A:$Q,17,0),)</f>
        <v>0</v>
      </c>
      <c r="N828" s="38">
        <f>IFERROR(VLOOKUP(C:C,[1]GIT!$B:$D,3,0),)</f>
        <v>0</v>
      </c>
      <c r="O828" s="38">
        <f>IFERROR(VLOOKUP(A:A,[2]Sheet1!$A:$B,2,0),)</f>
        <v>0</v>
      </c>
      <c r="P828" s="38">
        <f>IFERROR(VLOOKUP(A:A,[2]Sheet1!$A:$B,2,0),)</f>
        <v>0</v>
      </c>
      <c r="Q828" s="38">
        <f t="shared" si="12"/>
        <v>0</v>
      </c>
      <c r="R828" s="38"/>
      <c r="S828" s="38"/>
    </row>
    <row r="829" spans="1:19" hidden="1" x14ac:dyDescent="0.25">
      <c r="A829" s="38" t="str">
        <f>F829&amp;C829</f>
        <v/>
      </c>
      <c r="B829" s="38" t="str">
        <f>IF(J829&gt;=SUMIFS(E:E,C:C,C829),"Good to go","Short in Qty")</f>
        <v>Good to go</v>
      </c>
      <c r="C829" s="40"/>
      <c r="D829" s="40"/>
      <c r="E829" s="66"/>
      <c r="F829" s="38"/>
      <c r="G829" s="40"/>
      <c r="H829" s="38"/>
      <c r="I829" s="38"/>
      <c r="J829" s="38">
        <f>IFERROR(VLOOKUP(C:C,'[1]S&amp;S'!$B:$F,5,0),)</f>
        <v>0</v>
      </c>
      <c r="K829" s="38">
        <f>IFERROR(VLOOKUP(A:A,[1]APO!$A:$F,6,0),)</f>
        <v>0</v>
      </c>
      <c r="L829" s="38">
        <f>IFERROR(VLOOKUP(C:C,'[1]TOTAL APO'!$A:$B,2,0),)</f>
        <v>0</v>
      </c>
      <c r="M829" s="38">
        <f>IFERROR(VLOOKUP(A:A,[1]Short!$A:$Q,17,0),)</f>
        <v>0</v>
      </c>
      <c r="N829" s="38">
        <f>IFERROR(VLOOKUP(C:C,[1]GIT!$B:$D,3,0),)</f>
        <v>0</v>
      </c>
      <c r="O829" s="38">
        <f>IFERROR(VLOOKUP(A:A,[2]Sheet1!$A:$B,2,0),)</f>
        <v>0</v>
      </c>
      <c r="P829" s="38">
        <f>IFERROR(VLOOKUP(A:A,[2]Sheet1!$A:$B,2,0),)</f>
        <v>0</v>
      </c>
      <c r="Q829" s="38">
        <f t="shared" si="12"/>
        <v>0</v>
      </c>
      <c r="R829" s="38"/>
      <c r="S829" s="38"/>
    </row>
    <row r="830" spans="1:19" hidden="1" x14ac:dyDescent="0.25">
      <c r="A830" s="38" t="str">
        <f>F830&amp;C830</f>
        <v/>
      </c>
      <c r="B830" s="38" t="str">
        <f>IF(J830&gt;=SUMIFS(E:E,C:C,C830),"Good to go","Short in Qty")</f>
        <v>Good to go</v>
      </c>
      <c r="C830" s="40"/>
      <c r="D830" s="40"/>
      <c r="E830" s="66"/>
      <c r="F830" s="38"/>
      <c r="G830" s="40"/>
      <c r="H830" s="38"/>
      <c r="I830" s="38"/>
      <c r="J830" s="38">
        <f>IFERROR(VLOOKUP(C:C,'[1]S&amp;S'!$B:$F,5,0),)</f>
        <v>0</v>
      </c>
      <c r="K830" s="38">
        <f>IFERROR(VLOOKUP(A:A,[1]APO!$A:$F,6,0),)</f>
        <v>0</v>
      </c>
      <c r="L830" s="38">
        <f>IFERROR(VLOOKUP(C:C,'[1]TOTAL APO'!$A:$B,2,0),)</f>
        <v>0</v>
      </c>
      <c r="M830" s="38">
        <f>IFERROR(VLOOKUP(A:A,[1]Short!$A:$Q,17,0),)</f>
        <v>0</v>
      </c>
      <c r="N830" s="38">
        <f>IFERROR(VLOOKUP(C:C,[1]GIT!$B:$D,3,0),)</f>
        <v>0</v>
      </c>
      <c r="O830" s="38">
        <f>IFERROR(VLOOKUP(A:A,[2]Sheet1!$A:$B,2,0),)</f>
        <v>0</v>
      </c>
      <c r="P830" s="38">
        <f>IFERROR(VLOOKUP(A:A,[2]Sheet1!$A:$B,2,0),)</f>
        <v>0</v>
      </c>
      <c r="Q830" s="38">
        <f t="shared" si="12"/>
        <v>0</v>
      </c>
      <c r="R830" s="38"/>
      <c r="S830" s="38"/>
    </row>
    <row r="831" spans="1:19" hidden="1" x14ac:dyDescent="0.25">
      <c r="A831" s="38" t="str">
        <f>F831&amp;C831</f>
        <v/>
      </c>
      <c r="B831" s="38" t="str">
        <f>IF(J831&gt;=SUMIFS(E:E,C:C,C831),"Good to go","Short in Qty")</f>
        <v>Good to go</v>
      </c>
      <c r="C831" s="40"/>
      <c r="D831" s="40"/>
      <c r="E831" s="66"/>
      <c r="F831" s="38"/>
      <c r="G831" s="40"/>
      <c r="H831" s="38"/>
      <c r="I831" s="38"/>
      <c r="J831" s="38">
        <f>IFERROR(VLOOKUP(C:C,'[1]S&amp;S'!$B:$F,5,0),)</f>
        <v>0</v>
      </c>
      <c r="K831" s="38">
        <f>IFERROR(VLOOKUP(A:A,[1]APO!$A:$F,6,0),)</f>
        <v>0</v>
      </c>
      <c r="L831" s="38">
        <f>IFERROR(VLOOKUP(C:C,'[1]TOTAL APO'!$A:$B,2,0),)</f>
        <v>0</v>
      </c>
      <c r="M831" s="38">
        <f>IFERROR(VLOOKUP(A:A,[1]Short!$A:$Q,17,0),)</f>
        <v>0</v>
      </c>
      <c r="N831" s="38">
        <f>IFERROR(VLOOKUP(C:C,[1]GIT!$B:$D,3,0),)</f>
        <v>0</v>
      </c>
      <c r="O831" s="38">
        <f>IFERROR(VLOOKUP(A:A,[2]Sheet1!$A:$B,2,0),)</f>
        <v>0</v>
      </c>
      <c r="P831" s="38">
        <f>IFERROR(VLOOKUP(A:A,[2]Sheet1!$A:$B,2,0),)</f>
        <v>0</v>
      </c>
      <c r="Q831" s="38">
        <f t="shared" si="12"/>
        <v>0</v>
      </c>
      <c r="R831" s="38"/>
      <c r="S831" s="38"/>
    </row>
    <row r="832" spans="1:19" hidden="1" x14ac:dyDescent="0.25">
      <c r="A832" s="38" t="str">
        <f>F832&amp;C832</f>
        <v/>
      </c>
      <c r="B832" s="38" t="str">
        <f>IF(J832&gt;=SUMIFS(E:E,C:C,C832),"Good to go","Short in Qty")</f>
        <v>Good to go</v>
      </c>
      <c r="C832" s="40"/>
      <c r="D832" s="40"/>
      <c r="E832" s="66"/>
      <c r="F832" s="38"/>
      <c r="G832" s="40"/>
      <c r="H832" s="38"/>
      <c r="I832" s="38"/>
      <c r="J832" s="38">
        <f>IFERROR(VLOOKUP(C:C,'[1]S&amp;S'!$B:$F,5,0),)</f>
        <v>0</v>
      </c>
      <c r="K832" s="38">
        <f>IFERROR(VLOOKUP(A:A,[1]APO!$A:$F,6,0),)</f>
        <v>0</v>
      </c>
      <c r="L832" s="38">
        <f>IFERROR(VLOOKUP(C:C,'[1]TOTAL APO'!$A:$B,2,0),)</f>
        <v>0</v>
      </c>
      <c r="M832" s="38">
        <f>IFERROR(VLOOKUP(A:A,[1]Short!$A:$Q,17,0),)</f>
        <v>0</v>
      </c>
      <c r="N832" s="38">
        <f>IFERROR(VLOOKUP(C:C,[1]GIT!$B:$D,3,0),)</f>
        <v>0</v>
      </c>
      <c r="O832" s="38">
        <f>IFERROR(VLOOKUP(A:A,[2]Sheet1!$A:$B,2,0),)</f>
        <v>0</v>
      </c>
      <c r="P832" s="38">
        <f>IFERROR(VLOOKUP(A:A,[2]Sheet1!$A:$B,2,0),)</f>
        <v>0</v>
      </c>
      <c r="Q832" s="38">
        <f t="shared" si="12"/>
        <v>0</v>
      </c>
      <c r="R832" s="38"/>
      <c r="S832" s="38"/>
    </row>
    <row r="833" spans="1:19" hidden="1" x14ac:dyDescent="0.25">
      <c r="A833" s="38" t="str">
        <f>F833&amp;C833</f>
        <v/>
      </c>
      <c r="B833" s="38" t="str">
        <f>IF(J833&gt;=SUMIFS(E:E,C:C,C833),"Good to go","Short in Qty")</f>
        <v>Good to go</v>
      </c>
      <c r="C833" s="40"/>
      <c r="D833" s="40"/>
      <c r="E833" s="66"/>
      <c r="F833" s="38"/>
      <c r="G833" s="40"/>
      <c r="H833" s="38"/>
      <c r="I833" s="38"/>
      <c r="J833" s="38">
        <f>IFERROR(VLOOKUP(C:C,'[1]S&amp;S'!$B:$F,5,0),)</f>
        <v>0</v>
      </c>
      <c r="K833" s="38">
        <f>IFERROR(VLOOKUP(A:A,[1]APO!$A:$F,6,0),)</f>
        <v>0</v>
      </c>
      <c r="L833" s="38">
        <f>IFERROR(VLOOKUP(C:C,'[1]TOTAL APO'!$A:$B,2,0),)</f>
        <v>0</v>
      </c>
      <c r="M833" s="38">
        <f>IFERROR(VLOOKUP(A:A,[1]Short!$A:$Q,17,0),)</f>
        <v>0</v>
      </c>
      <c r="N833" s="38">
        <f>IFERROR(VLOOKUP(C:C,[1]GIT!$B:$D,3,0),)</f>
        <v>0</v>
      </c>
      <c r="O833" s="38">
        <f>IFERROR(VLOOKUP(A:A,[2]Sheet1!$A:$B,2,0),)</f>
        <v>0</v>
      </c>
      <c r="P833" s="38">
        <f>IFERROR(VLOOKUP(A:A,[2]Sheet1!$A:$B,2,0),)</f>
        <v>0</v>
      </c>
      <c r="Q833" s="38">
        <f t="shared" si="12"/>
        <v>0</v>
      </c>
      <c r="R833" s="38"/>
      <c r="S833" s="38"/>
    </row>
    <row r="834" spans="1:19" hidden="1" x14ac:dyDescent="0.25">
      <c r="A834" s="38" t="str">
        <f>F834&amp;C834</f>
        <v/>
      </c>
      <c r="B834" s="38" t="str">
        <f>IF(J834&gt;=SUMIFS(E:E,C:C,C834),"Good to go","Short in Qty")</f>
        <v>Good to go</v>
      </c>
      <c r="C834" s="40"/>
      <c r="D834" s="40"/>
      <c r="E834" s="66"/>
      <c r="F834" s="38"/>
      <c r="G834" s="40"/>
      <c r="H834" s="38"/>
      <c r="I834" s="38"/>
      <c r="J834" s="38">
        <f>IFERROR(VLOOKUP(C:C,'[1]S&amp;S'!$B:$F,5,0),)</f>
        <v>0</v>
      </c>
      <c r="K834" s="38">
        <f>IFERROR(VLOOKUP(A:A,[1]APO!$A:$F,6,0),)</f>
        <v>0</v>
      </c>
      <c r="L834" s="38">
        <f>IFERROR(VLOOKUP(C:C,'[1]TOTAL APO'!$A:$B,2,0),)</f>
        <v>0</v>
      </c>
      <c r="M834" s="38">
        <f>IFERROR(VLOOKUP(A:A,[1]Short!$A:$Q,17,0),)</f>
        <v>0</v>
      </c>
      <c r="N834" s="38">
        <f>IFERROR(VLOOKUP(C:C,[1]GIT!$B:$D,3,0),)</f>
        <v>0</v>
      </c>
      <c r="O834" s="38">
        <f>IFERROR(VLOOKUP(A:A,[2]Sheet1!$A:$B,2,0),)</f>
        <v>0</v>
      </c>
      <c r="P834" s="38">
        <f>IFERROR(VLOOKUP(A:A,[2]Sheet1!$A:$B,2,0),)</f>
        <v>0</v>
      </c>
      <c r="Q834" s="38">
        <f t="shared" si="12"/>
        <v>0</v>
      </c>
      <c r="R834" s="38"/>
      <c r="S834" s="38"/>
    </row>
    <row r="835" spans="1:19" hidden="1" x14ac:dyDescent="0.25">
      <c r="A835" s="38" t="str">
        <f>F835&amp;C835</f>
        <v/>
      </c>
      <c r="B835" s="38" t="str">
        <f>IF(J835&gt;=SUMIFS(E:E,C:C,C835),"Good to go","Short in Qty")</f>
        <v>Good to go</v>
      </c>
      <c r="C835" s="40"/>
      <c r="D835" s="40"/>
      <c r="E835" s="66"/>
      <c r="F835" s="38"/>
      <c r="G835" s="40"/>
      <c r="H835" s="38"/>
      <c r="I835" s="38"/>
      <c r="J835" s="38">
        <f>IFERROR(VLOOKUP(C:C,'[1]S&amp;S'!$B:$F,5,0),)</f>
        <v>0</v>
      </c>
      <c r="K835" s="38">
        <f>IFERROR(VLOOKUP(A:A,[1]APO!$A:$F,6,0),)</f>
        <v>0</v>
      </c>
      <c r="L835" s="38">
        <f>IFERROR(VLOOKUP(C:C,'[1]TOTAL APO'!$A:$B,2,0),)</f>
        <v>0</v>
      </c>
      <c r="M835" s="38">
        <f>IFERROR(VLOOKUP(A:A,[1]Short!$A:$Q,17,0),)</f>
        <v>0</v>
      </c>
      <c r="N835" s="38">
        <f>IFERROR(VLOOKUP(C:C,[1]GIT!$B:$D,3,0),)</f>
        <v>0</v>
      </c>
      <c r="O835" s="38">
        <f>IFERROR(VLOOKUP(A:A,[2]Sheet1!$A:$B,2,0),)</f>
        <v>0</v>
      </c>
      <c r="P835" s="38">
        <f>IFERROR(VLOOKUP(A:A,[2]Sheet1!$A:$B,2,0),)</f>
        <v>0</v>
      </c>
      <c r="Q835" s="38">
        <f t="shared" ref="Q835:Q898" si="13">+E835-P835</f>
        <v>0</v>
      </c>
      <c r="R835" s="38"/>
      <c r="S835" s="38"/>
    </row>
    <row r="836" spans="1:19" hidden="1" x14ac:dyDescent="0.25">
      <c r="A836" s="38" t="str">
        <f>F836&amp;C836</f>
        <v/>
      </c>
      <c r="B836" s="38" t="str">
        <f>IF(J836&gt;=SUMIFS(E:E,C:C,C836),"Good to go","Short in Qty")</f>
        <v>Good to go</v>
      </c>
      <c r="C836" s="40"/>
      <c r="D836" s="40"/>
      <c r="E836" s="66"/>
      <c r="F836" s="38"/>
      <c r="G836" s="40"/>
      <c r="H836" s="38"/>
      <c r="I836" s="38"/>
      <c r="J836" s="38">
        <f>IFERROR(VLOOKUP(C:C,'[1]S&amp;S'!$B:$F,5,0),)</f>
        <v>0</v>
      </c>
      <c r="K836" s="38">
        <f>IFERROR(VLOOKUP(A:A,[1]APO!$A:$F,6,0),)</f>
        <v>0</v>
      </c>
      <c r="L836" s="38">
        <f>IFERROR(VLOOKUP(C:C,'[1]TOTAL APO'!$A:$B,2,0),)</f>
        <v>0</v>
      </c>
      <c r="M836" s="38">
        <f>IFERROR(VLOOKUP(A:A,[1]Short!$A:$Q,17,0),)</f>
        <v>0</v>
      </c>
      <c r="N836" s="38">
        <f>IFERROR(VLOOKUP(C:C,[1]GIT!$B:$D,3,0),)</f>
        <v>0</v>
      </c>
      <c r="O836" s="38">
        <f>IFERROR(VLOOKUP(A:A,[2]Sheet1!$A:$B,2,0),)</f>
        <v>0</v>
      </c>
      <c r="P836" s="38">
        <f>IFERROR(VLOOKUP(A:A,[2]Sheet1!$A:$B,2,0),)</f>
        <v>0</v>
      </c>
      <c r="Q836" s="38">
        <f t="shared" si="13"/>
        <v>0</v>
      </c>
      <c r="R836" s="38"/>
      <c r="S836" s="38"/>
    </row>
    <row r="837" spans="1:19" hidden="1" x14ac:dyDescent="0.25">
      <c r="A837" s="38" t="str">
        <f>F837&amp;C837</f>
        <v/>
      </c>
      <c r="B837" s="38" t="str">
        <f>IF(J837&gt;=SUMIFS(E:E,C:C,C837),"Good to go","Short in Qty")</f>
        <v>Good to go</v>
      </c>
      <c r="C837" s="40"/>
      <c r="D837" s="40"/>
      <c r="E837" s="66"/>
      <c r="F837" s="38"/>
      <c r="G837" s="40"/>
      <c r="H837" s="38"/>
      <c r="I837" s="38"/>
      <c r="J837" s="38">
        <f>IFERROR(VLOOKUP(C:C,'[1]S&amp;S'!$B:$F,5,0),)</f>
        <v>0</v>
      </c>
      <c r="K837" s="38">
        <f>IFERROR(VLOOKUP(A:A,[1]APO!$A:$F,6,0),)</f>
        <v>0</v>
      </c>
      <c r="L837" s="38">
        <f>IFERROR(VLOOKUP(C:C,'[1]TOTAL APO'!$A:$B,2,0),)</f>
        <v>0</v>
      </c>
      <c r="M837" s="38">
        <f>IFERROR(VLOOKUP(A:A,[1]Short!$A:$Q,17,0),)</f>
        <v>0</v>
      </c>
      <c r="N837" s="38">
        <f>IFERROR(VLOOKUP(C:C,[1]GIT!$B:$D,3,0),)</f>
        <v>0</v>
      </c>
      <c r="O837" s="38">
        <f>IFERROR(VLOOKUP(A:A,[2]Sheet1!$A:$B,2,0),)</f>
        <v>0</v>
      </c>
      <c r="P837" s="38">
        <f>IFERROR(VLOOKUP(A:A,[2]Sheet1!$A:$B,2,0),)</f>
        <v>0</v>
      </c>
      <c r="Q837" s="38">
        <f t="shared" si="13"/>
        <v>0</v>
      </c>
      <c r="R837" s="38"/>
      <c r="S837" s="38"/>
    </row>
    <row r="838" spans="1:19" hidden="1" x14ac:dyDescent="0.25">
      <c r="A838" s="38" t="str">
        <f>F838&amp;C838</f>
        <v/>
      </c>
      <c r="B838" s="38" t="str">
        <f>IF(J838&gt;=SUMIFS(E:E,C:C,C838),"Good to go","Short in Qty")</f>
        <v>Good to go</v>
      </c>
      <c r="C838" s="40"/>
      <c r="D838" s="40"/>
      <c r="E838" s="66"/>
      <c r="F838" s="38"/>
      <c r="G838" s="40"/>
      <c r="H838" s="38"/>
      <c r="I838" s="38"/>
      <c r="J838" s="38">
        <f>IFERROR(VLOOKUP(C:C,'[1]S&amp;S'!$B:$F,5,0),)</f>
        <v>0</v>
      </c>
      <c r="K838" s="38">
        <f>IFERROR(VLOOKUP(A:A,[1]APO!$A:$F,6,0),)</f>
        <v>0</v>
      </c>
      <c r="L838" s="38">
        <f>IFERROR(VLOOKUP(C:C,'[1]TOTAL APO'!$A:$B,2,0),)</f>
        <v>0</v>
      </c>
      <c r="M838" s="38">
        <f>IFERROR(VLOOKUP(A:A,[1]Short!$A:$Q,17,0),)</f>
        <v>0</v>
      </c>
      <c r="N838" s="38">
        <f>IFERROR(VLOOKUP(C:C,[1]GIT!$B:$D,3,0),)</f>
        <v>0</v>
      </c>
      <c r="O838" s="38">
        <f>IFERROR(VLOOKUP(A:A,[2]Sheet1!$A:$B,2,0),)</f>
        <v>0</v>
      </c>
      <c r="P838" s="38">
        <f>IFERROR(VLOOKUP(A:A,[2]Sheet1!$A:$B,2,0),)</f>
        <v>0</v>
      </c>
      <c r="Q838" s="38">
        <f t="shared" si="13"/>
        <v>0</v>
      </c>
      <c r="R838" s="38"/>
      <c r="S838" s="38"/>
    </row>
    <row r="839" spans="1:19" hidden="1" x14ac:dyDescent="0.25">
      <c r="A839" s="38" t="str">
        <f>F839&amp;C839</f>
        <v/>
      </c>
      <c r="B839" s="38" t="str">
        <f>IF(J839&gt;=SUMIFS(E:E,C:C,C839),"Good to go","Short in Qty")</f>
        <v>Good to go</v>
      </c>
      <c r="C839" s="40"/>
      <c r="D839" s="40"/>
      <c r="E839" s="66"/>
      <c r="F839" s="38"/>
      <c r="G839" s="40"/>
      <c r="H839" s="38"/>
      <c r="I839" s="38"/>
      <c r="J839" s="38">
        <f>IFERROR(VLOOKUP(C:C,'[1]S&amp;S'!$B:$F,5,0),)</f>
        <v>0</v>
      </c>
      <c r="K839" s="38">
        <f>IFERROR(VLOOKUP(A:A,[1]APO!$A:$F,6,0),)</f>
        <v>0</v>
      </c>
      <c r="L839" s="38">
        <f>IFERROR(VLOOKUP(C:C,'[1]TOTAL APO'!$A:$B,2,0),)</f>
        <v>0</v>
      </c>
      <c r="M839" s="38">
        <f>IFERROR(VLOOKUP(A:A,[1]Short!$A:$Q,17,0),)</f>
        <v>0</v>
      </c>
      <c r="N839" s="38">
        <f>IFERROR(VLOOKUP(C:C,[1]GIT!$B:$D,3,0),)</f>
        <v>0</v>
      </c>
      <c r="O839" s="38">
        <f>IFERROR(VLOOKUP(A:A,[2]Sheet1!$A:$B,2,0),)</f>
        <v>0</v>
      </c>
      <c r="P839" s="38">
        <f>IFERROR(VLOOKUP(A:A,[2]Sheet1!$A:$B,2,0),)</f>
        <v>0</v>
      </c>
      <c r="Q839" s="38">
        <f t="shared" si="13"/>
        <v>0</v>
      </c>
      <c r="R839" s="38"/>
      <c r="S839" s="38"/>
    </row>
    <row r="840" spans="1:19" hidden="1" x14ac:dyDescent="0.25">
      <c r="A840" s="38" t="str">
        <f>F840&amp;C840</f>
        <v/>
      </c>
      <c r="B840" s="38" t="str">
        <f>IF(J840&gt;=SUMIFS(E:E,C:C,C840),"Good to go","Short in Qty")</f>
        <v>Good to go</v>
      </c>
      <c r="C840" s="40"/>
      <c r="D840" s="40"/>
      <c r="E840" s="66"/>
      <c r="F840" s="38"/>
      <c r="G840" s="40"/>
      <c r="H840" s="38"/>
      <c r="I840" s="38"/>
      <c r="J840" s="38">
        <f>IFERROR(VLOOKUP(C:C,'[1]S&amp;S'!$B:$F,5,0),)</f>
        <v>0</v>
      </c>
      <c r="K840" s="38">
        <f>IFERROR(VLOOKUP(A:A,[1]APO!$A:$F,6,0),)</f>
        <v>0</v>
      </c>
      <c r="L840" s="38">
        <f>IFERROR(VLOOKUP(C:C,'[1]TOTAL APO'!$A:$B,2,0),)</f>
        <v>0</v>
      </c>
      <c r="M840" s="38">
        <f>IFERROR(VLOOKUP(A:A,[1]Short!$A:$Q,17,0),)</f>
        <v>0</v>
      </c>
      <c r="N840" s="38">
        <f>IFERROR(VLOOKUP(C:C,[1]GIT!$B:$D,3,0),)</f>
        <v>0</v>
      </c>
      <c r="O840" s="38">
        <f>IFERROR(VLOOKUP(A:A,[2]Sheet1!$A:$B,2,0),)</f>
        <v>0</v>
      </c>
      <c r="P840" s="38">
        <f>IFERROR(VLOOKUP(A:A,[2]Sheet1!$A:$B,2,0),)</f>
        <v>0</v>
      </c>
      <c r="Q840" s="38">
        <f t="shared" si="13"/>
        <v>0</v>
      </c>
      <c r="R840" s="38"/>
      <c r="S840" s="38"/>
    </row>
    <row r="841" spans="1:19" hidden="1" x14ac:dyDescent="0.25">
      <c r="A841" s="38" t="str">
        <f>F841&amp;C841</f>
        <v/>
      </c>
      <c r="B841" s="38" t="str">
        <f>IF(J841&gt;=SUMIFS(E:E,C:C,C841),"Good to go","Short in Qty")</f>
        <v>Good to go</v>
      </c>
      <c r="C841" s="40"/>
      <c r="D841" s="40"/>
      <c r="E841" s="66"/>
      <c r="F841" s="38"/>
      <c r="G841" s="40"/>
      <c r="H841" s="38"/>
      <c r="I841" s="38"/>
      <c r="J841" s="38">
        <f>IFERROR(VLOOKUP(C:C,'[1]S&amp;S'!$B:$F,5,0),)</f>
        <v>0</v>
      </c>
      <c r="K841" s="38">
        <f>IFERROR(VLOOKUP(A:A,[1]APO!$A:$F,6,0),)</f>
        <v>0</v>
      </c>
      <c r="L841" s="38">
        <f>IFERROR(VLOOKUP(C:C,'[1]TOTAL APO'!$A:$B,2,0),)</f>
        <v>0</v>
      </c>
      <c r="M841" s="38">
        <f>IFERROR(VLOOKUP(A:A,[1]Short!$A:$Q,17,0),)</f>
        <v>0</v>
      </c>
      <c r="N841" s="38">
        <f>IFERROR(VLOOKUP(C:C,[1]GIT!$B:$D,3,0),)</f>
        <v>0</v>
      </c>
      <c r="O841" s="38">
        <f>IFERROR(VLOOKUP(A:A,[2]Sheet1!$A:$B,2,0),)</f>
        <v>0</v>
      </c>
      <c r="P841" s="38">
        <f>IFERROR(VLOOKUP(A:A,[2]Sheet1!$A:$B,2,0),)</f>
        <v>0</v>
      </c>
      <c r="Q841" s="38">
        <f t="shared" si="13"/>
        <v>0</v>
      </c>
      <c r="R841" s="38"/>
      <c r="S841" s="38"/>
    </row>
    <row r="842" spans="1:19" hidden="1" x14ac:dyDescent="0.25">
      <c r="A842" s="38" t="str">
        <f>F842&amp;C842</f>
        <v/>
      </c>
      <c r="B842" s="38" t="str">
        <f>IF(J842&gt;=SUMIFS(E:E,C:C,C842),"Good to go","Short in Qty")</f>
        <v>Good to go</v>
      </c>
      <c r="C842" s="40"/>
      <c r="D842" s="40"/>
      <c r="E842" s="66"/>
      <c r="F842" s="38"/>
      <c r="G842" s="40"/>
      <c r="H842" s="38"/>
      <c r="I842" s="38"/>
      <c r="J842" s="38">
        <f>IFERROR(VLOOKUP(C:C,'[1]S&amp;S'!$B:$F,5,0),)</f>
        <v>0</v>
      </c>
      <c r="K842" s="38">
        <f>IFERROR(VLOOKUP(A:A,[1]APO!$A:$F,6,0),)</f>
        <v>0</v>
      </c>
      <c r="L842" s="38">
        <f>IFERROR(VLOOKUP(C:C,'[1]TOTAL APO'!$A:$B,2,0),)</f>
        <v>0</v>
      </c>
      <c r="M842" s="38">
        <f>IFERROR(VLOOKUP(A:A,[1]Short!$A:$Q,17,0),)</f>
        <v>0</v>
      </c>
      <c r="N842" s="38">
        <f>IFERROR(VLOOKUP(C:C,[1]GIT!$B:$D,3,0),)</f>
        <v>0</v>
      </c>
      <c r="O842" s="38">
        <f>IFERROR(VLOOKUP(A:A,[2]Sheet1!$A:$B,2,0),)</f>
        <v>0</v>
      </c>
      <c r="P842" s="38">
        <f>IFERROR(VLOOKUP(A:A,[2]Sheet1!$A:$B,2,0),)</f>
        <v>0</v>
      </c>
      <c r="Q842" s="38">
        <f t="shared" si="13"/>
        <v>0</v>
      </c>
      <c r="R842" s="38"/>
      <c r="S842" s="38"/>
    </row>
    <row r="843" spans="1:19" hidden="1" x14ac:dyDescent="0.25">
      <c r="A843" s="38" t="str">
        <f>F843&amp;C843</f>
        <v/>
      </c>
      <c r="B843" s="38" t="str">
        <f>IF(J843&gt;=SUMIFS(E:E,C:C,C843),"Good to go","Short in Qty")</f>
        <v>Good to go</v>
      </c>
      <c r="C843" s="40"/>
      <c r="D843" s="40"/>
      <c r="E843" s="66"/>
      <c r="F843" s="38"/>
      <c r="G843" s="40"/>
      <c r="H843" s="38"/>
      <c r="I843" s="38"/>
      <c r="J843" s="38">
        <f>IFERROR(VLOOKUP(C:C,'[1]S&amp;S'!$B:$F,5,0),)</f>
        <v>0</v>
      </c>
      <c r="K843" s="38">
        <f>IFERROR(VLOOKUP(A:A,[1]APO!$A:$F,6,0),)</f>
        <v>0</v>
      </c>
      <c r="L843" s="38">
        <f>IFERROR(VLOOKUP(C:C,'[1]TOTAL APO'!$A:$B,2,0),)</f>
        <v>0</v>
      </c>
      <c r="M843" s="38">
        <f>IFERROR(VLOOKUP(A:A,[1]Short!$A:$Q,17,0),)</f>
        <v>0</v>
      </c>
      <c r="N843" s="38">
        <f>IFERROR(VLOOKUP(C:C,[1]GIT!$B:$D,3,0),)</f>
        <v>0</v>
      </c>
      <c r="O843" s="38">
        <f>IFERROR(VLOOKUP(A:A,[2]Sheet1!$A:$B,2,0),)</f>
        <v>0</v>
      </c>
      <c r="P843" s="38">
        <f>IFERROR(VLOOKUP(A:A,[2]Sheet1!$A:$B,2,0),)</f>
        <v>0</v>
      </c>
      <c r="Q843" s="38">
        <f t="shared" si="13"/>
        <v>0</v>
      </c>
      <c r="R843" s="38"/>
      <c r="S843" s="38"/>
    </row>
    <row r="844" spans="1:19" hidden="1" x14ac:dyDescent="0.25">
      <c r="A844" s="38" t="str">
        <f>F844&amp;C844</f>
        <v/>
      </c>
      <c r="B844" s="38" t="str">
        <f>IF(J844&gt;=SUMIFS(E:E,C:C,C844),"Good to go","Short in Qty")</f>
        <v>Good to go</v>
      </c>
      <c r="C844" s="40"/>
      <c r="D844" s="40"/>
      <c r="E844" s="66"/>
      <c r="F844" s="38"/>
      <c r="G844" s="40"/>
      <c r="H844" s="38"/>
      <c r="I844" s="38"/>
      <c r="J844" s="38">
        <f>IFERROR(VLOOKUP(C:C,'[1]S&amp;S'!$B:$F,5,0),)</f>
        <v>0</v>
      </c>
      <c r="K844" s="38">
        <f>IFERROR(VLOOKUP(A:A,[1]APO!$A:$F,6,0),)</f>
        <v>0</v>
      </c>
      <c r="L844" s="38">
        <f>IFERROR(VLOOKUP(C:C,'[1]TOTAL APO'!$A:$B,2,0),)</f>
        <v>0</v>
      </c>
      <c r="M844" s="38">
        <f>IFERROR(VLOOKUP(A:A,[1]Short!$A:$Q,17,0),)</f>
        <v>0</v>
      </c>
      <c r="N844" s="38">
        <f>IFERROR(VLOOKUP(C:C,[1]GIT!$B:$D,3,0),)</f>
        <v>0</v>
      </c>
      <c r="O844" s="38">
        <f>IFERROR(VLOOKUP(A:A,[2]Sheet1!$A:$B,2,0),)</f>
        <v>0</v>
      </c>
      <c r="P844" s="38">
        <f>IFERROR(VLOOKUP(A:A,[2]Sheet1!$A:$B,2,0),)</f>
        <v>0</v>
      </c>
      <c r="Q844" s="38">
        <f t="shared" si="13"/>
        <v>0</v>
      </c>
      <c r="R844" s="38"/>
      <c r="S844" s="38"/>
    </row>
    <row r="845" spans="1:19" hidden="1" x14ac:dyDescent="0.25">
      <c r="A845" s="38" t="str">
        <f>F845&amp;C845</f>
        <v/>
      </c>
      <c r="B845" s="38" t="str">
        <f>IF(J845&gt;=SUMIFS(E:E,C:C,C845),"Good to go","Short in Qty")</f>
        <v>Good to go</v>
      </c>
      <c r="C845" s="40"/>
      <c r="D845" s="40"/>
      <c r="E845" s="66"/>
      <c r="F845" s="38"/>
      <c r="G845" s="40"/>
      <c r="H845" s="38"/>
      <c r="I845" s="38"/>
      <c r="J845" s="38">
        <f>IFERROR(VLOOKUP(C:C,'[1]S&amp;S'!$B:$F,5,0),)</f>
        <v>0</v>
      </c>
      <c r="K845" s="38">
        <f>IFERROR(VLOOKUP(A:A,[1]APO!$A:$F,6,0),)</f>
        <v>0</v>
      </c>
      <c r="L845" s="38">
        <f>IFERROR(VLOOKUP(C:C,'[1]TOTAL APO'!$A:$B,2,0),)</f>
        <v>0</v>
      </c>
      <c r="M845" s="38">
        <f>IFERROR(VLOOKUP(A:A,[1]Short!$A:$Q,17,0),)</f>
        <v>0</v>
      </c>
      <c r="N845" s="38">
        <f>IFERROR(VLOOKUP(C:C,[1]GIT!$B:$D,3,0),)</f>
        <v>0</v>
      </c>
      <c r="O845" s="38">
        <f>IFERROR(VLOOKUP(A:A,[2]Sheet1!$A:$B,2,0),)</f>
        <v>0</v>
      </c>
      <c r="P845" s="38">
        <f>IFERROR(VLOOKUP(A:A,[2]Sheet1!$A:$B,2,0),)</f>
        <v>0</v>
      </c>
      <c r="Q845" s="38">
        <f t="shared" si="13"/>
        <v>0</v>
      </c>
      <c r="R845" s="38"/>
      <c r="S845" s="38"/>
    </row>
    <row r="846" spans="1:19" hidden="1" x14ac:dyDescent="0.25">
      <c r="A846" s="38" t="str">
        <f>F846&amp;C846</f>
        <v/>
      </c>
      <c r="B846" s="38" t="str">
        <f>IF(J846&gt;=SUMIFS(E:E,C:C,C846),"Good to go","Short in Qty")</f>
        <v>Good to go</v>
      </c>
      <c r="C846" s="40"/>
      <c r="D846" s="40"/>
      <c r="E846" s="66"/>
      <c r="F846" s="38"/>
      <c r="G846" s="40"/>
      <c r="H846" s="38"/>
      <c r="I846" s="38"/>
      <c r="J846" s="38">
        <f>IFERROR(VLOOKUP(C:C,'[1]S&amp;S'!$B:$F,5,0),)</f>
        <v>0</v>
      </c>
      <c r="K846" s="38">
        <f>IFERROR(VLOOKUP(A:A,[1]APO!$A:$F,6,0),)</f>
        <v>0</v>
      </c>
      <c r="L846" s="38">
        <f>IFERROR(VLOOKUP(C:C,'[1]TOTAL APO'!$A:$B,2,0),)</f>
        <v>0</v>
      </c>
      <c r="M846" s="38">
        <f>IFERROR(VLOOKUP(A:A,[1]Short!$A:$Q,17,0),)</f>
        <v>0</v>
      </c>
      <c r="N846" s="38">
        <f>IFERROR(VLOOKUP(C:C,[1]GIT!$B:$D,3,0),)</f>
        <v>0</v>
      </c>
      <c r="O846" s="38">
        <f>IFERROR(VLOOKUP(A:A,[2]Sheet1!$A:$B,2,0),)</f>
        <v>0</v>
      </c>
      <c r="P846" s="38">
        <f>IFERROR(VLOOKUP(A:A,[2]Sheet1!$A:$B,2,0),)</f>
        <v>0</v>
      </c>
      <c r="Q846" s="38">
        <f t="shared" si="13"/>
        <v>0</v>
      </c>
      <c r="R846" s="38"/>
      <c r="S846" s="38"/>
    </row>
    <row r="847" spans="1:19" hidden="1" x14ac:dyDescent="0.25">
      <c r="A847" s="38" t="str">
        <f>F847&amp;C847</f>
        <v/>
      </c>
      <c r="B847" s="38" t="str">
        <f>IF(J847&gt;=SUMIFS(E:E,C:C,C847),"Good to go","Short in Qty")</f>
        <v>Good to go</v>
      </c>
      <c r="C847" s="40"/>
      <c r="D847" s="40"/>
      <c r="E847" s="66"/>
      <c r="F847" s="38"/>
      <c r="G847" s="40"/>
      <c r="H847" s="38"/>
      <c r="I847" s="38"/>
      <c r="J847" s="38">
        <f>IFERROR(VLOOKUP(C:C,'[1]S&amp;S'!$B:$F,5,0),)</f>
        <v>0</v>
      </c>
      <c r="K847" s="38">
        <f>IFERROR(VLOOKUP(A:A,[1]APO!$A:$F,6,0),)</f>
        <v>0</v>
      </c>
      <c r="L847" s="38">
        <f>IFERROR(VLOOKUP(C:C,'[1]TOTAL APO'!$A:$B,2,0),)</f>
        <v>0</v>
      </c>
      <c r="M847" s="38">
        <f>IFERROR(VLOOKUP(A:A,[1]Short!$A:$Q,17,0),)</f>
        <v>0</v>
      </c>
      <c r="N847" s="38">
        <f>IFERROR(VLOOKUP(C:C,[1]GIT!$B:$D,3,0),)</f>
        <v>0</v>
      </c>
      <c r="O847" s="38">
        <f>IFERROR(VLOOKUP(A:A,[2]Sheet1!$A:$B,2,0),)</f>
        <v>0</v>
      </c>
      <c r="P847" s="38">
        <f>IFERROR(VLOOKUP(A:A,[2]Sheet1!$A:$B,2,0),)</f>
        <v>0</v>
      </c>
      <c r="Q847" s="38">
        <f t="shared" si="13"/>
        <v>0</v>
      </c>
      <c r="R847" s="38"/>
      <c r="S847" s="38"/>
    </row>
    <row r="848" spans="1:19" hidden="1" x14ac:dyDescent="0.25">
      <c r="A848" s="38" t="str">
        <f>F848&amp;C848</f>
        <v/>
      </c>
      <c r="B848" s="38" t="str">
        <f>IF(J848&gt;=SUMIFS(E:E,C:C,C848),"Good to go","Short in Qty")</f>
        <v>Good to go</v>
      </c>
      <c r="C848" s="40"/>
      <c r="D848" s="40"/>
      <c r="E848" s="66"/>
      <c r="F848" s="38"/>
      <c r="G848" s="40"/>
      <c r="H848" s="38"/>
      <c r="I848" s="38"/>
      <c r="J848" s="38">
        <f>IFERROR(VLOOKUP(C:C,'[1]S&amp;S'!$B:$F,5,0),)</f>
        <v>0</v>
      </c>
      <c r="K848" s="38">
        <f>IFERROR(VLOOKUP(A:A,[1]APO!$A:$F,6,0),)</f>
        <v>0</v>
      </c>
      <c r="L848" s="38">
        <f>IFERROR(VLOOKUP(C:C,'[1]TOTAL APO'!$A:$B,2,0),)</f>
        <v>0</v>
      </c>
      <c r="M848" s="38">
        <f>IFERROR(VLOOKUP(A:A,[1]Short!$A:$Q,17,0),)</f>
        <v>0</v>
      </c>
      <c r="N848" s="38">
        <f>IFERROR(VLOOKUP(C:C,[1]GIT!$B:$D,3,0),)</f>
        <v>0</v>
      </c>
      <c r="O848" s="38">
        <f>IFERROR(VLOOKUP(A:A,[2]Sheet1!$A:$B,2,0),)</f>
        <v>0</v>
      </c>
      <c r="P848" s="38">
        <f>IFERROR(VLOOKUP(A:A,[2]Sheet1!$A:$B,2,0),)</f>
        <v>0</v>
      </c>
      <c r="Q848" s="38">
        <f t="shared" si="13"/>
        <v>0</v>
      </c>
      <c r="R848" s="38"/>
      <c r="S848" s="38"/>
    </row>
    <row r="849" spans="1:19" hidden="1" x14ac:dyDescent="0.25">
      <c r="A849" s="38" t="str">
        <f>F849&amp;C849</f>
        <v/>
      </c>
      <c r="B849" s="38" t="str">
        <f>IF(J849&gt;=SUMIFS(E:E,C:C,C849),"Good to go","Short in Qty")</f>
        <v>Good to go</v>
      </c>
      <c r="C849" s="40"/>
      <c r="D849" s="40"/>
      <c r="E849" s="66"/>
      <c r="F849" s="38"/>
      <c r="G849" s="40"/>
      <c r="H849" s="38"/>
      <c r="I849" s="38"/>
      <c r="J849" s="38">
        <f>IFERROR(VLOOKUP(C:C,'[1]S&amp;S'!$B:$F,5,0),)</f>
        <v>0</v>
      </c>
      <c r="K849" s="38">
        <f>IFERROR(VLOOKUP(A:A,[1]APO!$A:$F,6,0),)</f>
        <v>0</v>
      </c>
      <c r="L849" s="38">
        <f>IFERROR(VLOOKUP(C:C,'[1]TOTAL APO'!$A:$B,2,0),)</f>
        <v>0</v>
      </c>
      <c r="M849" s="38">
        <f>IFERROR(VLOOKUP(A:A,[1]Short!$A:$Q,17,0),)</f>
        <v>0</v>
      </c>
      <c r="N849" s="38">
        <f>IFERROR(VLOOKUP(C:C,[1]GIT!$B:$D,3,0),)</f>
        <v>0</v>
      </c>
      <c r="O849" s="38">
        <f>IFERROR(VLOOKUP(A:A,[2]Sheet1!$A:$B,2,0),)</f>
        <v>0</v>
      </c>
      <c r="P849" s="38">
        <f>IFERROR(VLOOKUP(A:A,[2]Sheet1!$A:$B,2,0),)</f>
        <v>0</v>
      </c>
      <c r="Q849" s="38">
        <f t="shared" si="13"/>
        <v>0</v>
      </c>
      <c r="R849" s="38"/>
      <c r="S849" s="38"/>
    </row>
    <row r="850" spans="1:19" hidden="1" x14ac:dyDescent="0.25">
      <c r="A850" s="38" t="str">
        <f>F850&amp;C850</f>
        <v/>
      </c>
      <c r="B850" s="38" t="str">
        <f>IF(J850&gt;=SUMIFS(E:E,C:C,C850),"Good to go","Short in Qty")</f>
        <v>Good to go</v>
      </c>
      <c r="C850" s="40"/>
      <c r="D850" s="40"/>
      <c r="E850" s="66"/>
      <c r="F850" s="38"/>
      <c r="G850" s="40"/>
      <c r="H850" s="38"/>
      <c r="I850" s="38"/>
      <c r="J850" s="38">
        <f>IFERROR(VLOOKUP(C:C,'[1]S&amp;S'!$B:$F,5,0),)</f>
        <v>0</v>
      </c>
      <c r="K850" s="38">
        <f>IFERROR(VLOOKUP(A:A,[1]APO!$A:$F,6,0),)</f>
        <v>0</v>
      </c>
      <c r="L850" s="38">
        <f>IFERROR(VLOOKUP(C:C,'[1]TOTAL APO'!$A:$B,2,0),)</f>
        <v>0</v>
      </c>
      <c r="M850" s="38">
        <f>IFERROR(VLOOKUP(A:A,[1]Short!$A:$Q,17,0),)</f>
        <v>0</v>
      </c>
      <c r="N850" s="38">
        <f>IFERROR(VLOOKUP(C:C,[1]GIT!$B:$D,3,0),)</f>
        <v>0</v>
      </c>
      <c r="O850" s="38">
        <f>IFERROR(VLOOKUP(A:A,[2]Sheet1!$A:$B,2,0),)</f>
        <v>0</v>
      </c>
      <c r="P850" s="38">
        <f>IFERROR(VLOOKUP(A:A,[2]Sheet1!$A:$B,2,0),)</f>
        <v>0</v>
      </c>
      <c r="Q850" s="38">
        <f t="shared" si="13"/>
        <v>0</v>
      </c>
      <c r="R850" s="38"/>
      <c r="S850" s="38"/>
    </row>
    <row r="851" spans="1:19" hidden="1" x14ac:dyDescent="0.25">
      <c r="A851" s="38" t="str">
        <f>F851&amp;C851</f>
        <v/>
      </c>
      <c r="B851" s="38" t="str">
        <f>IF(J851&gt;=SUMIFS(E:E,C:C,C851),"Good to go","Short in Qty")</f>
        <v>Good to go</v>
      </c>
      <c r="C851" s="40"/>
      <c r="D851" s="40"/>
      <c r="E851" s="66"/>
      <c r="F851" s="38"/>
      <c r="G851" s="40"/>
      <c r="H851" s="38"/>
      <c r="I851" s="38"/>
      <c r="J851" s="38">
        <f>IFERROR(VLOOKUP(C:C,'[1]S&amp;S'!$B:$F,5,0),)</f>
        <v>0</v>
      </c>
      <c r="K851" s="38">
        <f>IFERROR(VLOOKUP(A:A,[1]APO!$A:$F,6,0),)</f>
        <v>0</v>
      </c>
      <c r="L851" s="38">
        <f>IFERROR(VLOOKUP(C:C,'[1]TOTAL APO'!$A:$B,2,0),)</f>
        <v>0</v>
      </c>
      <c r="M851" s="38">
        <f>IFERROR(VLOOKUP(A:A,[1]Short!$A:$Q,17,0),)</f>
        <v>0</v>
      </c>
      <c r="N851" s="38">
        <f>IFERROR(VLOOKUP(C:C,[1]GIT!$B:$D,3,0),)</f>
        <v>0</v>
      </c>
      <c r="O851" s="38">
        <f>IFERROR(VLOOKUP(A:A,[2]Sheet1!$A:$B,2,0),)</f>
        <v>0</v>
      </c>
      <c r="P851" s="38">
        <f>IFERROR(VLOOKUP(A:A,[2]Sheet1!$A:$B,2,0),)</f>
        <v>0</v>
      </c>
      <c r="Q851" s="38">
        <f t="shared" si="13"/>
        <v>0</v>
      </c>
      <c r="R851" s="38"/>
      <c r="S851" s="38"/>
    </row>
    <row r="852" spans="1:19" hidden="1" x14ac:dyDescent="0.25">
      <c r="A852" s="38" t="str">
        <f>F852&amp;C852</f>
        <v/>
      </c>
      <c r="B852" s="38" t="str">
        <f>IF(J852&gt;=SUMIFS(E:E,C:C,C852),"Good to go","Short in Qty")</f>
        <v>Good to go</v>
      </c>
      <c r="C852" s="40"/>
      <c r="D852" s="40"/>
      <c r="E852" s="66"/>
      <c r="F852" s="38"/>
      <c r="G852" s="40"/>
      <c r="H852" s="38"/>
      <c r="I852" s="38"/>
      <c r="J852" s="38">
        <f>IFERROR(VLOOKUP(C:C,'[1]S&amp;S'!$B:$F,5,0),)</f>
        <v>0</v>
      </c>
      <c r="K852" s="38">
        <f>IFERROR(VLOOKUP(A:A,[1]APO!$A:$F,6,0),)</f>
        <v>0</v>
      </c>
      <c r="L852" s="38">
        <f>IFERROR(VLOOKUP(C:C,'[1]TOTAL APO'!$A:$B,2,0),)</f>
        <v>0</v>
      </c>
      <c r="M852" s="38">
        <f>IFERROR(VLOOKUP(A:A,[1]Short!$A:$Q,17,0),)</f>
        <v>0</v>
      </c>
      <c r="N852" s="38">
        <f>IFERROR(VLOOKUP(C:C,[1]GIT!$B:$D,3,0),)</f>
        <v>0</v>
      </c>
      <c r="O852" s="38">
        <f>IFERROR(VLOOKUP(A:A,[2]Sheet1!$A:$B,2,0),)</f>
        <v>0</v>
      </c>
      <c r="P852" s="38">
        <f>IFERROR(VLOOKUP(A:A,[2]Sheet1!$A:$B,2,0),)</f>
        <v>0</v>
      </c>
      <c r="Q852" s="38">
        <f t="shared" si="13"/>
        <v>0</v>
      </c>
      <c r="R852" s="38"/>
      <c r="S852" s="38"/>
    </row>
    <row r="853" spans="1:19" hidden="1" x14ac:dyDescent="0.25">
      <c r="A853" s="38" t="str">
        <f>F853&amp;C853</f>
        <v/>
      </c>
      <c r="B853" s="38" t="str">
        <f>IF(J853&gt;=SUMIFS(E:E,C:C,C853),"Good to go","Short in Qty")</f>
        <v>Good to go</v>
      </c>
      <c r="C853" s="40"/>
      <c r="D853" s="40"/>
      <c r="E853" s="66"/>
      <c r="F853" s="38"/>
      <c r="G853" s="40"/>
      <c r="H853" s="38"/>
      <c r="I853" s="38"/>
      <c r="J853" s="38">
        <f>IFERROR(VLOOKUP(C:C,'[1]S&amp;S'!$B:$F,5,0),)</f>
        <v>0</v>
      </c>
      <c r="K853" s="38">
        <f>IFERROR(VLOOKUP(A:A,[1]APO!$A:$F,6,0),)</f>
        <v>0</v>
      </c>
      <c r="L853" s="38">
        <f>IFERROR(VLOOKUP(C:C,'[1]TOTAL APO'!$A:$B,2,0),)</f>
        <v>0</v>
      </c>
      <c r="M853" s="38">
        <f>IFERROR(VLOOKUP(A:A,[1]Short!$A:$Q,17,0),)</f>
        <v>0</v>
      </c>
      <c r="N853" s="38">
        <f>IFERROR(VLOOKUP(C:C,[1]GIT!$B:$D,3,0),)</f>
        <v>0</v>
      </c>
      <c r="O853" s="38">
        <f>IFERROR(VLOOKUP(A:A,[2]Sheet1!$A:$B,2,0),)</f>
        <v>0</v>
      </c>
      <c r="P853" s="38">
        <f>IFERROR(VLOOKUP(A:A,[2]Sheet1!$A:$B,2,0),)</f>
        <v>0</v>
      </c>
      <c r="Q853" s="38">
        <f t="shared" si="13"/>
        <v>0</v>
      </c>
      <c r="R853" s="38"/>
      <c r="S853" s="38"/>
    </row>
    <row r="854" spans="1:19" hidden="1" x14ac:dyDescent="0.25">
      <c r="A854" s="38" t="str">
        <f>F854&amp;C854</f>
        <v/>
      </c>
      <c r="B854" s="38" t="str">
        <f>IF(J854&gt;=SUMIFS(E:E,C:C,C854),"Good to go","Short in Qty")</f>
        <v>Good to go</v>
      </c>
      <c r="C854" s="40"/>
      <c r="D854" s="40"/>
      <c r="E854" s="66"/>
      <c r="F854" s="38"/>
      <c r="G854" s="40"/>
      <c r="H854" s="38"/>
      <c r="I854" s="38"/>
      <c r="J854" s="38">
        <f>IFERROR(VLOOKUP(C:C,'[1]S&amp;S'!$B:$F,5,0),)</f>
        <v>0</v>
      </c>
      <c r="K854" s="38">
        <f>IFERROR(VLOOKUP(A:A,[1]APO!$A:$F,6,0),)</f>
        <v>0</v>
      </c>
      <c r="L854" s="38">
        <f>IFERROR(VLOOKUP(C:C,'[1]TOTAL APO'!$A:$B,2,0),)</f>
        <v>0</v>
      </c>
      <c r="M854" s="38">
        <f>IFERROR(VLOOKUP(A:A,[1]Short!$A:$Q,17,0),)</f>
        <v>0</v>
      </c>
      <c r="N854" s="38">
        <f>IFERROR(VLOOKUP(C:C,[1]GIT!$B:$D,3,0),)</f>
        <v>0</v>
      </c>
      <c r="O854" s="38">
        <f>IFERROR(VLOOKUP(A:A,[2]Sheet1!$A:$B,2,0),)</f>
        <v>0</v>
      </c>
      <c r="P854" s="38">
        <f>IFERROR(VLOOKUP(A:A,[2]Sheet1!$A:$B,2,0),)</f>
        <v>0</v>
      </c>
      <c r="Q854" s="38">
        <f t="shared" si="13"/>
        <v>0</v>
      </c>
      <c r="R854" s="38"/>
      <c r="S854" s="38"/>
    </row>
    <row r="855" spans="1:19" hidden="1" x14ac:dyDescent="0.25">
      <c r="A855" s="38" t="str">
        <f>F855&amp;C855</f>
        <v/>
      </c>
      <c r="B855" s="38" t="str">
        <f>IF(J855&gt;=SUMIFS(E:E,C:C,C855),"Good to go","Short in Qty")</f>
        <v>Good to go</v>
      </c>
      <c r="C855" s="40"/>
      <c r="D855" s="40"/>
      <c r="E855" s="66"/>
      <c r="F855" s="38"/>
      <c r="G855" s="40"/>
      <c r="H855" s="38"/>
      <c r="I855" s="38"/>
      <c r="J855" s="38">
        <f>IFERROR(VLOOKUP(C:C,'[1]S&amp;S'!$B:$F,5,0),)</f>
        <v>0</v>
      </c>
      <c r="K855" s="38">
        <f>IFERROR(VLOOKUP(A:A,[1]APO!$A:$F,6,0),)</f>
        <v>0</v>
      </c>
      <c r="L855" s="38">
        <f>IFERROR(VLOOKUP(C:C,'[1]TOTAL APO'!$A:$B,2,0),)</f>
        <v>0</v>
      </c>
      <c r="M855" s="38">
        <f>IFERROR(VLOOKUP(A:A,[1]Short!$A:$Q,17,0),)</f>
        <v>0</v>
      </c>
      <c r="N855" s="38">
        <f>IFERROR(VLOOKUP(C:C,[1]GIT!$B:$D,3,0),)</f>
        <v>0</v>
      </c>
      <c r="O855" s="38">
        <f>IFERROR(VLOOKUP(A:A,[2]Sheet1!$A:$B,2,0),)</f>
        <v>0</v>
      </c>
      <c r="P855" s="38">
        <f>IFERROR(VLOOKUP(A:A,[2]Sheet1!$A:$B,2,0),)</f>
        <v>0</v>
      </c>
      <c r="Q855" s="38">
        <f t="shared" si="13"/>
        <v>0</v>
      </c>
      <c r="R855" s="38"/>
      <c r="S855" s="38"/>
    </row>
    <row r="856" spans="1:19" hidden="1" x14ac:dyDescent="0.25">
      <c r="A856" s="38" t="str">
        <f>F856&amp;C856</f>
        <v/>
      </c>
      <c r="B856" s="38" t="str">
        <f>IF(J856&gt;=SUMIFS(E:E,C:C,C856),"Good to go","Short in Qty")</f>
        <v>Good to go</v>
      </c>
      <c r="C856" s="40"/>
      <c r="D856" s="40"/>
      <c r="E856" s="66"/>
      <c r="F856" s="38"/>
      <c r="G856" s="40"/>
      <c r="H856" s="38"/>
      <c r="I856" s="38"/>
      <c r="J856" s="38">
        <f>IFERROR(VLOOKUP(C:C,'[1]S&amp;S'!$B:$F,5,0),)</f>
        <v>0</v>
      </c>
      <c r="K856" s="38">
        <f>IFERROR(VLOOKUP(A:A,[1]APO!$A:$F,6,0),)</f>
        <v>0</v>
      </c>
      <c r="L856" s="38">
        <f>IFERROR(VLOOKUP(C:C,'[1]TOTAL APO'!$A:$B,2,0),)</f>
        <v>0</v>
      </c>
      <c r="M856" s="38">
        <f>IFERROR(VLOOKUP(A:A,[1]Short!$A:$Q,17,0),)</f>
        <v>0</v>
      </c>
      <c r="N856" s="38">
        <f>IFERROR(VLOOKUP(C:C,[1]GIT!$B:$D,3,0),)</f>
        <v>0</v>
      </c>
      <c r="O856" s="38">
        <f>IFERROR(VLOOKUP(A:A,[2]Sheet1!$A:$B,2,0),)</f>
        <v>0</v>
      </c>
      <c r="P856" s="38">
        <f>IFERROR(VLOOKUP(A:A,[2]Sheet1!$A:$B,2,0),)</f>
        <v>0</v>
      </c>
      <c r="Q856" s="38">
        <f t="shared" si="13"/>
        <v>0</v>
      </c>
      <c r="R856" s="38"/>
      <c r="S856" s="38"/>
    </row>
    <row r="857" spans="1:19" hidden="1" x14ac:dyDescent="0.25">
      <c r="A857" s="38" t="str">
        <f>F857&amp;C857</f>
        <v/>
      </c>
      <c r="B857" s="38" t="str">
        <f>IF(J857&gt;=SUMIFS(E:E,C:C,C857),"Good to go","Short in Qty")</f>
        <v>Good to go</v>
      </c>
      <c r="C857" s="40"/>
      <c r="D857" s="40"/>
      <c r="E857" s="66"/>
      <c r="F857" s="38"/>
      <c r="G857" s="40"/>
      <c r="H857" s="38"/>
      <c r="I857" s="38"/>
      <c r="J857" s="38">
        <f>IFERROR(VLOOKUP(C:C,'[1]S&amp;S'!$B:$F,5,0),)</f>
        <v>0</v>
      </c>
      <c r="K857" s="38">
        <f>IFERROR(VLOOKUP(A:A,[1]APO!$A:$F,6,0),)</f>
        <v>0</v>
      </c>
      <c r="L857" s="38">
        <f>IFERROR(VLOOKUP(C:C,'[1]TOTAL APO'!$A:$B,2,0),)</f>
        <v>0</v>
      </c>
      <c r="M857" s="38">
        <f>IFERROR(VLOOKUP(A:A,[1]Short!$A:$Q,17,0),)</f>
        <v>0</v>
      </c>
      <c r="N857" s="38">
        <f>IFERROR(VLOOKUP(C:C,[1]GIT!$B:$D,3,0),)</f>
        <v>0</v>
      </c>
      <c r="O857" s="38">
        <f>IFERROR(VLOOKUP(A:A,[2]Sheet1!$A:$B,2,0),)</f>
        <v>0</v>
      </c>
      <c r="P857" s="38">
        <f>IFERROR(VLOOKUP(A:A,[2]Sheet1!$A:$B,2,0),)</f>
        <v>0</v>
      </c>
      <c r="Q857" s="38">
        <f t="shared" si="13"/>
        <v>0</v>
      </c>
      <c r="R857" s="38"/>
      <c r="S857" s="38"/>
    </row>
    <row r="858" spans="1:19" hidden="1" x14ac:dyDescent="0.25">
      <c r="A858" s="38" t="str">
        <f>F858&amp;C858</f>
        <v/>
      </c>
      <c r="B858" s="38" t="str">
        <f>IF(J858&gt;=SUMIFS(E:E,C:C,C858),"Good to go","Short in Qty")</f>
        <v>Good to go</v>
      </c>
      <c r="C858" s="40"/>
      <c r="D858" s="40"/>
      <c r="E858" s="66"/>
      <c r="F858" s="38"/>
      <c r="G858" s="40"/>
      <c r="H858" s="38"/>
      <c r="I858" s="38"/>
      <c r="J858" s="38">
        <f>IFERROR(VLOOKUP(C:C,'[1]S&amp;S'!$B:$F,5,0),)</f>
        <v>0</v>
      </c>
      <c r="K858" s="38">
        <f>IFERROR(VLOOKUP(A:A,[1]APO!$A:$F,6,0),)</f>
        <v>0</v>
      </c>
      <c r="L858" s="38">
        <f>IFERROR(VLOOKUP(C:C,'[1]TOTAL APO'!$A:$B,2,0),)</f>
        <v>0</v>
      </c>
      <c r="M858" s="38">
        <f>IFERROR(VLOOKUP(A:A,[1]Short!$A:$Q,17,0),)</f>
        <v>0</v>
      </c>
      <c r="N858" s="38">
        <f>IFERROR(VLOOKUP(C:C,[1]GIT!$B:$D,3,0),)</f>
        <v>0</v>
      </c>
      <c r="O858" s="38">
        <f>IFERROR(VLOOKUP(A:A,[2]Sheet1!$A:$B,2,0),)</f>
        <v>0</v>
      </c>
      <c r="P858" s="38">
        <f>IFERROR(VLOOKUP(A:A,[2]Sheet1!$A:$B,2,0),)</f>
        <v>0</v>
      </c>
      <c r="Q858" s="38">
        <f t="shared" si="13"/>
        <v>0</v>
      </c>
      <c r="R858" s="38"/>
      <c r="S858" s="38"/>
    </row>
    <row r="859" spans="1:19" hidden="1" x14ac:dyDescent="0.25">
      <c r="A859" s="38" t="str">
        <f>F859&amp;C859</f>
        <v/>
      </c>
      <c r="B859" s="38" t="str">
        <f>IF(J859&gt;=SUMIFS(E:E,C:C,C859),"Good to go","Short in Qty")</f>
        <v>Good to go</v>
      </c>
      <c r="C859" s="40"/>
      <c r="D859" s="40"/>
      <c r="E859" s="66"/>
      <c r="F859" s="38"/>
      <c r="G859" s="40"/>
      <c r="H859" s="38"/>
      <c r="I859" s="38"/>
      <c r="J859" s="38">
        <f>IFERROR(VLOOKUP(C:C,'[1]S&amp;S'!$B:$F,5,0),)</f>
        <v>0</v>
      </c>
      <c r="K859" s="38">
        <f>IFERROR(VLOOKUP(A:A,[1]APO!$A:$F,6,0),)</f>
        <v>0</v>
      </c>
      <c r="L859" s="38">
        <f>IFERROR(VLOOKUP(C:C,'[1]TOTAL APO'!$A:$B,2,0),)</f>
        <v>0</v>
      </c>
      <c r="M859" s="38">
        <f>IFERROR(VLOOKUP(A:A,[1]Short!$A:$Q,17,0),)</f>
        <v>0</v>
      </c>
      <c r="N859" s="38">
        <f>IFERROR(VLOOKUP(C:C,[1]GIT!$B:$D,3,0),)</f>
        <v>0</v>
      </c>
      <c r="O859" s="38">
        <f>IFERROR(VLOOKUP(A:A,[2]Sheet1!$A:$B,2,0),)</f>
        <v>0</v>
      </c>
      <c r="P859" s="38">
        <f>IFERROR(VLOOKUP(A:A,[2]Sheet1!$A:$B,2,0),)</f>
        <v>0</v>
      </c>
      <c r="Q859" s="38">
        <f t="shared" si="13"/>
        <v>0</v>
      </c>
      <c r="R859" s="38"/>
      <c r="S859" s="38"/>
    </row>
    <row r="860" spans="1:19" hidden="1" x14ac:dyDescent="0.25">
      <c r="A860" s="38" t="str">
        <f>F860&amp;C860</f>
        <v/>
      </c>
      <c r="B860" s="38" t="str">
        <f>IF(J860&gt;=SUMIFS(E:E,C:C,C860),"Good to go","Short in Qty")</f>
        <v>Good to go</v>
      </c>
      <c r="C860" s="40"/>
      <c r="D860" s="40"/>
      <c r="E860" s="66"/>
      <c r="F860" s="38"/>
      <c r="G860" s="40"/>
      <c r="H860" s="38"/>
      <c r="I860" s="38"/>
      <c r="J860" s="38">
        <f>IFERROR(VLOOKUP(C:C,'[1]S&amp;S'!$B:$F,5,0),)</f>
        <v>0</v>
      </c>
      <c r="K860" s="38">
        <f>IFERROR(VLOOKUP(A:A,[1]APO!$A:$F,6,0),)</f>
        <v>0</v>
      </c>
      <c r="L860" s="38">
        <f>IFERROR(VLOOKUP(C:C,'[1]TOTAL APO'!$A:$B,2,0),)</f>
        <v>0</v>
      </c>
      <c r="M860" s="38">
        <f>IFERROR(VLOOKUP(A:A,[1]Short!$A:$Q,17,0),)</f>
        <v>0</v>
      </c>
      <c r="N860" s="38">
        <f>IFERROR(VLOOKUP(C:C,[1]GIT!$B:$D,3,0),)</f>
        <v>0</v>
      </c>
      <c r="O860" s="38">
        <f>IFERROR(VLOOKUP(A:A,[2]Sheet1!$A:$B,2,0),)</f>
        <v>0</v>
      </c>
      <c r="P860" s="38">
        <f>IFERROR(VLOOKUP(A:A,[2]Sheet1!$A:$B,2,0),)</f>
        <v>0</v>
      </c>
      <c r="Q860" s="38">
        <f t="shared" si="13"/>
        <v>0</v>
      </c>
      <c r="R860" s="38"/>
      <c r="S860" s="38"/>
    </row>
    <row r="861" spans="1:19" hidden="1" x14ac:dyDescent="0.25">
      <c r="A861" s="38" t="str">
        <f>F861&amp;C861</f>
        <v/>
      </c>
      <c r="B861" s="38" t="str">
        <f>IF(J861&gt;=SUMIFS(E:E,C:C,C861),"Good to go","Short in Qty")</f>
        <v>Good to go</v>
      </c>
      <c r="C861" s="40"/>
      <c r="D861" s="40"/>
      <c r="E861" s="66"/>
      <c r="F861" s="38"/>
      <c r="G861" s="40"/>
      <c r="H861" s="38"/>
      <c r="I861" s="38"/>
      <c r="J861" s="38">
        <f>IFERROR(VLOOKUP(C:C,'[1]S&amp;S'!$B:$F,5,0),)</f>
        <v>0</v>
      </c>
      <c r="K861" s="38">
        <f>IFERROR(VLOOKUP(A:A,[1]APO!$A:$F,6,0),)</f>
        <v>0</v>
      </c>
      <c r="L861" s="38">
        <f>IFERROR(VLOOKUP(C:C,'[1]TOTAL APO'!$A:$B,2,0),)</f>
        <v>0</v>
      </c>
      <c r="M861" s="38">
        <f>IFERROR(VLOOKUP(A:A,[1]Short!$A:$Q,17,0),)</f>
        <v>0</v>
      </c>
      <c r="N861" s="38">
        <f>IFERROR(VLOOKUP(C:C,[1]GIT!$B:$D,3,0),)</f>
        <v>0</v>
      </c>
      <c r="O861" s="38">
        <f>IFERROR(VLOOKUP(A:A,[2]Sheet1!$A:$B,2,0),)</f>
        <v>0</v>
      </c>
      <c r="P861" s="38">
        <f>IFERROR(VLOOKUP(A:A,[2]Sheet1!$A:$B,2,0),)</f>
        <v>0</v>
      </c>
      <c r="Q861" s="38">
        <f t="shared" si="13"/>
        <v>0</v>
      </c>
      <c r="R861" s="38"/>
      <c r="S861" s="38"/>
    </row>
    <row r="862" spans="1:19" hidden="1" x14ac:dyDescent="0.25">
      <c r="A862" s="38" t="str">
        <f>F862&amp;C862</f>
        <v/>
      </c>
      <c r="B862" s="38" t="str">
        <f>IF(J862&gt;=SUMIFS(E:E,C:C,C862),"Good to go","Short in Qty")</f>
        <v>Good to go</v>
      </c>
      <c r="C862" s="40"/>
      <c r="D862" s="40"/>
      <c r="E862" s="66"/>
      <c r="F862" s="38"/>
      <c r="G862" s="40"/>
      <c r="H862" s="38"/>
      <c r="I862" s="38"/>
      <c r="J862" s="38">
        <f>IFERROR(VLOOKUP(C:C,'[1]S&amp;S'!$B:$F,5,0),)</f>
        <v>0</v>
      </c>
      <c r="K862" s="38">
        <f>IFERROR(VLOOKUP(A:A,[1]APO!$A:$F,6,0),)</f>
        <v>0</v>
      </c>
      <c r="L862" s="38">
        <f>IFERROR(VLOOKUP(C:C,'[1]TOTAL APO'!$A:$B,2,0),)</f>
        <v>0</v>
      </c>
      <c r="M862" s="38">
        <f>IFERROR(VLOOKUP(A:A,[1]Short!$A:$Q,17,0),)</f>
        <v>0</v>
      </c>
      <c r="N862" s="38">
        <f>IFERROR(VLOOKUP(C:C,[1]GIT!$B:$D,3,0),)</f>
        <v>0</v>
      </c>
      <c r="O862" s="38">
        <f>IFERROR(VLOOKUP(A:A,[2]Sheet1!$A:$B,2,0),)</f>
        <v>0</v>
      </c>
      <c r="P862" s="38">
        <f>IFERROR(VLOOKUP(A:A,[2]Sheet1!$A:$B,2,0),)</f>
        <v>0</v>
      </c>
      <c r="Q862" s="38">
        <f t="shared" si="13"/>
        <v>0</v>
      </c>
      <c r="R862" s="38"/>
      <c r="S862" s="38"/>
    </row>
    <row r="863" spans="1:19" hidden="1" x14ac:dyDescent="0.25">
      <c r="A863" s="38" t="str">
        <f>F863&amp;C863</f>
        <v/>
      </c>
      <c r="B863" s="38" t="str">
        <f>IF(J863&gt;=SUMIFS(E:E,C:C,C863),"Good to go","Short in Qty")</f>
        <v>Good to go</v>
      </c>
      <c r="C863" s="40"/>
      <c r="D863" s="40"/>
      <c r="E863" s="66"/>
      <c r="F863" s="38"/>
      <c r="G863" s="40"/>
      <c r="H863" s="38"/>
      <c r="I863" s="38"/>
      <c r="J863" s="38">
        <f>IFERROR(VLOOKUP(C:C,'[1]S&amp;S'!$B:$F,5,0),)</f>
        <v>0</v>
      </c>
      <c r="K863" s="38">
        <f>IFERROR(VLOOKUP(A:A,[1]APO!$A:$F,6,0),)</f>
        <v>0</v>
      </c>
      <c r="L863" s="38">
        <f>IFERROR(VLOOKUP(C:C,'[1]TOTAL APO'!$A:$B,2,0),)</f>
        <v>0</v>
      </c>
      <c r="M863" s="38">
        <f>IFERROR(VLOOKUP(A:A,[1]Short!$A:$Q,17,0),)</f>
        <v>0</v>
      </c>
      <c r="N863" s="38">
        <f>IFERROR(VLOOKUP(C:C,[1]GIT!$B:$D,3,0),)</f>
        <v>0</v>
      </c>
      <c r="O863" s="38">
        <f>IFERROR(VLOOKUP(A:A,[2]Sheet1!$A:$B,2,0),)</f>
        <v>0</v>
      </c>
      <c r="P863" s="38">
        <f>IFERROR(VLOOKUP(A:A,[2]Sheet1!$A:$B,2,0),)</f>
        <v>0</v>
      </c>
      <c r="Q863" s="38">
        <f t="shared" si="13"/>
        <v>0</v>
      </c>
      <c r="R863" s="38"/>
      <c r="S863" s="38"/>
    </row>
    <row r="864" spans="1:19" hidden="1" x14ac:dyDescent="0.25">
      <c r="A864" s="38" t="str">
        <f>F864&amp;C864</f>
        <v/>
      </c>
      <c r="B864" s="38" t="str">
        <f>IF(J864&gt;=SUMIFS(E:E,C:C,C864),"Good to go","Short in Qty")</f>
        <v>Good to go</v>
      </c>
      <c r="C864" s="40"/>
      <c r="D864" s="40"/>
      <c r="E864" s="66"/>
      <c r="F864" s="38"/>
      <c r="G864" s="40"/>
      <c r="H864" s="38"/>
      <c r="I864" s="38"/>
      <c r="J864" s="38">
        <f>IFERROR(VLOOKUP(C:C,'[1]S&amp;S'!$B:$F,5,0),)</f>
        <v>0</v>
      </c>
      <c r="K864" s="38">
        <f>IFERROR(VLOOKUP(A:A,[1]APO!$A:$F,6,0),)</f>
        <v>0</v>
      </c>
      <c r="L864" s="38">
        <f>IFERROR(VLOOKUP(C:C,'[1]TOTAL APO'!$A:$B,2,0),)</f>
        <v>0</v>
      </c>
      <c r="M864" s="38">
        <f>IFERROR(VLOOKUP(A:A,[1]Short!$A:$Q,17,0),)</f>
        <v>0</v>
      </c>
      <c r="N864" s="38">
        <f>IFERROR(VLOOKUP(C:C,[1]GIT!$B:$D,3,0),)</f>
        <v>0</v>
      </c>
      <c r="O864" s="38">
        <f>IFERROR(VLOOKUP(A:A,[2]Sheet1!$A:$B,2,0),)</f>
        <v>0</v>
      </c>
      <c r="P864" s="38">
        <f>IFERROR(VLOOKUP(A:A,[2]Sheet1!$A:$B,2,0),)</f>
        <v>0</v>
      </c>
      <c r="Q864" s="38">
        <f t="shared" si="13"/>
        <v>0</v>
      </c>
      <c r="R864" s="38"/>
      <c r="S864" s="38"/>
    </row>
    <row r="865" spans="1:19" hidden="1" x14ac:dyDescent="0.25">
      <c r="A865" s="38" t="str">
        <f>F865&amp;C865</f>
        <v/>
      </c>
      <c r="B865" s="38" t="str">
        <f>IF(J865&gt;=SUMIFS(E:E,C:C,C865),"Good to go","Short in Qty")</f>
        <v>Good to go</v>
      </c>
      <c r="C865" s="40"/>
      <c r="D865" s="40"/>
      <c r="E865" s="66"/>
      <c r="F865" s="38"/>
      <c r="G865" s="40"/>
      <c r="H865" s="38"/>
      <c r="I865" s="38"/>
      <c r="J865" s="38">
        <f>IFERROR(VLOOKUP(C:C,'[1]S&amp;S'!$B:$F,5,0),)</f>
        <v>0</v>
      </c>
      <c r="K865" s="38">
        <f>IFERROR(VLOOKUP(A:A,[1]APO!$A:$F,6,0),)</f>
        <v>0</v>
      </c>
      <c r="L865" s="38">
        <f>IFERROR(VLOOKUP(C:C,'[1]TOTAL APO'!$A:$B,2,0),)</f>
        <v>0</v>
      </c>
      <c r="M865" s="38">
        <f>IFERROR(VLOOKUP(A:A,[1]Short!$A:$Q,17,0),)</f>
        <v>0</v>
      </c>
      <c r="N865" s="38">
        <f>IFERROR(VLOOKUP(C:C,[1]GIT!$B:$D,3,0),)</f>
        <v>0</v>
      </c>
      <c r="O865" s="38">
        <f>IFERROR(VLOOKUP(A:A,[2]Sheet1!$A:$B,2,0),)</f>
        <v>0</v>
      </c>
      <c r="P865" s="38">
        <f>IFERROR(VLOOKUP(A:A,[2]Sheet1!$A:$B,2,0),)</f>
        <v>0</v>
      </c>
      <c r="Q865" s="38">
        <f t="shared" si="13"/>
        <v>0</v>
      </c>
      <c r="R865" s="38"/>
      <c r="S865" s="38"/>
    </row>
    <row r="866" spans="1:19" hidden="1" x14ac:dyDescent="0.25">
      <c r="A866" s="38" t="str">
        <f>F866&amp;C866</f>
        <v/>
      </c>
      <c r="B866" s="38" t="str">
        <f>IF(J866&gt;=SUMIFS(E:E,C:C,C866),"Good to go","Short in Qty")</f>
        <v>Good to go</v>
      </c>
      <c r="C866" s="40"/>
      <c r="D866" s="40"/>
      <c r="E866" s="66"/>
      <c r="F866" s="38"/>
      <c r="G866" s="40"/>
      <c r="H866" s="38"/>
      <c r="I866" s="38"/>
      <c r="J866" s="38">
        <f>IFERROR(VLOOKUP(C:C,'[1]S&amp;S'!$B:$F,5,0),)</f>
        <v>0</v>
      </c>
      <c r="K866" s="38">
        <f>IFERROR(VLOOKUP(A:A,[1]APO!$A:$F,6,0),)</f>
        <v>0</v>
      </c>
      <c r="L866" s="38">
        <f>IFERROR(VLOOKUP(C:C,'[1]TOTAL APO'!$A:$B,2,0),)</f>
        <v>0</v>
      </c>
      <c r="M866" s="38">
        <f>IFERROR(VLOOKUP(A:A,[1]Short!$A:$Q,17,0),)</f>
        <v>0</v>
      </c>
      <c r="N866" s="38">
        <f>IFERROR(VLOOKUP(C:C,[1]GIT!$B:$D,3,0),)</f>
        <v>0</v>
      </c>
      <c r="O866" s="38">
        <f>IFERROR(VLOOKUP(A:A,[2]Sheet1!$A:$B,2,0),)</f>
        <v>0</v>
      </c>
      <c r="P866" s="38">
        <f>IFERROR(VLOOKUP(A:A,[2]Sheet1!$A:$B,2,0),)</f>
        <v>0</v>
      </c>
      <c r="Q866" s="38">
        <f t="shared" si="13"/>
        <v>0</v>
      </c>
      <c r="R866" s="38"/>
      <c r="S866" s="38"/>
    </row>
    <row r="867" spans="1:19" hidden="1" x14ac:dyDescent="0.25">
      <c r="A867" s="38" t="str">
        <f>F867&amp;C867</f>
        <v/>
      </c>
      <c r="B867" s="38" t="str">
        <f>IF(J867&gt;=SUMIFS(E:E,C:C,C867),"Good to go","Short in Qty")</f>
        <v>Good to go</v>
      </c>
      <c r="C867" s="40"/>
      <c r="D867" s="40"/>
      <c r="E867" s="66"/>
      <c r="F867" s="38"/>
      <c r="G867" s="40"/>
      <c r="H867" s="38"/>
      <c r="I867" s="38"/>
      <c r="J867" s="38">
        <f>IFERROR(VLOOKUP(C:C,'[1]S&amp;S'!$B:$F,5,0),)</f>
        <v>0</v>
      </c>
      <c r="K867" s="38">
        <f>IFERROR(VLOOKUP(A:A,[1]APO!$A:$F,6,0),)</f>
        <v>0</v>
      </c>
      <c r="L867" s="38">
        <f>IFERROR(VLOOKUP(C:C,'[1]TOTAL APO'!$A:$B,2,0),)</f>
        <v>0</v>
      </c>
      <c r="M867" s="38">
        <f>IFERROR(VLOOKUP(A:A,[1]Short!$A:$Q,17,0),)</f>
        <v>0</v>
      </c>
      <c r="N867" s="38">
        <f>IFERROR(VLOOKUP(C:C,[1]GIT!$B:$D,3,0),)</f>
        <v>0</v>
      </c>
      <c r="O867" s="38">
        <f>IFERROR(VLOOKUP(A:A,[2]Sheet1!$A:$B,2,0),)</f>
        <v>0</v>
      </c>
      <c r="P867" s="38">
        <f>IFERROR(VLOOKUP(A:A,[2]Sheet1!$A:$B,2,0),)</f>
        <v>0</v>
      </c>
      <c r="Q867" s="38">
        <f t="shared" si="13"/>
        <v>0</v>
      </c>
      <c r="R867" s="38"/>
      <c r="S867" s="38"/>
    </row>
    <row r="868" spans="1:19" hidden="1" x14ac:dyDescent="0.25">
      <c r="A868" s="38" t="str">
        <f>F868&amp;C868</f>
        <v/>
      </c>
      <c r="B868" s="38" t="str">
        <f>IF(J868&gt;=SUMIFS(E:E,C:C,C868),"Good to go","Short in Qty")</f>
        <v>Good to go</v>
      </c>
      <c r="C868" s="40"/>
      <c r="D868" s="40"/>
      <c r="E868" s="66"/>
      <c r="F868" s="38"/>
      <c r="G868" s="40"/>
      <c r="H868" s="38"/>
      <c r="I868" s="38"/>
      <c r="J868" s="38">
        <f>IFERROR(VLOOKUP(C:C,'[1]S&amp;S'!$B:$F,5,0),)</f>
        <v>0</v>
      </c>
      <c r="K868" s="38">
        <f>IFERROR(VLOOKUP(A:A,[1]APO!$A:$F,6,0),)</f>
        <v>0</v>
      </c>
      <c r="L868" s="38">
        <f>IFERROR(VLOOKUP(C:C,'[1]TOTAL APO'!$A:$B,2,0),)</f>
        <v>0</v>
      </c>
      <c r="M868" s="38">
        <f>IFERROR(VLOOKUP(A:A,[1]Short!$A:$Q,17,0),)</f>
        <v>0</v>
      </c>
      <c r="N868" s="38">
        <f>IFERROR(VLOOKUP(C:C,[1]GIT!$B:$D,3,0),)</f>
        <v>0</v>
      </c>
      <c r="O868" s="38">
        <f>IFERROR(VLOOKUP(A:A,[2]Sheet1!$A:$B,2,0),)</f>
        <v>0</v>
      </c>
      <c r="P868" s="38">
        <f>IFERROR(VLOOKUP(A:A,[2]Sheet1!$A:$B,2,0),)</f>
        <v>0</v>
      </c>
      <c r="Q868" s="38">
        <f t="shared" si="13"/>
        <v>0</v>
      </c>
      <c r="R868" s="38"/>
      <c r="S868" s="38"/>
    </row>
    <row r="869" spans="1:19" hidden="1" x14ac:dyDescent="0.25">
      <c r="A869" s="38" t="str">
        <f>F869&amp;C869</f>
        <v/>
      </c>
      <c r="B869" s="38" t="str">
        <f>IF(J869&gt;=SUMIFS(E:E,C:C,C869),"Good to go","Short in Qty")</f>
        <v>Good to go</v>
      </c>
      <c r="C869" s="40"/>
      <c r="D869" s="40"/>
      <c r="E869" s="66"/>
      <c r="F869" s="38"/>
      <c r="G869" s="40"/>
      <c r="H869" s="38"/>
      <c r="I869" s="38"/>
      <c r="J869" s="38">
        <f>IFERROR(VLOOKUP(C:C,'[1]S&amp;S'!$B:$F,5,0),)</f>
        <v>0</v>
      </c>
      <c r="K869" s="38">
        <f>IFERROR(VLOOKUP(A:A,[1]APO!$A:$F,6,0),)</f>
        <v>0</v>
      </c>
      <c r="L869" s="38">
        <f>IFERROR(VLOOKUP(C:C,'[1]TOTAL APO'!$A:$B,2,0),)</f>
        <v>0</v>
      </c>
      <c r="M869" s="38">
        <f>IFERROR(VLOOKUP(A:A,[1]Short!$A:$Q,17,0),)</f>
        <v>0</v>
      </c>
      <c r="N869" s="38">
        <f>IFERROR(VLOOKUP(C:C,[1]GIT!$B:$D,3,0),)</f>
        <v>0</v>
      </c>
      <c r="O869" s="38">
        <f>IFERROR(VLOOKUP(A:A,[2]Sheet1!$A:$B,2,0),)</f>
        <v>0</v>
      </c>
      <c r="P869" s="38">
        <f>IFERROR(VLOOKUP(A:A,[2]Sheet1!$A:$B,2,0),)</f>
        <v>0</v>
      </c>
      <c r="Q869" s="38">
        <f t="shared" si="13"/>
        <v>0</v>
      </c>
      <c r="R869" s="38"/>
      <c r="S869" s="38"/>
    </row>
    <row r="870" spans="1:19" hidden="1" x14ac:dyDescent="0.25">
      <c r="A870" s="38" t="str">
        <f>F870&amp;C870</f>
        <v/>
      </c>
      <c r="B870" s="38" t="str">
        <f>IF(J870&gt;=SUMIFS(E:E,C:C,C870),"Good to go","Short in Qty")</f>
        <v>Good to go</v>
      </c>
      <c r="C870" s="40"/>
      <c r="D870" s="40"/>
      <c r="E870" s="66"/>
      <c r="F870" s="38"/>
      <c r="G870" s="40"/>
      <c r="H870" s="38"/>
      <c r="I870" s="38"/>
      <c r="J870" s="38">
        <f>IFERROR(VLOOKUP(C:C,'[1]S&amp;S'!$B:$F,5,0),)</f>
        <v>0</v>
      </c>
      <c r="K870" s="38">
        <f>IFERROR(VLOOKUP(A:A,[1]APO!$A:$F,6,0),)</f>
        <v>0</v>
      </c>
      <c r="L870" s="38">
        <f>IFERROR(VLOOKUP(C:C,'[1]TOTAL APO'!$A:$B,2,0),)</f>
        <v>0</v>
      </c>
      <c r="M870" s="38">
        <f>IFERROR(VLOOKUP(A:A,[1]Short!$A:$Q,17,0),)</f>
        <v>0</v>
      </c>
      <c r="N870" s="38">
        <f>IFERROR(VLOOKUP(C:C,[1]GIT!$B:$D,3,0),)</f>
        <v>0</v>
      </c>
      <c r="O870" s="38">
        <f>IFERROR(VLOOKUP(A:A,[2]Sheet1!$A:$B,2,0),)</f>
        <v>0</v>
      </c>
      <c r="P870" s="38">
        <f>IFERROR(VLOOKUP(A:A,[2]Sheet1!$A:$B,2,0),)</f>
        <v>0</v>
      </c>
      <c r="Q870" s="38">
        <f t="shared" si="13"/>
        <v>0</v>
      </c>
      <c r="R870" s="38"/>
      <c r="S870" s="38"/>
    </row>
    <row r="871" spans="1:19" hidden="1" x14ac:dyDescent="0.25">
      <c r="A871" s="38" t="str">
        <f>F871&amp;C871</f>
        <v/>
      </c>
      <c r="B871" s="38" t="str">
        <f>IF(J871&gt;=SUMIFS(E:E,C:C,C871),"Good to go","Short in Qty")</f>
        <v>Good to go</v>
      </c>
      <c r="C871" s="40"/>
      <c r="D871" s="40"/>
      <c r="E871" s="66"/>
      <c r="F871" s="38"/>
      <c r="G871" s="40"/>
      <c r="H871" s="38"/>
      <c r="I871" s="38"/>
      <c r="J871" s="38">
        <f>IFERROR(VLOOKUP(C:C,'[1]S&amp;S'!$B:$F,5,0),)</f>
        <v>0</v>
      </c>
      <c r="K871" s="38">
        <f>IFERROR(VLOOKUP(A:A,[1]APO!$A:$F,6,0),)</f>
        <v>0</v>
      </c>
      <c r="L871" s="38">
        <f>IFERROR(VLOOKUP(C:C,'[1]TOTAL APO'!$A:$B,2,0),)</f>
        <v>0</v>
      </c>
      <c r="M871" s="38">
        <f>IFERROR(VLOOKUP(A:A,[1]Short!$A:$Q,17,0),)</f>
        <v>0</v>
      </c>
      <c r="N871" s="38">
        <f>IFERROR(VLOOKUP(C:C,[1]GIT!$B:$D,3,0),)</f>
        <v>0</v>
      </c>
      <c r="O871" s="38">
        <f>IFERROR(VLOOKUP(A:A,[2]Sheet1!$A:$B,2,0),)</f>
        <v>0</v>
      </c>
      <c r="P871" s="38">
        <f>IFERROR(VLOOKUP(A:A,[2]Sheet1!$A:$B,2,0),)</f>
        <v>0</v>
      </c>
      <c r="Q871" s="38">
        <f t="shared" si="13"/>
        <v>0</v>
      </c>
      <c r="R871" s="38"/>
      <c r="S871" s="38"/>
    </row>
    <row r="872" spans="1:19" hidden="1" x14ac:dyDescent="0.25">
      <c r="A872" s="38" t="str">
        <f>F872&amp;C872</f>
        <v/>
      </c>
      <c r="B872" s="38" t="str">
        <f>IF(J872&gt;=SUMIFS(E:E,C:C,C872),"Good to go","Short in Qty")</f>
        <v>Good to go</v>
      </c>
      <c r="C872" s="40"/>
      <c r="D872" s="40"/>
      <c r="E872" s="66"/>
      <c r="F872" s="38"/>
      <c r="G872" s="40"/>
      <c r="H872" s="38"/>
      <c r="I872" s="38"/>
      <c r="J872" s="38">
        <f>IFERROR(VLOOKUP(C:C,'[1]S&amp;S'!$B:$F,5,0),)</f>
        <v>0</v>
      </c>
      <c r="K872" s="38">
        <f>IFERROR(VLOOKUP(A:A,[1]APO!$A:$F,6,0),)</f>
        <v>0</v>
      </c>
      <c r="L872" s="38">
        <f>IFERROR(VLOOKUP(C:C,'[1]TOTAL APO'!$A:$B,2,0),)</f>
        <v>0</v>
      </c>
      <c r="M872" s="38">
        <f>IFERROR(VLOOKUP(A:A,[1]Short!$A:$Q,17,0),)</f>
        <v>0</v>
      </c>
      <c r="N872" s="38">
        <f>IFERROR(VLOOKUP(C:C,[1]GIT!$B:$D,3,0),)</f>
        <v>0</v>
      </c>
      <c r="O872" s="38">
        <f>IFERROR(VLOOKUP(A:A,[2]Sheet1!$A:$B,2,0),)</f>
        <v>0</v>
      </c>
      <c r="P872" s="38">
        <f>IFERROR(VLOOKUP(A:A,[2]Sheet1!$A:$B,2,0),)</f>
        <v>0</v>
      </c>
      <c r="Q872" s="38">
        <f t="shared" si="13"/>
        <v>0</v>
      </c>
      <c r="R872" s="38"/>
      <c r="S872" s="38"/>
    </row>
    <row r="873" spans="1:19" hidden="1" x14ac:dyDescent="0.25">
      <c r="A873" s="38" t="str">
        <f>F873&amp;C873</f>
        <v/>
      </c>
      <c r="B873" s="38" t="str">
        <f>IF(J873&gt;=SUMIFS(E:E,C:C,C873),"Good to go","Short in Qty")</f>
        <v>Good to go</v>
      </c>
      <c r="C873" s="40"/>
      <c r="D873" s="40"/>
      <c r="E873" s="66"/>
      <c r="F873" s="38"/>
      <c r="G873" s="40"/>
      <c r="H873" s="38"/>
      <c r="I873" s="38"/>
      <c r="J873" s="38">
        <f>IFERROR(VLOOKUP(C:C,'[1]S&amp;S'!$B:$F,5,0),)</f>
        <v>0</v>
      </c>
      <c r="K873" s="38">
        <f>IFERROR(VLOOKUP(A:A,[1]APO!$A:$F,6,0),)</f>
        <v>0</v>
      </c>
      <c r="L873" s="38">
        <f>IFERROR(VLOOKUP(C:C,'[1]TOTAL APO'!$A:$B,2,0),)</f>
        <v>0</v>
      </c>
      <c r="M873" s="38">
        <f>IFERROR(VLOOKUP(A:A,[1]Short!$A:$Q,17,0),)</f>
        <v>0</v>
      </c>
      <c r="N873" s="38">
        <f>IFERROR(VLOOKUP(C:C,[1]GIT!$B:$D,3,0),)</f>
        <v>0</v>
      </c>
      <c r="O873" s="38">
        <f>IFERROR(VLOOKUP(A:A,[2]Sheet1!$A:$B,2,0),)</f>
        <v>0</v>
      </c>
      <c r="P873" s="38">
        <f>IFERROR(VLOOKUP(A:A,[2]Sheet1!$A:$B,2,0),)</f>
        <v>0</v>
      </c>
      <c r="Q873" s="38">
        <f t="shared" si="13"/>
        <v>0</v>
      </c>
      <c r="R873" s="38"/>
      <c r="S873" s="38"/>
    </row>
    <row r="874" spans="1:19" hidden="1" x14ac:dyDescent="0.25">
      <c r="A874" s="38" t="str">
        <f>F874&amp;C874</f>
        <v/>
      </c>
      <c r="B874" s="38" t="str">
        <f>IF(J874&gt;=SUMIFS(E:E,C:C,C874),"Good to go","Short in Qty")</f>
        <v>Good to go</v>
      </c>
      <c r="C874" s="40"/>
      <c r="D874" s="40"/>
      <c r="E874" s="66"/>
      <c r="F874" s="38"/>
      <c r="G874" s="40"/>
      <c r="H874" s="38"/>
      <c r="I874" s="38"/>
      <c r="J874" s="38">
        <f>IFERROR(VLOOKUP(C:C,'[1]S&amp;S'!$B:$F,5,0),)</f>
        <v>0</v>
      </c>
      <c r="K874" s="38">
        <f>IFERROR(VLOOKUP(A:A,[1]APO!$A:$F,6,0),)</f>
        <v>0</v>
      </c>
      <c r="L874" s="38">
        <f>IFERROR(VLOOKUP(C:C,'[1]TOTAL APO'!$A:$B,2,0),)</f>
        <v>0</v>
      </c>
      <c r="M874" s="38">
        <f>IFERROR(VLOOKUP(A:A,[1]Short!$A:$Q,17,0),)</f>
        <v>0</v>
      </c>
      <c r="N874" s="38">
        <f>IFERROR(VLOOKUP(C:C,[1]GIT!$B:$D,3,0),)</f>
        <v>0</v>
      </c>
      <c r="O874" s="38">
        <f>IFERROR(VLOOKUP(A:A,[2]Sheet1!$A:$B,2,0),)</f>
        <v>0</v>
      </c>
      <c r="P874" s="38">
        <f>IFERROR(VLOOKUP(A:A,[2]Sheet1!$A:$B,2,0),)</f>
        <v>0</v>
      </c>
      <c r="Q874" s="38">
        <f t="shared" si="13"/>
        <v>0</v>
      </c>
      <c r="R874" s="38"/>
      <c r="S874" s="38"/>
    </row>
    <row r="875" spans="1:19" hidden="1" x14ac:dyDescent="0.25">
      <c r="A875" s="38" t="str">
        <f>F875&amp;C875</f>
        <v/>
      </c>
      <c r="B875" s="38" t="str">
        <f>IF(J875&gt;=SUMIFS(E:E,C:C,C875),"Good to go","Short in Qty")</f>
        <v>Good to go</v>
      </c>
      <c r="C875" s="40"/>
      <c r="D875" s="40"/>
      <c r="E875" s="66"/>
      <c r="F875" s="38"/>
      <c r="G875" s="40"/>
      <c r="H875" s="38"/>
      <c r="I875" s="38"/>
      <c r="J875" s="38">
        <f>IFERROR(VLOOKUP(C:C,'[1]S&amp;S'!$B:$F,5,0),)</f>
        <v>0</v>
      </c>
      <c r="K875" s="38">
        <f>IFERROR(VLOOKUP(A:A,[1]APO!$A:$F,6,0),)</f>
        <v>0</v>
      </c>
      <c r="L875" s="38">
        <f>IFERROR(VLOOKUP(C:C,'[1]TOTAL APO'!$A:$B,2,0),)</f>
        <v>0</v>
      </c>
      <c r="M875" s="38">
        <f>IFERROR(VLOOKUP(A:A,[1]Short!$A:$Q,17,0),)</f>
        <v>0</v>
      </c>
      <c r="N875" s="38">
        <f>IFERROR(VLOOKUP(C:C,[1]GIT!$B:$D,3,0),)</f>
        <v>0</v>
      </c>
      <c r="O875" s="38">
        <f>IFERROR(VLOOKUP(A:A,[2]Sheet1!$A:$B,2,0),)</f>
        <v>0</v>
      </c>
      <c r="P875" s="38">
        <f>IFERROR(VLOOKUP(A:A,[2]Sheet1!$A:$B,2,0),)</f>
        <v>0</v>
      </c>
      <c r="Q875" s="38">
        <f t="shared" si="13"/>
        <v>0</v>
      </c>
      <c r="R875" s="38"/>
      <c r="S875" s="38"/>
    </row>
    <row r="876" spans="1:19" hidden="1" x14ac:dyDescent="0.25">
      <c r="A876" s="38" t="str">
        <f>F876&amp;C876</f>
        <v/>
      </c>
      <c r="B876" s="38" t="str">
        <f>IF(J876&gt;=SUMIFS(E:E,C:C,C876),"Good to go","Short in Qty")</f>
        <v>Good to go</v>
      </c>
      <c r="C876" s="40"/>
      <c r="D876" s="40"/>
      <c r="E876" s="66"/>
      <c r="F876" s="38"/>
      <c r="G876" s="40"/>
      <c r="H876" s="38"/>
      <c r="I876" s="38"/>
      <c r="J876" s="38">
        <f>IFERROR(VLOOKUP(C:C,'[1]S&amp;S'!$B:$F,5,0),)</f>
        <v>0</v>
      </c>
      <c r="K876" s="38">
        <f>IFERROR(VLOOKUP(A:A,[1]APO!$A:$F,6,0),)</f>
        <v>0</v>
      </c>
      <c r="L876" s="38">
        <f>IFERROR(VLOOKUP(C:C,'[1]TOTAL APO'!$A:$B,2,0),)</f>
        <v>0</v>
      </c>
      <c r="M876" s="38">
        <f>IFERROR(VLOOKUP(A:A,[1]Short!$A:$Q,17,0),)</f>
        <v>0</v>
      </c>
      <c r="N876" s="38">
        <f>IFERROR(VLOOKUP(C:C,[1]GIT!$B:$D,3,0),)</f>
        <v>0</v>
      </c>
      <c r="O876" s="38">
        <f>IFERROR(VLOOKUP(A:A,[2]Sheet1!$A:$B,2,0),)</f>
        <v>0</v>
      </c>
      <c r="P876" s="38">
        <f>IFERROR(VLOOKUP(A:A,[2]Sheet1!$A:$B,2,0),)</f>
        <v>0</v>
      </c>
      <c r="Q876" s="38">
        <f t="shared" si="13"/>
        <v>0</v>
      </c>
      <c r="R876" s="38"/>
      <c r="S876" s="38"/>
    </row>
    <row r="877" spans="1:19" hidden="1" x14ac:dyDescent="0.25">
      <c r="A877" s="38" t="str">
        <f>F877&amp;C877</f>
        <v/>
      </c>
      <c r="B877" s="38" t="str">
        <f>IF(J877&gt;=SUMIFS(E:E,C:C,C877),"Good to go","Short in Qty")</f>
        <v>Good to go</v>
      </c>
      <c r="C877" s="40"/>
      <c r="D877" s="40"/>
      <c r="E877" s="66"/>
      <c r="F877" s="38"/>
      <c r="G877" s="40"/>
      <c r="H877" s="38"/>
      <c r="I877" s="38"/>
      <c r="J877" s="38">
        <f>IFERROR(VLOOKUP(C:C,'[1]S&amp;S'!$B:$F,5,0),)</f>
        <v>0</v>
      </c>
      <c r="K877" s="38">
        <f>IFERROR(VLOOKUP(A:A,[1]APO!$A:$F,6,0),)</f>
        <v>0</v>
      </c>
      <c r="L877" s="38">
        <f>IFERROR(VLOOKUP(C:C,'[1]TOTAL APO'!$A:$B,2,0),)</f>
        <v>0</v>
      </c>
      <c r="M877" s="38">
        <f>IFERROR(VLOOKUP(A:A,[1]Short!$A:$Q,17,0),)</f>
        <v>0</v>
      </c>
      <c r="N877" s="38">
        <f>IFERROR(VLOOKUP(C:C,[1]GIT!$B:$D,3,0),)</f>
        <v>0</v>
      </c>
      <c r="O877" s="38">
        <f>IFERROR(VLOOKUP(A:A,[2]Sheet1!$A:$B,2,0),)</f>
        <v>0</v>
      </c>
      <c r="P877" s="38">
        <f>IFERROR(VLOOKUP(A:A,[2]Sheet1!$A:$B,2,0),)</f>
        <v>0</v>
      </c>
      <c r="Q877" s="38">
        <f t="shared" si="13"/>
        <v>0</v>
      </c>
      <c r="R877" s="38"/>
      <c r="S877" s="38"/>
    </row>
    <row r="878" spans="1:19" hidden="1" x14ac:dyDescent="0.25">
      <c r="A878" s="38" t="str">
        <f>F878&amp;C878</f>
        <v/>
      </c>
      <c r="B878" s="38" t="str">
        <f>IF(J878&gt;=SUMIFS(E:E,C:C,C878),"Good to go","Short in Qty")</f>
        <v>Good to go</v>
      </c>
      <c r="C878" s="40"/>
      <c r="D878" s="40"/>
      <c r="E878" s="66"/>
      <c r="F878" s="38"/>
      <c r="G878" s="40"/>
      <c r="H878" s="38"/>
      <c r="I878" s="38"/>
      <c r="J878" s="38">
        <f>IFERROR(VLOOKUP(C:C,'[1]S&amp;S'!$B:$F,5,0),)</f>
        <v>0</v>
      </c>
      <c r="K878" s="38">
        <f>IFERROR(VLOOKUP(A:A,[1]APO!$A:$F,6,0),)</f>
        <v>0</v>
      </c>
      <c r="L878" s="38">
        <f>IFERROR(VLOOKUP(C:C,'[1]TOTAL APO'!$A:$B,2,0),)</f>
        <v>0</v>
      </c>
      <c r="M878" s="38">
        <f>IFERROR(VLOOKUP(A:A,[1]Short!$A:$Q,17,0),)</f>
        <v>0</v>
      </c>
      <c r="N878" s="38">
        <f>IFERROR(VLOOKUP(C:C,[1]GIT!$B:$D,3,0),)</f>
        <v>0</v>
      </c>
      <c r="O878" s="38">
        <f>IFERROR(VLOOKUP(A:A,[2]Sheet1!$A:$B,2,0),)</f>
        <v>0</v>
      </c>
      <c r="P878" s="38">
        <f>IFERROR(VLOOKUP(A:A,[2]Sheet1!$A:$B,2,0),)</f>
        <v>0</v>
      </c>
      <c r="Q878" s="38">
        <f t="shared" si="13"/>
        <v>0</v>
      </c>
      <c r="R878" s="38"/>
      <c r="S878" s="38"/>
    </row>
    <row r="879" spans="1:19" hidden="1" x14ac:dyDescent="0.25">
      <c r="A879" s="38" t="str">
        <f>F879&amp;C879</f>
        <v/>
      </c>
      <c r="B879" s="38" t="str">
        <f>IF(J879&gt;=SUMIFS(E:E,C:C,C879),"Good to go","Short in Qty")</f>
        <v>Good to go</v>
      </c>
      <c r="C879" s="40"/>
      <c r="D879" s="40"/>
      <c r="E879" s="66"/>
      <c r="F879" s="38"/>
      <c r="G879" s="40"/>
      <c r="H879" s="38"/>
      <c r="I879" s="38"/>
      <c r="J879" s="38">
        <f>IFERROR(VLOOKUP(C:C,'[1]S&amp;S'!$B:$F,5,0),)</f>
        <v>0</v>
      </c>
      <c r="K879" s="38">
        <f>IFERROR(VLOOKUP(A:A,[1]APO!$A:$F,6,0),)</f>
        <v>0</v>
      </c>
      <c r="L879" s="38">
        <f>IFERROR(VLOOKUP(C:C,'[1]TOTAL APO'!$A:$B,2,0),)</f>
        <v>0</v>
      </c>
      <c r="M879" s="38">
        <f>IFERROR(VLOOKUP(A:A,[1]Short!$A:$Q,17,0),)</f>
        <v>0</v>
      </c>
      <c r="N879" s="38">
        <f>IFERROR(VLOOKUP(C:C,[1]GIT!$B:$D,3,0),)</f>
        <v>0</v>
      </c>
      <c r="O879" s="38">
        <f>IFERROR(VLOOKUP(A:A,[2]Sheet1!$A:$B,2,0),)</f>
        <v>0</v>
      </c>
      <c r="P879" s="38">
        <f>IFERROR(VLOOKUP(A:A,[2]Sheet1!$A:$B,2,0),)</f>
        <v>0</v>
      </c>
      <c r="Q879" s="38">
        <f t="shared" si="13"/>
        <v>0</v>
      </c>
      <c r="R879" s="38"/>
      <c r="S879" s="38"/>
    </row>
    <row r="880" spans="1:19" hidden="1" x14ac:dyDescent="0.25">
      <c r="A880" s="38" t="str">
        <f>F880&amp;C880</f>
        <v/>
      </c>
      <c r="B880" s="38" t="str">
        <f>IF(J880&gt;=SUMIFS(E:E,C:C,C880),"Good to go","Short in Qty")</f>
        <v>Good to go</v>
      </c>
      <c r="C880" s="40"/>
      <c r="D880" s="40"/>
      <c r="E880" s="66"/>
      <c r="F880" s="38"/>
      <c r="G880" s="40"/>
      <c r="H880" s="38"/>
      <c r="I880" s="38"/>
      <c r="J880" s="38">
        <f>IFERROR(VLOOKUP(C:C,'[1]S&amp;S'!$B:$F,5,0),)</f>
        <v>0</v>
      </c>
      <c r="K880" s="38">
        <f>IFERROR(VLOOKUP(A:A,[1]APO!$A:$F,6,0),)</f>
        <v>0</v>
      </c>
      <c r="L880" s="38">
        <f>IFERROR(VLOOKUP(C:C,'[1]TOTAL APO'!$A:$B,2,0),)</f>
        <v>0</v>
      </c>
      <c r="M880" s="38">
        <f>IFERROR(VLOOKUP(A:A,[1]Short!$A:$Q,17,0),)</f>
        <v>0</v>
      </c>
      <c r="N880" s="38">
        <f>IFERROR(VLOOKUP(C:C,[1]GIT!$B:$D,3,0),)</f>
        <v>0</v>
      </c>
      <c r="O880" s="38">
        <f>IFERROR(VLOOKUP(A:A,[2]Sheet1!$A:$B,2,0),)</f>
        <v>0</v>
      </c>
      <c r="P880" s="38">
        <f>IFERROR(VLOOKUP(A:A,[2]Sheet1!$A:$B,2,0),)</f>
        <v>0</v>
      </c>
      <c r="Q880" s="38">
        <f t="shared" si="13"/>
        <v>0</v>
      </c>
      <c r="R880" s="38"/>
      <c r="S880" s="38"/>
    </row>
    <row r="881" spans="1:19" hidden="1" x14ac:dyDescent="0.25">
      <c r="A881" s="38" t="str">
        <f>F881&amp;C881</f>
        <v/>
      </c>
      <c r="B881" s="38" t="str">
        <f>IF(J881&gt;=SUMIFS(E:E,C:C,C881),"Good to go","Short in Qty")</f>
        <v>Good to go</v>
      </c>
      <c r="C881" s="40"/>
      <c r="D881" s="40"/>
      <c r="E881" s="66"/>
      <c r="F881" s="38"/>
      <c r="G881" s="40"/>
      <c r="H881" s="38"/>
      <c r="I881" s="38"/>
      <c r="J881" s="38">
        <f>IFERROR(VLOOKUP(C:C,'[1]S&amp;S'!$B:$F,5,0),)</f>
        <v>0</v>
      </c>
      <c r="K881" s="38">
        <f>IFERROR(VLOOKUP(A:A,[1]APO!$A:$F,6,0),)</f>
        <v>0</v>
      </c>
      <c r="L881" s="38">
        <f>IFERROR(VLOOKUP(C:C,'[1]TOTAL APO'!$A:$B,2,0),)</f>
        <v>0</v>
      </c>
      <c r="M881" s="38">
        <f>IFERROR(VLOOKUP(A:A,[1]Short!$A:$Q,17,0),)</f>
        <v>0</v>
      </c>
      <c r="N881" s="38">
        <f>IFERROR(VLOOKUP(C:C,[1]GIT!$B:$D,3,0),)</f>
        <v>0</v>
      </c>
      <c r="O881" s="38">
        <f>IFERROR(VLOOKUP(A:A,[2]Sheet1!$A:$B,2,0),)</f>
        <v>0</v>
      </c>
      <c r="P881" s="38">
        <f>IFERROR(VLOOKUP(A:A,[2]Sheet1!$A:$B,2,0),)</f>
        <v>0</v>
      </c>
      <c r="Q881" s="38">
        <f t="shared" si="13"/>
        <v>0</v>
      </c>
      <c r="R881" s="38"/>
      <c r="S881" s="38"/>
    </row>
    <row r="882" spans="1:19" hidden="1" x14ac:dyDescent="0.25">
      <c r="A882" s="38" t="str">
        <f>F882&amp;C882</f>
        <v/>
      </c>
      <c r="B882" s="38" t="str">
        <f>IF(J882&gt;=SUMIFS(E:E,C:C,C882),"Good to go","Short in Qty")</f>
        <v>Good to go</v>
      </c>
      <c r="C882" s="40"/>
      <c r="D882" s="40"/>
      <c r="E882" s="66"/>
      <c r="F882" s="38"/>
      <c r="G882" s="40"/>
      <c r="H882" s="38"/>
      <c r="I882" s="38"/>
      <c r="J882" s="38">
        <f>IFERROR(VLOOKUP(C:C,'[1]S&amp;S'!$B:$F,5,0),)</f>
        <v>0</v>
      </c>
      <c r="K882" s="38">
        <f>IFERROR(VLOOKUP(A:A,[1]APO!$A:$F,6,0),)</f>
        <v>0</v>
      </c>
      <c r="L882" s="38">
        <f>IFERROR(VLOOKUP(C:C,'[1]TOTAL APO'!$A:$B,2,0),)</f>
        <v>0</v>
      </c>
      <c r="M882" s="38">
        <f>IFERROR(VLOOKUP(A:A,[1]Short!$A:$Q,17,0),)</f>
        <v>0</v>
      </c>
      <c r="N882" s="38">
        <f>IFERROR(VLOOKUP(C:C,[1]GIT!$B:$D,3,0),)</f>
        <v>0</v>
      </c>
      <c r="O882" s="38">
        <f>IFERROR(VLOOKUP(A:A,[2]Sheet1!$A:$B,2,0),)</f>
        <v>0</v>
      </c>
      <c r="P882" s="38">
        <f>IFERROR(VLOOKUP(A:A,[2]Sheet1!$A:$B,2,0),)</f>
        <v>0</v>
      </c>
      <c r="Q882" s="38">
        <f t="shared" si="13"/>
        <v>0</v>
      </c>
      <c r="R882" s="38"/>
      <c r="S882" s="38"/>
    </row>
    <row r="883" spans="1:19" hidden="1" x14ac:dyDescent="0.25">
      <c r="A883" s="38" t="str">
        <f>F883&amp;C883</f>
        <v/>
      </c>
      <c r="B883" s="38" t="str">
        <f>IF(J883&gt;=SUMIFS(E:E,C:C,C883),"Good to go","Short in Qty")</f>
        <v>Good to go</v>
      </c>
      <c r="C883" s="40"/>
      <c r="D883" s="40"/>
      <c r="E883" s="66"/>
      <c r="F883" s="38"/>
      <c r="G883" s="40"/>
      <c r="H883" s="38"/>
      <c r="I883" s="38"/>
      <c r="J883" s="38">
        <f>IFERROR(VLOOKUP(C:C,'[1]S&amp;S'!$B:$F,5,0),)</f>
        <v>0</v>
      </c>
      <c r="K883" s="38">
        <f>IFERROR(VLOOKUP(A:A,[1]APO!$A:$F,6,0),)</f>
        <v>0</v>
      </c>
      <c r="L883" s="38">
        <f>IFERROR(VLOOKUP(C:C,'[1]TOTAL APO'!$A:$B,2,0),)</f>
        <v>0</v>
      </c>
      <c r="M883" s="38">
        <f>IFERROR(VLOOKUP(A:A,[1]Short!$A:$Q,17,0),)</f>
        <v>0</v>
      </c>
      <c r="N883" s="38">
        <f>IFERROR(VLOOKUP(C:C,[1]GIT!$B:$D,3,0),)</f>
        <v>0</v>
      </c>
      <c r="O883" s="38">
        <f>IFERROR(VLOOKUP(A:A,[2]Sheet1!$A:$B,2,0),)</f>
        <v>0</v>
      </c>
      <c r="P883" s="38">
        <f>IFERROR(VLOOKUP(A:A,[2]Sheet1!$A:$B,2,0),)</f>
        <v>0</v>
      </c>
      <c r="Q883" s="38">
        <f t="shared" si="13"/>
        <v>0</v>
      </c>
      <c r="R883" s="38"/>
      <c r="S883" s="38"/>
    </row>
    <row r="884" spans="1:19" hidden="1" x14ac:dyDescent="0.25">
      <c r="A884" s="38" t="str">
        <f>F884&amp;C884</f>
        <v/>
      </c>
      <c r="B884" s="38" t="str">
        <f>IF(J884&gt;=SUMIFS(E:E,C:C,C884),"Good to go","Short in Qty")</f>
        <v>Good to go</v>
      </c>
      <c r="C884" s="40"/>
      <c r="D884" s="40"/>
      <c r="E884" s="66"/>
      <c r="F884" s="38"/>
      <c r="G884" s="40"/>
      <c r="H884" s="38"/>
      <c r="I884" s="38"/>
      <c r="J884" s="38">
        <f>IFERROR(VLOOKUP(C:C,'[1]S&amp;S'!$B:$F,5,0),)</f>
        <v>0</v>
      </c>
      <c r="K884" s="38">
        <f>IFERROR(VLOOKUP(A:A,[1]APO!$A:$F,6,0),)</f>
        <v>0</v>
      </c>
      <c r="L884" s="38">
        <f>IFERROR(VLOOKUP(C:C,'[1]TOTAL APO'!$A:$B,2,0),)</f>
        <v>0</v>
      </c>
      <c r="M884" s="38">
        <f>IFERROR(VLOOKUP(A:A,[1]Short!$A:$Q,17,0),)</f>
        <v>0</v>
      </c>
      <c r="N884" s="38">
        <f>IFERROR(VLOOKUP(C:C,[1]GIT!$B:$D,3,0),)</f>
        <v>0</v>
      </c>
      <c r="O884" s="38">
        <f>IFERROR(VLOOKUP(A:A,[2]Sheet1!$A:$B,2,0),)</f>
        <v>0</v>
      </c>
      <c r="P884" s="38">
        <f>IFERROR(VLOOKUP(A:A,[2]Sheet1!$A:$B,2,0),)</f>
        <v>0</v>
      </c>
      <c r="Q884" s="38">
        <f t="shared" si="13"/>
        <v>0</v>
      </c>
      <c r="R884" s="38"/>
      <c r="S884" s="38"/>
    </row>
    <row r="885" spans="1:19" hidden="1" x14ac:dyDescent="0.25">
      <c r="A885" s="38" t="str">
        <f>F885&amp;C885</f>
        <v/>
      </c>
      <c r="B885" s="38" t="str">
        <f>IF(J885&gt;=SUMIFS(E:E,C:C,C885),"Good to go","Short in Qty")</f>
        <v>Good to go</v>
      </c>
      <c r="C885" s="40"/>
      <c r="D885" s="40"/>
      <c r="E885" s="66"/>
      <c r="F885" s="38"/>
      <c r="G885" s="40"/>
      <c r="H885" s="38"/>
      <c r="I885" s="38"/>
      <c r="J885" s="38">
        <f>IFERROR(VLOOKUP(C:C,'[1]S&amp;S'!$B:$F,5,0),)</f>
        <v>0</v>
      </c>
      <c r="K885" s="38">
        <f>IFERROR(VLOOKUP(A:A,[1]APO!$A:$F,6,0),)</f>
        <v>0</v>
      </c>
      <c r="L885" s="38">
        <f>IFERROR(VLOOKUP(C:C,'[1]TOTAL APO'!$A:$B,2,0),)</f>
        <v>0</v>
      </c>
      <c r="M885" s="38">
        <f>IFERROR(VLOOKUP(A:A,[1]Short!$A:$Q,17,0),)</f>
        <v>0</v>
      </c>
      <c r="N885" s="38">
        <f>IFERROR(VLOOKUP(C:C,[1]GIT!$B:$D,3,0),)</f>
        <v>0</v>
      </c>
      <c r="O885" s="38">
        <f>IFERROR(VLOOKUP(A:A,[2]Sheet1!$A:$B,2,0),)</f>
        <v>0</v>
      </c>
      <c r="P885" s="38">
        <f>IFERROR(VLOOKUP(A:A,[2]Sheet1!$A:$B,2,0),)</f>
        <v>0</v>
      </c>
      <c r="Q885" s="38">
        <f t="shared" si="13"/>
        <v>0</v>
      </c>
      <c r="R885" s="38"/>
      <c r="S885" s="38"/>
    </row>
    <row r="886" spans="1:19" hidden="1" x14ac:dyDescent="0.25">
      <c r="A886" s="38" t="str">
        <f>F886&amp;C886</f>
        <v/>
      </c>
      <c r="B886" s="38" t="str">
        <f>IF(J886&gt;=SUMIFS(E:E,C:C,C886),"Good to go","Short in Qty")</f>
        <v>Good to go</v>
      </c>
      <c r="C886" s="40"/>
      <c r="D886" s="40"/>
      <c r="E886" s="66"/>
      <c r="F886" s="38"/>
      <c r="G886" s="40"/>
      <c r="H886" s="38"/>
      <c r="I886" s="38"/>
      <c r="J886" s="38">
        <f>IFERROR(VLOOKUP(C:C,'[1]S&amp;S'!$B:$F,5,0),)</f>
        <v>0</v>
      </c>
      <c r="K886" s="38">
        <f>IFERROR(VLOOKUP(A:A,[1]APO!$A:$F,6,0),)</f>
        <v>0</v>
      </c>
      <c r="L886" s="38">
        <f>IFERROR(VLOOKUP(C:C,'[1]TOTAL APO'!$A:$B,2,0),)</f>
        <v>0</v>
      </c>
      <c r="M886" s="38">
        <f>IFERROR(VLOOKUP(A:A,[1]Short!$A:$Q,17,0),)</f>
        <v>0</v>
      </c>
      <c r="N886" s="38">
        <f>IFERROR(VLOOKUP(C:C,[1]GIT!$B:$D,3,0),)</f>
        <v>0</v>
      </c>
      <c r="O886" s="38">
        <f>IFERROR(VLOOKUP(A:A,[2]Sheet1!$A:$B,2,0),)</f>
        <v>0</v>
      </c>
      <c r="P886" s="38">
        <f>IFERROR(VLOOKUP(A:A,[2]Sheet1!$A:$B,2,0),)</f>
        <v>0</v>
      </c>
      <c r="Q886" s="38">
        <f t="shared" si="13"/>
        <v>0</v>
      </c>
      <c r="R886" s="38"/>
      <c r="S886" s="38"/>
    </row>
    <row r="887" spans="1:19" hidden="1" x14ac:dyDescent="0.25">
      <c r="A887" s="38" t="str">
        <f>F887&amp;C887</f>
        <v/>
      </c>
      <c r="B887" s="38" t="str">
        <f>IF(J887&gt;=SUMIFS(E:E,C:C,C887),"Good to go","Short in Qty")</f>
        <v>Good to go</v>
      </c>
      <c r="C887" s="40"/>
      <c r="D887" s="40"/>
      <c r="E887" s="66"/>
      <c r="F887" s="38"/>
      <c r="G887" s="40"/>
      <c r="H887" s="38"/>
      <c r="I887" s="38"/>
      <c r="J887" s="38">
        <f>IFERROR(VLOOKUP(C:C,'[1]S&amp;S'!$B:$F,5,0),)</f>
        <v>0</v>
      </c>
      <c r="K887" s="38">
        <f>IFERROR(VLOOKUP(A:A,[1]APO!$A:$F,6,0),)</f>
        <v>0</v>
      </c>
      <c r="L887" s="38">
        <f>IFERROR(VLOOKUP(C:C,'[1]TOTAL APO'!$A:$B,2,0),)</f>
        <v>0</v>
      </c>
      <c r="M887" s="38">
        <f>IFERROR(VLOOKUP(A:A,[1]Short!$A:$Q,17,0),)</f>
        <v>0</v>
      </c>
      <c r="N887" s="38">
        <f>IFERROR(VLOOKUP(C:C,[1]GIT!$B:$D,3,0),)</f>
        <v>0</v>
      </c>
      <c r="O887" s="38">
        <f>IFERROR(VLOOKUP(A:A,[2]Sheet1!$A:$B,2,0),)</f>
        <v>0</v>
      </c>
      <c r="P887" s="38">
        <f>IFERROR(VLOOKUP(A:A,[2]Sheet1!$A:$B,2,0),)</f>
        <v>0</v>
      </c>
      <c r="Q887" s="38">
        <f t="shared" si="13"/>
        <v>0</v>
      </c>
      <c r="R887" s="38"/>
      <c r="S887" s="38"/>
    </row>
    <row r="888" spans="1:19" hidden="1" x14ac:dyDescent="0.25">
      <c r="A888" s="38" t="str">
        <f>F888&amp;C888</f>
        <v/>
      </c>
      <c r="B888" s="38" t="str">
        <f>IF(J888&gt;=SUMIFS(E:E,C:C,C888),"Good to go","Short in Qty")</f>
        <v>Good to go</v>
      </c>
      <c r="C888" s="40"/>
      <c r="D888" s="40"/>
      <c r="E888" s="66"/>
      <c r="F888" s="38"/>
      <c r="G888" s="40"/>
      <c r="H888" s="38"/>
      <c r="I888" s="38"/>
      <c r="J888" s="38">
        <f>IFERROR(VLOOKUP(C:C,'[1]S&amp;S'!$B:$F,5,0),)</f>
        <v>0</v>
      </c>
      <c r="K888" s="38">
        <f>IFERROR(VLOOKUP(A:A,[1]APO!$A:$F,6,0),)</f>
        <v>0</v>
      </c>
      <c r="L888" s="38">
        <f>IFERROR(VLOOKUP(C:C,'[1]TOTAL APO'!$A:$B,2,0),)</f>
        <v>0</v>
      </c>
      <c r="M888" s="38">
        <f>IFERROR(VLOOKUP(A:A,[1]Short!$A:$Q,17,0),)</f>
        <v>0</v>
      </c>
      <c r="N888" s="38">
        <f>IFERROR(VLOOKUP(C:C,[1]GIT!$B:$D,3,0),)</f>
        <v>0</v>
      </c>
      <c r="O888" s="38">
        <f>IFERROR(VLOOKUP(A:A,[2]Sheet1!$A:$B,2,0),)</f>
        <v>0</v>
      </c>
      <c r="P888" s="38">
        <f>IFERROR(VLOOKUP(A:A,[2]Sheet1!$A:$B,2,0),)</f>
        <v>0</v>
      </c>
      <c r="Q888" s="38">
        <f t="shared" si="13"/>
        <v>0</v>
      </c>
      <c r="R888" s="38"/>
      <c r="S888" s="38"/>
    </row>
    <row r="889" spans="1:19" hidden="1" x14ac:dyDescent="0.25">
      <c r="A889" s="38" t="str">
        <f>F889&amp;C889</f>
        <v/>
      </c>
      <c r="B889" s="38" t="str">
        <f>IF(J889&gt;=SUMIFS(E:E,C:C,C889),"Good to go","Short in Qty")</f>
        <v>Good to go</v>
      </c>
      <c r="C889" s="40"/>
      <c r="D889" s="40"/>
      <c r="E889" s="66"/>
      <c r="F889" s="38"/>
      <c r="G889" s="40"/>
      <c r="H889" s="38"/>
      <c r="I889" s="38"/>
      <c r="J889" s="38">
        <f>IFERROR(VLOOKUP(C:C,'[1]S&amp;S'!$B:$F,5,0),)</f>
        <v>0</v>
      </c>
      <c r="K889" s="38">
        <f>IFERROR(VLOOKUP(A:A,[1]APO!$A:$F,6,0),)</f>
        <v>0</v>
      </c>
      <c r="L889" s="38">
        <f>IFERROR(VLOOKUP(C:C,'[1]TOTAL APO'!$A:$B,2,0),)</f>
        <v>0</v>
      </c>
      <c r="M889" s="38">
        <f>IFERROR(VLOOKUP(A:A,[1]Short!$A:$Q,17,0),)</f>
        <v>0</v>
      </c>
      <c r="N889" s="38">
        <f>IFERROR(VLOOKUP(C:C,[1]GIT!$B:$D,3,0),)</f>
        <v>0</v>
      </c>
      <c r="O889" s="38">
        <f>IFERROR(VLOOKUP(A:A,[2]Sheet1!$A:$B,2,0),)</f>
        <v>0</v>
      </c>
      <c r="P889" s="38">
        <f>IFERROR(VLOOKUP(A:A,[2]Sheet1!$A:$B,2,0),)</f>
        <v>0</v>
      </c>
      <c r="Q889" s="38">
        <f t="shared" si="13"/>
        <v>0</v>
      </c>
      <c r="R889" s="38"/>
      <c r="S889" s="38"/>
    </row>
    <row r="890" spans="1:19" hidden="1" x14ac:dyDescent="0.25">
      <c r="A890" s="38" t="str">
        <f>F890&amp;C890</f>
        <v/>
      </c>
      <c r="B890" s="38" t="str">
        <f>IF(J890&gt;=SUMIFS(E:E,C:C,C890),"Good to go","Short in Qty")</f>
        <v>Good to go</v>
      </c>
      <c r="C890" s="40"/>
      <c r="D890" s="40"/>
      <c r="E890" s="66"/>
      <c r="F890" s="38"/>
      <c r="G890" s="40"/>
      <c r="H890" s="38"/>
      <c r="I890" s="38"/>
      <c r="J890" s="38">
        <f>IFERROR(VLOOKUP(C:C,'[1]S&amp;S'!$B:$F,5,0),)</f>
        <v>0</v>
      </c>
      <c r="K890" s="38">
        <f>IFERROR(VLOOKUP(A:A,[1]APO!$A:$F,6,0),)</f>
        <v>0</v>
      </c>
      <c r="L890" s="38">
        <f>IFERROR(VLOOKUP(C:C,'[1]TOTAL APO'!$A:$B,2,0),)</f>
        <v>0</v>
      </c>
      <c r="M890" s="38">
        <f>IFERROR(VLOOKUP(A:A,[1]Short!$A:$Q,17,0),)</f>
        <v>0</v>
      </c>
      <c r="N890" s="38">
        <f>IFERROR(VLOOKUP(C:C,[1]GIT!$B:$D,3,0),)</f>
        <v>0</v>
      </c>
      <c r="O890" s="38">
        <f>IFERROR(VLOOKUP(A:A,[2]Sheet1!$A:$B,2,0),)</f>
        <v>0</v>
      </c>
      <c r="P890" s="38">
        <f>IFERROR(VLOOKUP(A:A,[2]Sheet1!$A:$B,2,0),)</f>
        <v>0</v>
      </c>
      <c r="Q890" s="38">
        <f t="shared" si="13"/>
        <v>0</v>
      </c>
      <c r="R890" s="38"/>
      <c r="S890" s="38"/>
    </row>
    <row r="891" spans="1:19" hidden="1" x14ac:dyDescent="0.25">
      <c r="A891" s="38" t="str">
        <f>F891&amp;C891</f>
        <v/>
      </c>
      <c r="B891" s="38" t="str">
        <f>IF(J891&gt;=SUMIFS(E:E,C:C,C891),"Good to go","Short in Qty")</f>
        <v>Good to go</v>
      </c>
      <c r="C891" s="40"/>
      <c r="D891" s="40"/>
      <c r="E891" s="66"/>
      <c r="F891" s="38"/>
      <c r="G891" s="40"/>
      <c r="H891" s="38"/>
      <c r="I891" s="38"/>
      <c r="J891" s="38">
        <f>IFERROR(VLOOKUP(C:C,'[1]S&amp;S'!$B:$F,5,0),)</f>
        <v>0</v>
      </c>
      <c r="K891" s="38">
        <f>IFERROR(VLOOKUP(A:A,[1]APO!$A:$F,6,0),)</f>
        <v>0</v>
      </c>
      <c r="L891" s="38">
        <f>IFERROR(VLOOKUP(C:C,'[1]TOTAL APO'!$A:$B,2,0),)</f>
        <v>0</v>
      </c>
      <c r="M891" s="38">
        <f>IFERROR(VLOOKUP(A:A,[1]Short!$A:$Q,17,0),)</f>
        <v>0</v>
      </c>
      <c r="N891" s="38">
        <f>IFERROR(VLOOKUP(C:C,[1]GIT!$B:$D,3,0),)</f>
        <v>0</v>
      </c>
      <c r="O891" s="38">
        <f>IFERROR(VLOOKUP(A:A,[2]Sheet1!$A:$B,2,0),)</f>
        <v>0</v>
      </c>
      <c r="P891" s="38">
        <f>IFERROR(VLOOKUP(A:A,[2]Sheet1!$A:$B,2,0),)</f>
        <v>0</v>
      </c>
      <c r="Q891" s="38">
        <f t="shared" si="13"/>
        <v>0</v>
      </c>
      <c r="R891" s="38"/>
      <c r="S891" s="38"/>
    </row>
    <row r="892" spans="1:19" hidden="1" x14ac:dyDescent="0.25">
      <c r="A892" s="38" t="str">
        <f>F892&amp;C892</f>
        <v/>
      </c>
      <c r="B892" s="38" t="str">
        <f>IF(J892&gt;=SUMIFS(E:E,C:C,C892),"Good to go","Short in Qty")</f>
        <v>Good to go</v>
      </c>
      <c r="C892" s="40"/>
      <c r="D892" s="40"/>
      <c r="E892" s="66"/>
      <c r="F892" s="38"/>
      <c r="G892" s="40"/>
      <c r="H892" s="38"/>
      <c r="I892" s="38"/>
      <c r="J892" s="38">
        <f>IFERROR(VLOOKUP(C:C,'[1]S&amp;S'!$B:$F,5,0),)</f>
        <v>0</v>
      </c>
      <c r="K892" s="38">
        <f>IFERROR(VLOOKUP(A:A,[1]APO!$A:$F,6,0),)</f>
        <v>0</v>
      </c>
      <c r="L892" s="38">
        <f>IFERROR(VLOOKUP(C:C,'[1]TOTAL APO'!$A:$B,2,0),)</f>
        <v>0</v>
      </c>
      <c r="M892" s="38">
        <f>IFERROR(VLOOKUP(A:A,[1]Short!$A:$Q,17,0),)</f>
        <v>0</v>
      </c>
      <c r="N892" s="38">
        <f>IFERROR(VLOOKUP(C:C,[1]GIT!$B:$D,3,0),)</f>
        <v>0</v>
      </c>
      <c r="O892" s="38">
        <f>IFERROR(VLOOKUP(A:A,[2]Sheet1!$A:$B,2,0),)</f>
        <v>0</v>
      </c>
      <c r="P892" s="38">
        <f>IFERROR(VLOOKUP(A:A,[2]Sheet1!$A:$B,2,0),)</f>
        <v>0</v>
      </c>
      <c r="Q892" s="38">
        <f t="shared" si="13"/>
        <v>0</v>
      </c>
      <c r="R892" s="38"/>
      <c r="S892" s="38"/>
    </row>
    <row r="893" spans="1:19" hidden="1" x14ac:dyDescent="0.25">
      <c r="A893" s="38" t="str">
        <f>F893&amp;C893</f>
        <v/>
      </c>
      <c r="B893" s="38" t="str">
        <f>IF(J893&gt;=SUMIFS(E:E,C:C,C893),"Good to go","Short in Qty")</f>
        <v>Good to go</v>
      </c>
      <c r="C893" s="40"/>
      <c r="D893" s="40"/>
      <c r="E893" s="66"/>
      <c r="F893" s="38"/>
      <c r="G893" s="40"/>
      <c r="H893" s="38"/>
      <c r="I893" s="38"/>
      <c r="J893" s="38">
        <f>IFERROR(VLOOKUP(C:C,'[1]S&amp;S'!$B:$F,5,0),)</f>
        <v>0</v>
      </c>
      <c r="K893" s="38">
        <f>IFERROR(VLOOKUP(A:A,[1]APO!$A:$F,6,0),)</f>
        <v>0</v>
      </c>
      <c r="L893" s="38">
        <f>IFERROR(VLOOKUP(C:C,'[1]TOTAL APO'!$A:$B,2,0),)</f>
        <v>0</v>
      </c>
      <c r="M893" s="38">
        <f>IFERROR(VLOOKUP(A:A,[1]Short!$A:$Q,17,0),)</f>
        <v>0</v>
      </c>
      <c r="N893" s="38">
        <f>IFERROR(VLOOKUP(C:C,[1]GIT!$B:$D,3,0),)</f>
        <v>0</v>
      </c>
      <c r="O893" s="38">
        <f>IFERROR(VLOOKUP(A:A,[2]Sheet1!$A:$B,2,0),)</f>
        <v>0</v>
      </c>
      <c r="P893" s="38">
        <f>IFERROR(VLOOKUP(A:A,[2]Sheet1!$A:$B,2,0),)</f>
        <v>0</v>
      </c>
      <c r="Q893" s="38">
        <f t="shared" si="13"/>
        <v>0</v>
      </c>
      <c r="R893" s="38"/>
      <c r="S893" s="38"/>
    </row>
    <row r="894" spans="1:19" hidden="1" x14ac:dyDescent="0.25">
      <c r="A894" s="38" t="str">
        <f>F894&amp;C894</f>
        <v/>
      </c>
      <c r="B894" s="38" t="str">
        <f>IF(J894&gt;=SUMIFS(E:E,C:C,C894),"Good to go","Short in Qty")</f>
        <v>Good to go</v>
      </c>
      <c r="C894" s="40"/>
      <c r="D894" s="40"/>
      <c r="E894" s="66"/>
      <c r="F894" s="38"/>
      <c r="G894" s="40"/>
      <c r="H894" s="38"/>
      <c r="I894" s="38"/>
      <c r="J894" s="38">
        <f>IFERROR(VLOOKUP(C:C,'[1]S&amp;S'!$B:$F,5,0),)</f>
        <v>0</v>
      </c>
      <c r="K894" s="38">
        <f>IFERROR(VLOOKUP(A:A,[1]APO!$A:$F,6,0),)</f>
        <v>0</v>
      </c>
      <c r="L894" s="38">
        <f>IFERROR(VLOOKUP(C:C,'[1]TOTAL APO'!$A:$B,2,0),)</f>
        <v>0</v>
      </c>
      <c r="M894" s="38">
        <f>IFERROR(VLOOKUP(A:A,[1]Short!$A:$Q,17,0),)</f>
        <v>0</v>
      </c>
      <c r="N894" s="38">
        <f>IFERROR(VLOOKUP(C:C,[1]GIT!$B:$D,3,0),)</f>
        <v>0</v>
      </c>
      <c r="O894" s="38">
        <f>IFERROR(VLOOKUP(A:A,[2]Sheet1!$A:$B,2,0),)</f>
        <v>0</v>
      </c>
      <c r="P894" s="38">
        <f>IFERROR(VLOOKUP(A:A,[2]Sheet1!$A:$B,2,0),)</f>
        <v>0</v>
      </c>
      <c r="Q894" s="38">
        <f t="shared" si="13"/>
        <v>0</v>
      </c>
      <c r="R894" s="38"/>
      <c r="S894" s="38"/>
    </row>
    <row r="895" spans="1:19" hidden="1" x14ac:dyDescent="0.25">
      <c r="A895" s="38" t="str">
        <f>F895&amp;C895</f>
        <v/>
      </c>
      <c r="B895" s="38" t="str">
        <f>IF(J895&gt;=SUMIFS(E:E,C:C,C895),"Good to go","Short in Qty")</f>
        <v>Good to go</v>
      </c>
      <c r="C895" s="40"/>
      <c r="D895" s="40"/>
      <c r="E895" s="66"/>
      <c r="F895" s="38"/>
      <c r="G895" s="40"/>
      <c r="H895" s="38"/>
      <c r="I895" s="38"/>
      <c r="J895" s="38">
        <f>IFERROR(VLOOKUP(C:C,'[1]S&amp;S'!$B:$F,5,0),)</f>
        <v>0</v>
      </c>
      <c r="K895" s="38">
        <f>IFERROR(VLOOKUP(A:A,[1]APO!$A:$F,6,0),)</f>
        <v>0</v>
      </c>
      <c r="L895" s="38">
        <f>IFERROR(VLOOKUP(C:C,'[1]TOTAL APO'!$A:$B,2,0),)</f>
        <v>0</v>
      </c>
      <c r="M895" s="38">
        <f>IFERROR(VLOOKUP(A:A,[1]Short!$A:$Q,17,0),)</f>
        <v>0</v>
      </c>
      <c r="N895" s="38">
        <f>IFERROR(VLOOKUP(C:C,[1]GIT!$B:$D,3,0),)</f>
        <v>0</v>
      </c>
      <c r="O895" s="38">
        <f>IFERROR(VLOOKUP(A:A,[2]Sheet1!$A:$B,2,0),)</f>
        <v>0</v>
      </c>
      <c r="P895" s="38">
        <f>IFERROR(VLOOKUP(A:A,[2]Sheet1!$A:$B,2,0),)</f>
        <v>0</v>
      </c>
      <c r="Q895" s="38">
        <f t="shared" si="13"/>
        <v>0</v>
      </c>
      <c r="R895" s="38"/>
      <c r="S895" s="38"/>
    </row>
    <row r="896" spans="1:19" hidden="1" x14ac:dyDescent="0.25">
      <c r="A896" s="38" t="str">
        <f>F896&amp;C896</f>
        <v/>
      </c>
      <c r="B896" s="38" t="str">
        <f>IF(J896&gt;=SUMIFS(E:E,C:C,C896),"Good to go","Short in Qty")</f>
        <v>Good to go</v>
      </c>
      <c r="C896" s="40"/>
      <c r="D896" s="40"/>
      <c r="E896" s="66"/>
      <c r="F896" s="38"/>
      <c r="G896" s="40"/>
      <c r="H896" s="38"/>
      <c r="I896" s="38"/>
      <c r="J896" s="38">
        <f>IFERROR(VLOOKUP(C:C,'[1]S&amp;S'!$B:$F,5,0),)</f>
        <v>0</v>
      </c>
      <c r="K896" s="38">
        <f>IFERROR(VLOOKUP(A:A,[1]APO!$A:$F,6,0),)</f>
        <v>0</v>
      </c>
      <c r="L896" s="38">
        <f>IFERROR(VLOOKUP(C:C,'[1]TOTAL APO'!$A:$B,2,0),)</f>
        <v>0</v>
      </c>
      <c r="M896" s="38">
        <f>IFERROR(VLOOKUP(A:A,[1]Short!$A:$Q,17,0),)</f>
        <v>0</v>
      </c>
      <c r="N896" s="38">
        <f>IFERROR(VLOOKUP(C:C,[1]GIT!$B:$D,3,0),)</f>
        <v>0</v>
      </c>
      <c r="O896" s="38">
        <f>IFERROR(VLOOKUP(A:A,[2]Sheet1!$A:$B,2,0),)</f>
        <v>0</v>
      </c>
      <c r="P896" s="38">
        <f>IFERROR(VLOOKUP(A:A,[2]Sheet1!$A:$B,2,0),)</f>
        <v>0</v>
      </c>
      <c r="Q896" s="38">
        <f t="shared" si="13"/>
        <v>0</v>
      </c>
      <c r="R896" s="38"/>
      <c r="S896" s="38"/>
    </row>
    <row r="897" spans="1:19" hidden="1" x14ac:dyDescent="0.25">
      <c r="A897" s="38" t="str">
        <f>F897&amp;C897</f>
        <v/>
      </c>
      <c r="B897" s="38" t="str">
        <f>IF(J897&gt;=SUMIFS(E:E,C:C,C897),"Good to go","Short in Qty")</f>
        <v>Good to go</v>
      </c>
      <c r="C897" s="40"/>
      <c r="D897" s="40"/>
      <c r="E897" s="66"/>
      <c r="F897" s="38"/>
      <c r="G897" s="40"/>
      <c r="H897" s="38"/>
      <c r="I897" s="38"/>
      <c r="J897" s="38">
        <f>IFERROR(VLOOKUP(C:C,'[1]S&amp;S'!$B:$F,5,0),)</f>
        <v>0</v>
      </c>
      <c r="K897" s="38">
        <f>IFERROR(VLOOKUP(A:A,[1]APO!$A:$F,6,0),)</f>
        <v>0</v>
      </c>
      <c r="L897" s="38">
        <f>IFERROR(VLOOKUP(C:C,'[1]TOTAL APO'!$A:$B,2,0),)</f>
        <v>0</v>
      </c>
      <c r="M897" s="38">
        <f>IFERROR(VLOOKUP(A:A,[1]Short!$A:$Q,17,0),)</f>
        <v>0</v>
      </c>
      <c r="N897" s="38">
        <f>IFERROR(VLOOKUP(C:C,[1]GIT!$B:$D,3,0),)</f>
        <v>0</v>
      </c>
      <c r="O897" s="38">
        <f>IFERROR(VLOOKUP(A:A,[2]Sheet1!$A:$B,2,0),)</f>
        <v>0</v>
      </c>
      <c r="P897" s="38">
        <f>IFERROR(VLOOKUP(A:A,[2]Sheet1!$A:$B,2,0),)</f>
        <v>0</v>
      </c>
      <c r="Q897" s="38">
        <f t="shared" si="13"/>
        <v>0</v>
      </c>
      <c r="R897" s="38"/>
      <c r="S897" s="38"/>
    </row>
    <row r="898" spans="1:19" hidden="1" x14ac:dyDescent="0.25">
      <c r="A898" s="38" t="str">
        <f>F898&amp;C898</f>
        <v/>
      </c>
      <c r="B898" s="38" t="str">
        <f>IF(J898&gt;=SUMIFS(E:E,C:C,C898),"Good to go","Short in Qty")</f>
        <v>Good to go</v>
      </c>
      <c r="C898" s="40"/>
      <c r="D898" s="40"/>
      <c r="E898" s="66"/>
      <c r="F898" s="38"/>
      <c r="G898" s="40"/>
      <c r="H898" s="38"/>
      <c r="I898" s="38"/>
      <c r="J898" s="38">
        <f>IFERROR(VLOOKUP(C:C,'[1]S&amp;S'!$B:$F,5,0),)</f>
        <v>0</v>
      </c>
      <c r="K898" s="38">
        <f>IFERROR(VLOOKUP(A:A,[1]APO!$A:$F,6,0),)</f>
        <v>0</v>
      </c>
      <c r="L898" s="38">
        <f>IFERROR(VLOOKUP(C:C,'[1]TOTAL APO'!$A:$B,2,0),)</f>
        <v>0</v>
      </c>
      <c r="M898" s="38">
        <f>IFERROR(VLOOKUP(A:A,[1]Short!$A:$Q,17,0),)</f>
        <v>0</v>
      </c>
      <c r="N898" s="38">
        <f>IFERROR(VLOOKUP(C:C,[1]GIT!$B:$D,3,0),)</f>
        <v>0</v>
      </c>
      <c r="O898" s="38">
        <f>IFERROR(VLOOKUP(A:A,[2]Sheet1!$A:$B,2,0),)</f>
        <v>0</v>
      </c>
      <c r="P898" s="38">
        <f>IFERROR(VLOOKUP(A:A,[2]Sheet1!$A:$B,2,0),)</f>
        <v>0</v>
      </c>
      <c r="Q898" s="38">
        <f t="shared" si="13"/>
        <v>0</v>
      </c>
      <c r="R898" s="38"/>
      <c r="S898" s="38"/>
    </row>
    <row r="899" spans="1:19" hidden="1" x14ac:dyDescent="0.25">
      <c r="A899" s="38" t="str">
        <f>F899&amp;C899</f>
        <v/>
      </c>
      <c r="B899" s="38" t="str">
        <f>IF(J899&gt;=SUMIFS(E:E,C:C,C899),"Good to go","Short in Qty")</f>
        <v>Good to go</v>
      </c>
      <c r="C899" s="40"/>
      <c r="D899" s="40"/>
      <c r="E899" s="66"/>
      <c r="F899" s="38"/>
      <c r="G899" s="40"/>
      <c r="H899" s="38"/>
      <c r="I899" s="38"/>
      <c r="J899" s="38">
        <f>IFERROR(VLOOKUP(C:C,'[1]S&amp;S'!$B:$F,5,0),)</f>
        <v>0</v>
      </c>
      <c r="K899" s="38">
        <f>IFERROR(VLOOKUP(A:A,[1]APO!$A:$F,6,0),)</f>
        <v>0</v>
      </c>
      <c r="L899" s="38">
        <f>IFERROR(VLOOKUP(C:C,'[1]TOTAL APO'!$A:$B,2,0),)</f>
        <v>0</v>
      </c>
      <c r="M899" s="38">
        <f>IFERROR(VLOOKUP(A:A,[1]Short!$A:$Q,17,0),)</f>
        <v>0</v>
      </c>
      <c r="N899" s="38">
        <f>IFERROR(VLOOKUP(C:C,[1]GIT!$B:$D,3,0),)</f>
        <v>0</v>
      </c>
      <c r="O899" s="38">
        <f>IFERROR(VLOOKUP(A:A,[2]Sheet1!$A:$B,2,0),)</f>
        <v>0</v>
      </c>
      <c r="P899" s="38">
        <f>IFERROR(VLOOKUP(A:A,[2]Sheet1!$A:$B,2,0),)</f>
        <v>0</v>
      </c>
      <c r="Q899" s="38">
        <f t="shared" ref="Q899:Q962" si="14">+E899-P899</f>
        <v>0</v>
      </c>
      <c r="R899" s="38"/>
      <c r="S899" s="38"/>
    </row>
    <row r="900" spans="1:19" hidden="1" x14ac:dyDescent="0.25">
      <c r="A900" s="38" t="str">
        <f>F900&amp;C900</f>
        <v/>
      </c>
      <c r="B900" s="38" t="str">
        <f>IF(J900&gt;=SUMIFS(E:E,C:C,C900),"Good to go","Short in Qty")</f>
        <v>Good to go</v>
      </c>
      <c r="C900" s="40"/>
      <c r="D900" s="40"/>
      <c r="E900" s="66"/>
      <c r="F900" s="38"/>
      <c r="G900" s="40"/>
      <c r="H900" s="38"/>
      <c r="I900" s="38"/>
      <c r="J900" s="38">
        <f>IFERROR(VLOOKUP(C:C,'[1]S&amp;S'!$B:$F,5,0),)</f>
        <v>0</v>
      </c>
      <c r="K900" s="38">
        <f>IFERROR(VLOOKUP(A:A,[1]APO!$A:$F,6,0),)</f>
        <v>0</v>
      </c>
      <c r="L900" s="38">
        <f>IFERROR(VLOOKUP(C:C,'[1]TOTAL APO'!$A:$B,2,0),)</f>
        <v>0</v>
      </c>
      <c r="M900" s="38">
        <f>IFERROR(VLOOKUP(A:A,[1]Short!$A:$Q,17,0),)</f>
        <v>0</v>
      </c>
      <c r="N900" s="38">
        <f>IFERROR(VLOOKUP(C:C,[1]GIT!$B:$D,3,0),)</f>
        <v>0</v>
      </c>
      <c r="O900" s="38">
        <f>IFERROR(VLOOKUP(A:A,[2]Sheet1!$A:$B,2,0),)</f>
        <v>0</v>
      </c>
      <c r="P900" s="38">
        <f>IFERROR(VLOOKUP(A:A,[2]Sheet1!$A:$B,2,0),)</f>
        <v>0</v>
      </c>
      <c r="Q900" s="38">
        <f t="shared" si="14"/>
        <v>0</v>
      </c>
      <c r="R900" s="38"/>
      <c r="S900" s="38"/>
    </row>
    <row r="901" spans="1:19" hidden="1" x14ac:dyDescent="0.25">
      <c r="A901" s="38" t="str">
        <f>F901&amp;C901</f>
        <v/>
      </c>
      <c r="B901" s="38" t="str">
        <f>IF(J901&gt;=SUMIFS(E:E,C:C,C901),"Good to go","Short in Qty")</f>
        <v>Good to go</v>
      </c>
      <c r="C901" s="40"/>
      <c r="D901" s="40"/>
      <c r="E901" s="66"/>
      <c r="F901" s="38"/>
      <c r="G901" s="40"/>
      <c r="H901" s="38"/>
      <c r="I901" s="38"/>
      <c r="J901" s="38">
        <f>IFERROR(VLOOKUP(C:C,'[1]S&amp;S'!$B:$F,5,0),)</f>
        <v>0</v>
      </c>
      <c r="K901" s="38">
        <f>IFERROR(VLOOKUP(A:A,[1]APO!$A:$F,6,0),)</f>
        <v>0</v>
      </c>
      <c r="L901" s="38">
        <f>IFERROR(VLOOKUP(C:C,'[1]TOTAL APO'!$A:$B,2,0),)</f>
        <v>0</v>
      </c>
      <c r="M901" s="38">
        <f>IFERROR(VLOOKUP(A:A,[1]Short!$A:$Q,17,0),)</f>
        <v>0</v>
      </c>
      <c r="N901" s="38">
        <f>IFERROR(VLOOKUP(C:C,[1]GIT!$B:$D,3,0),)</f>
        <v>0</v>
      </c>
      <c r="O901" s="38">
        <f>IFERROR(VLOOKUP(A:A,[2]Sheet1!$A:$B,2,0),)</f>
        <v>0</v>
      </c>
      <c r="P901" s="38">
        <f>IFERROR(VLOOKUP(A:A,[2]Sheet1!$A:$B,2,0),)</f>
        <v>0</v>
      </c>
      <c r="Q901" s="38">
        <f t="shared" si="14"/>
        <v>0</v>
      </c>
      <c r="R901" s="38"/>
      <c r="S901" s="38"/>
    </row>
    <row r="902" spans="1:19" hidden="1" x14ac:dyDescent="0.25">
      <c r="A902" s="38" t="str">
        <f>F902&amp;C902</f>
        <v/>
      </c>
      <c r="B902" s="38" t="str">
        <f>IF(J902&gt;=SUMIFS(E:E,C:C,C902),"Good to go","Short in Qty")</f>
        <v>Good to go</v>
      </c>
      <c r="C902" s="40"/>
      <c r="D902" s="40"/>
      <c r="E902" s="66"/>
      <c r="F902" s="38"/>
      <c r="G902" s="40"/>
      <c r="H902" s="38"/>
      <c r="I902" s="38"/>
      <c r="J902" s="38">
        <f>IFERROR(VLOOKUP(C:C,'[1]S&amp;S'!$B:$F,5,0),)</f>
        <v>0</v>
      </c>
      <c r="K902" s="38">
        <f>IFERROR(VLOOKUP(A:A,[1]APO!$A:$F,6,0),)</f>
        <v>0</v>
      </c>
      <c r="L902" s="38">
        <f>IFERROR(VLOOKUP(C:C,'[1]TOTAL APO'!$A:$B,2,0),)</f>
        <v>0</v>
      </c>
      <c r="M902" s="38">
        <f>IFERROR(VLOOKUP(A:A,[1]Short!$A:$Q,17,0),)</f>
        <v>0</v>
      </c>
      <c r="N902" s="38">
        <f>IFERROR(VLOOKUP(C:C,[1]GIT!$B:$D,3,0),)</f>
        <v>0</v>
      </c>
      <c r="O902" s="38">
        <f>IFERROR(VLOOKUP(A:A,[2]Sheet1!$A:$B,2,0),)</f>
        <v>0</v>
      </c>
      <c r="P902" s="38">
        <f>IFERROR(VLOOKUP(A:A,[2]Sheet1!$A:$B,2,0),)</f>
        <v>0</v>
      </c>
      <c r="Q902" s="38">
        <f t="shared" si="14"/>
        <v>0</v>
      </c>
      <c r="R902" s="38"/>
      <c r="S902" s="38"/>
    </row>
    <row r="903" spans="1:19" hidden="1" x14ac:dyDescent="0.25">
      <c r="A903" s="38" t="str">
        <f>F903&amp;C903</f>
        <v/>
      </c>
      <c r="B903" s="38" t="str">
        <f>IF(J903&gt;=SUMIFS(E:E,C:C,C903),"Good to go","Short in Qty")</f>
        <v>Good to go</v>
      </c>
      <c r="C903" s="40"/>
      <c r="D903" s="40"/>
      <c r="E903" s="66"/>
      <c r="F903" s="38"/>
      <c r="G903" s="40"/>
      <c r="H903" s="38"/>
      <c r="I903" s="38"/>
      <c r="J903" s="38">
        <f>IFERROR(VLOOKUP(C:C,'[1]S&amp;S'!$B:$F,5,0),)</f>
        <v>0</v>
      </c>
      <c r="K903" s="38">
        <f>IFERROR(VLOOKUP(A:A,[1]APO!$A:$F,6,0),)</f>
        <v>0</v>
      </c>
      <c r="L903" s="38">
        <f>IFERROR(VLOOKUP(C:C,'[1]TOTAL APO'!$A:$B,2,0),)</f>
        <v>0</v>
      </c>
      <c r="M903" s="38">
        <f>IFERROR(VLOOKUP(A:A,[1]Short!$A:$Q,17,0),)</f>
        <v>0</v>
      </c>
      <c r="N903" s="38">
        <f>IFERROR(VLOOKUP(C:C,[1]GIT!$B:$D,3,0),)</f>
        <v>0</v>
      </c>
      <c r="O903" s="38">
        <f>IFERROR(VLOOKUP(A:A,[2]Sheet1!$A:$B,2,0),)</f>
        <v>0</v>
      </c>
      <c r="P903" s="38">
        <f>IFERROR(VLOOKUP(A:A,[2]Sheet1!$A:$B,2,0),)</f>
        <v>0</v>
      </c>
      <c r="Q903" s="38">
        <f t="shared" si="14"/>
        <v>0</v>
      </c>
      <c r="R903" s="38"/>
      <c r="S903" s="38"/>
    </row>
    <row r="904" spans="1:19" hidden="1" x14ac:dyDescent="0.25">
      <c r="A904" s="38" t="str">
        <f>F904&amp;C904</f>
        <v/>
      </c>
      <c r="B904" s="38" t="str">
        <f>IF(J904&gt;=SUMIFS(E:E,C:C,C904),"Good to go","Short in Qty")</f>
        <v>Good to go</v>
      </c>
      <c r="C904" s="40"/>
      <c r="D904" s="40"/>
      <c r="E904" s="66"/>
      <c r="F904" s="38"/>
      <c r="G904" s="40"/>
      <c r="H904" s="38"/>
      <c r="I904" s="38"/>
      <c r="J904" s="38">
        <f>IFERROR(VLOOKUP(C:C,'[1]S&amp;S'!$B:$F,5,0),)</f>
        <v>0</v>
      </c>
      <c r="K904" s="38">
        <f>IFERROR(VLOOKUP(A:A,[1]APO!$A:$F,6,0),)</f>
        <v>0</v>
      </c>
      <c r="L904" s="38">
        <f>IFERROR(VLOOKUP(C:C,'[1]TOTAL APO'!$A:$B,2,0),)</f>
        <v>0</v>
      </c>
      <c r="M904" s="38">
        <f>IFERROR(VLOOKUP(A:A,[1]Short!$A:$Q,17,0),)</f>
        <v>0</v>
      </c>
      <c r="N904" s="38">
        <f>IFERROR(VLOOKUP(C:C,[1]GIT!$B:$D,3,0),)</f>
        <v>0</v>
      </c>
      <c r="O904" s="38">
        <f>IFERROR(VLOOKUP(A:A,[2]Sheet1!$A:$B,2,0),)</f>
        <v>0</v>
      </c>
      <c r="P904" s="38">
        <f>IFERROR(VLOOKUP(A:A,[2]Sheet1!$A:$B,2,0),)</f>
        <v>0</v>
      </c>
      <c r="Q904" s="38">
        <f t="shared" si="14"/>
        <v>0</v>
      </c>
      <c r="R904" s="38"/>
      <c r="S904" s="38"/>
    </row>
    <row r="905" spans="1:19" hidden="1" x14ac:dyDescent="0.25">
      <c r="A905" s="38" t="str">
        <f>F905&amp;C905</f>
        <v/>
      </c>
      <c r="B905" s="38" t="str">
        <f>IF(J905&gt;=SUMIFS(E:E,C:C,C905),"Good to go","Short in Qty")</f>
        <v>Good to go</v>
      </c>
      <c r="C905" s="40"/>
      <c r="D905" s="40"/>
      <c r="E905" s="66"/>
      <c r="F905" s="38"/>
      <c r="G905" s="40"/>
      <c r="H905" s="38"/>
      <c r="I905" s="38"/>
      <c r="J905" s="38">
        <f>IFERROR(VLOOKUP(C:C,'[1]S&amp;S'!$B:$F,5,0),)</f>
        <v>0</v>
      </c>
      <c r="K905" s="38">
        <f>IFERROR(VLOOKUP(A:A,[1]APO!$A:$F,6,0),)</f>
        <v>0</v>
      </c>
      <c r="L905" s="38">
        <f>IFERROR(VLOOKUP(C:C,'[1]TOTAL APO'!$A:$B,2,0),)</f>
        <v>0</v>
      </c>
      <c r="M905" s="38">
        <f>IFERROR(VLOOKUP(A:A,[1]Short!$A:$Q,17,0),)</f>
        <v>0</v>
      </c>
      <c r="N905" s="38">
        <f>IFERROR(VLOOKUP(C:C,[1]GIT!$B:$D,3,0),)</f>
        <v>0</v>
      </c>
      <c r="O905" s="38">
        <f>IFERROR(VLOOKUP(A:A,[2]Sheet1!$A:$B,2,0),)</f>
        <v>0</v>
      </c>
      <c r="P905" s="38">
        <f>IFERROR(VLOOKUP(A:A,[2]Sheet1!$A:$B,2,0),)</f>
        <v>0</v>
      </c>
      <c r="Q905" s="38">
        <f t="shared" si="14"/>
        <v>0</v>
      </c>
      <c r="R905" s="38"/>
      <c r="S905" s="38"/>
    </row>
    <row r="906" spans="1:19" hidden="1" x14ac:dyDescent="0.25">
      <c r="A906" s="38" t="str">
        <f>F906&amp;C906</f>
        <v/>
      </c>
      <c r="B906" s="38" t="str">
        <f>IF(J906&gt;=SUMIFS(E:E,C:C,C906),"Good to go","Short in Qty")</f>
        <v>Good to go</v>
      </c>
      <c r="C906" s="40"/>
      <c r="D906" s="40"/>
      <c r="E906" s="66"/>
      <c r="F906" s="38"/>
      <c r="G906" s="40"/>
      <c r="H906" s="38"/>
      <c r="I906" s="38"/>
      <c r="J906" s="38">
        <f>IFERROR(VLOOKUP(C:C,'[1]S&amp;S'!$B:$F,5,0),)</f>
        <v>0</v>
      </c>
      <c r="K906" s="38">
        <f>IFERROR(VLOOKUP(A:A,[1]APO!$A:$F,6,0),)</f>
        <v>0</v>
      </c>
      <c r="L906" s="38">
        <f>IFERROR(VLOOKUP(C:C,'[1]TOTAL APO'!$A:$B,2,0),)</f>
        <v>0</v>
      </c>
      <c r="M906" s="38">
        <f>IFERROR(VLOOKUP(A:A,[1]Short!$A:$Q,17,0),)</f>
        <v>0</v>
      </c>
      <c r="N906" s="38">
        <f>IFERROR(VLOOKUP(C:C,[1]GIT!$B:$D,3,0),)</f>
        <v>0</v>
      </c>
      <c r="O906" s="38">
        <f>IFERROR(VLOOKUP(A:A,[2]Sheet1!$A:$B,2,0),)</f>
        <v>0</v>
      </c>
      <c r="P906" s="38">
        <f>IFERROR(VLOOKUP(A:A,[2]Sheet1!$A:$B,2,0),)</f>
        <v>0</v>
      </c>
      <c r="Q906" s="38">
        <f t="shared" si="14"/>
        <v>0</v>
      </c>
      <c r="R906" s="38"/>
      <c r="S906" s="38"/>
    </row>
    <row r="907" spans="1:19" hidden="1" x14ac:dyDescent="0.25">
      <c r="A907" s="38" t="str">
        <f>F907&amp;C907</f>
        <v/>
      </c>
      <c r="B907" s="38" t="str">
        <f>IF(J907&gt;=SUMIFS(E:E,C:C,C907),"Good to go","Short in Qty")</f>
        <v>Good to go</v>
      </c>
      <c r="C907" s="40"/>
      <c r="D907" s="40"/>
      <c r="E907" s="66"/>
      <c r="F907" s="38"/>
      <c r="G907" s="40"/>
      <c r="H907" s="38"/>
      <c r="I907" s="38"/>
      <c r="J907" s="38">
        <f>IFERROR(VLOOKUP(C:C,'[1]S&amp;S'!$B:$F,5,0),)</f>
        <v>0</v>
      </c>
      <c r="K907" s="38">
        <f>IFERROR(VLOOKUP(A:A,[1]APO!$A:$F,6,0),)</f>
        <v>0</v>
      </c>
      <c r="L907" s="38">
        <f>IFERROR(VLOOKUP(C:C,'[1]TOTAL APO'!$A:$B,2,0),)</f>
        <v>0</v>
      </c>
      <c r="M907" s="38">
        <f>IFERROR(VLOOKUP(A:A,[1]Short!$A:$Q,17,0),)</f>
        <v>0</v>
      </c>
      <c r="N907" s="38">
        <f>IFERROR(VLOOKUP(C:C,[1]GIT!$B:$D,3,0),)</f>
        <v>0</v>
      </c>
      <c r="O907" s="38">
        <f>IFERROR(VLOOKUP(A:A,[2]Sheet1!$A:$B,2,0),)</f>
        <v>0</v>
      </c>
      <c r="P907" s="38">
        <f>IFERROR(VLOOKUP(A:A,[2]Sheet1!$A:$B,2,0),)</f>
        <v>0</v>
      </c>
      <c r="Q907" s="38">
        <f t="shared" si="14"/>
        <v>0</v>
      </c>
      <c r="R907" s="38"/>
      <c r="S907" s="38"/>
    </row>
    <row r="908" spans="1:19" hidden="1" x14ac:dyDescent="0.25">
      <c r="A908" s="38" t="str">
        <f>F908&amp;C908</f>
        <v/>
      </c>
      <c r="B908" s="38" t="str">
        <f>IF(J908&gt;=SUMIFS(E:E,C:C,C908),"Good to go","Short in Qty")</f>
        <v>Good to go</v>
      </c>
      <c r="C908" s="40"/>
      <c r="D908" s="40"/>
      <c r="E908" s="66"/>
      <c r="F908" s="38"/>
      <c r="G908" s="40"/>
      <c r="H908" s="38"/>
      <c r="I908" s="38"/>
      <c r="J908" s="38">
        <f>IFERROR(VLOOKUP(C:C,'[1]S&amp;S'!$B:$F,5,0),)</f>
        <v>0</v>
      </c>
      <c r="K908" s="38">
        <f>IFERROR(VLOOKUP(A:A,[1]APO!$A:$F,6,0),)</f>
        <v>0</v>
      </c>
      <c r="L908" s="38">
        <f>IFERROR(VLOOKUP(C:C,'[1]TOTAL APO'!$A:$B,2,0),)</f>
        <v>0</v>
      </c>
      <c r="M908" s="38">
        <f>IFERROR(VLOOKUP(A:A,[1]Short!$A:$Q,17,0),)</f>
        <v>0</v>
      </c>
      <c r="N908" s="38">
        <f>IFERROR(VLOOKUP(C:C,[1]GIT!$B:$D,3,0),)</f>
        <v>0</v>
      </c>
      <c r="O908" s="38">
        <f>IFERROR(VLOOKUP(A:A,[2]Sheet1!$A:$B,2,0),)</f>
        <v>0</v>
      </c>
      <c r="P908" s="38">
        <f>IFERROR(VLOOKUP(A:A,[2]Sheet1!$A:$B,2,0),)</f>
        <v>0</v>
      </c>
      <c r="Q908" s="38">
        <f t="shared" si="14"/>
        <v>0</v>
      </c>
      <c r="R908" s="38"/>
      <c r="S908" s="38"/>
    </row>
    <row r="909" spans="1:19" hidden="1" x14ac:dyDescent="0.25">
      <c r="A909" s="38" t="str">
        <f>F909&amp;C909</f>
        <v/>
      </c>
      <c r="B909" s="38" t="str">
        <f>IF(J909&gt;=SUMIFS(E:E,C:C,C909),"Good to go","Short in Qty")</f>
        <v>Good to go</v>
      </c>
      <c r="C909" s="40"/>
      <c r="D909" s="40"/>
      <c r="E909" s="66"/>
      <c r="F909" s="38"/>
      <c r="G909" s="40"/>
      <c r="H909" s="38"/>
      <c r="I909" s="38"/>
      <c r="J909" s="38">
        <f>IFERROR(VLOOKUP(C:C,'[1]S&amp;S'!$B:$F,5,0),)</f>
        <v>0</v>
      </c>
      <c r="K909" s="38">
        <f>IFERROR(VLOOKUP(A:A,[1]APO!$A:$F,6,0),)</f>
        <v>0</v>
      </c>
      <c r="L909" s="38">
        <f>IFERROR(VLOOKUP(C:C,'[1]TOTAL APO'!$A:$B,2,0),)</f>
        <v>0</v>
      </c>
      <c r="M909" s="38">
        <f>IFERROR(VLOOKUP(A:A,[1]Short!$A:$Q,17,0),)</f>
        <v>0</v>
      </c>
      <c r="N909" s="38">
        <f>IFERROR(VLOOKUP(C:C,[1]GIT!$B:$D,3,0),)</f>
        <v>0</v>
      </c>
      <c r="O909" s="38">
        <f>IFERROR(VLOOKUP(A:A,[2]Sheet1!$A:$B,2,0),)</f>
        <v>0</v>
      </c>
      <c r="P909" s="38">
        <f>IFERROR(VLOOKUP(A:A,[2]Sheet1!$A:$B,2,0),)</f>
        <v>0</v>
      </c>
      <c r="Q909" s="38">
        <f t="shared" si="14"/>
        <v>0</v>
      </c>
      <c r="R909" s="38"/>
      <c r="S909" s="38"/>
    </row>
    <row r="910" spans="1:19" hidden="1" x14ac:dyDescent="0.25">
      <c r="A910" s="38" t="str">
        <f>F910&amp;C910</f>
        <v/>
      </c>
      <c r="B910" s="38" t="str">
        <f>IF(J910&gt;=SUMIFS(E:E,C:C,C910),"Good to go","Short in Qty")</f>
        <v>Good to go</v>
      </c>
      <c r="C910" s="40"/>
      <c r="D910" s="40"/>
      <c r="E910" s="66"/>
      <c r="F910" s="38"/>
      <c r="G910" s="40"/>
      <c r="H910" s="38"/>
      <c r="I910" s="38"/>
      <c r="J910" s="38">
        <f>IFERROR(VLOOKUP(C:C,'[1]S&amp;S'!$B:$F,5,0),)</f>
        <v>0</v>
      </c>
      <c r="K910" s="38">
        <f>IFERROR(VLOOKUP(A:A,[1]APO!$A:$F,6,0),)</f>
        <v>0</v>
      </c>
      <c r="L910" s="38">
        <f>IFERROR(VLOOKUP(C:C,'[1]TOTAL APO'!$A:$B,2,0),)</f>
        <v>0</v>
      </c>
      <c r="M910" s="38">
        <f>IFERROR(VLOOKUP(A:A,[1]Short!$A:$Q,17,0),)</f>
        <v>0</v>
      </c>
      <c r="N910" s="38">
        <f>IFERROR(VLOOKUP(C:C,[1]GIT!$B:$D,3,0),)</f>
        <v>0</v>
      </c>
      <c r="O910" s="38">
        <f>IFERROR(VLOOKUP(A:A,[2]Sheet1!$A:$B,2,0),)</f>
        <v>0</v>
      </c>
      <c r="P910" s="38">
        <f>IFERROR(VLOOKUP(A:A,[2]Sheet1!$A:$B,2,0),)</f>
        <v>0</v>
      </c>
      <c r="Q910" s="38">
        <f t="shared" si="14"/>
        <v>0</v>
      </c>
      <c r="R910" s="38"/>
      <c r="S910" s="38"/>
    </row>
    <row r="911" spans="1:19" hidden="1" x14ac:dyDescent="0.25">
      <c r="A911" s="38" t="str">
        <f>F911&amp;C911</f>
        <v/>
      </c>
      <c r="B911" s="38" t="str">
        <f>IF(J911&gt;=SUMIFS(E:E,C:C,C911),"Good to go","Short in Qty")</f>
        <v>Good to go</v>
      </c>
      <c r="C911" s="40"/>
      <c r="D911" s="40"/>
      <c r="E911" s="66"/>
      <c r="F911" s="38"/>
      <c r="G911" s="40"/>
      <c r="H911" s="38"/>
      <c r="I911" s="38"/>
      <c r="J911" s="38">
        <f>IFERROR(VLOOKUP(C:C,'[1]S&amp;S'!$B:$F,5,0),)</f>
        <v>0</v>
      </c>
      <c r="K911" s="38">
        <f>IFERROR(VLOOKUP(A:A,[1]APO!$A:$F,6,0),)</f>
        <v>0</v>
      </c>
      <c r="L911" s="38">
        <f>IFERROR(VLOOKUP(C:C,'[1]TOTAL APO'!$A:$B,2,0),)</f>
        <v>0</v>
      </c>
      <c r="M911" s="38">
        <f>IFERROR(VLOOKUP(A:A,[1]Short!$A:$Q,17,0),)</f>
        <v>0</v>
      </c>
      <c r="N911" s="38">
        <f>IFERROR(VLOOKUP(C:C,[1]GIT!$B:$D,3,0),)</f>
        <v>0</v>
      </c>
      <c r="O911" s="38">
        <f>IFERROR(VLOOKUP(A:A,[2]Sheet1!$A:$B,2,0),)</f>
        <v>0</v>
      </c>
      <c r="P911" s="38">
        <f>IFERROR(VLOOKUP(A:A,[2]Sheet1!$A:$B,2,0),)</f>
        <v>0</v>
      </c>
      <c r="Q911" s="38">
        <f t="shared" si="14"/>
        <v>0</v>
      </c>
      <c r="R911" s="38"/>
      <c r="S911" s="38"/>
    </row>
    <row r="912" spans="1:19" hidden="1" x14ac:dyDescent="0.25">
      <c r="A912" s="38" t="str">
        <f>F912&amp;C912</f>
        <v/>
      </c>
      <c r="B912" s="38" t="str">
        <f>IF(J912&gt;=SUMIFS(E:E,C:C,C912),"Good to go","Short in Qty")</f>
        <v>Good to go</v>
      </c>
      <c r="C912" s="40"/>
      <c r="D912" s="40"/>
      <c r="E912" s="66"/>
      <c r="F912" s="38"/>
      <c r="G912" s="40"/>
      <c r="H912" s="38"/>
      <c r="I912" s="38"/>
      <c r="J912" s="38">
        <f>IFERROR(VLOOKUP(C:C,'[1]S&amp;S'!$B:$F,5,0),)</f>
        <v>0</v>
      </c>
      <c r="K912" s="38">
        <f>IFERROR(VLOOKUP(A:A,[1]APO!$A:$F,6,0),)</f>
        <v>0</v>
      </c>
      <c r="L912" s="38">
        <f>IFERROR(VLOOKUP(C:C,'[1]TOTAL APO'!$A:$B,2,0),)</f>
        <v>0</v>
      </c>
      <c r="M912" s="38">
        <f>IFERROR(VLOOKUP(A:A,[1]Short!$A:$Q,17,0),)</f>
        <v>0</v>
      </c>
      <c r="N912" s="38">
        <f>IFERROR(VLOOKUP(C:C,[1]GIT!$B:$D,3,0),)</f>
        <v>0</v>
      </c>
      <c r="O912" s="38">
        <f>IFERROR(VLOOKUP(A:A,[2]Sheet1!$A:$B,2,0),)</f>
        <v>0</v>
      </c>
      <c r="P912" s="38">
        <f>IFERROR(VLOOKUP(A:A,[2]Sheet1!$A:$B,2,0),)</f>
        <v>0</v>
      </c>
      <c r="Q912" s="38">
        <f t="shared" si="14"/>
        <v>0</v>
      </c>
      <c r="R912" s="38"/>
      <c r="S912" s="38"/>
    </row>
    <row r="913" spans="1:19" hidden="1" x14ac:dyDescent="0.25">
      <c r="A913" s="38" t="str">
        <f>F913&amp;C913</f>
        <v/>
      </c>
      <c r="B913" s="38" t="str">
        <f>IF(J913&gt;=SUMIFS(E:E,C:C,C913),"Good to go","Short in Qty")</f>
        <v>Good to go</v>
      </c>
      <c r="C913" s="40"/>
      <c r="D913" s="40"/>
      <c r="E913" s="66"/>
      <c r="F913" s="38"/>
      <c r="G913" s="40"/>
      <c r="H913" s="38"/>
      <c r="I913" s="38"/>
      <c r="J913" s="38">
        <f>IFERROR(VLOOKUP(C:C,'[1]S&amp;S'!$B:$F,5,0),)</f>
        <v>0</v>
      </c>
      <c r="K913" s="38">
        <f>IFERROR(VLOOKUP(A:A,[1]APO!$A:$F,6,0),)</f>
        <v>0</v>
      </c>
      <c r="L913" s="38">
        <f>IFERROR(VLOOKUP(C:C,'[1]TOTAL APO'!$A:$B,2,0),)</f>
        <v>0</v>
      </c>
      <c r="M913" s="38">
        <f>IFERROR(VLOOKUP(A:A,[1]Short!$A:$Q,17,0),)</f>
        <v>0</v>
      </c>
      <c r="N913" s="38">
        <f>IFERROR(VLOOKUP(C:C,[1]GIT!$B:$D,3,0),)</f>
        <v>0</v>
      </c>
      <c r="O913" s="38">
        <f>IFERROR(VLOOKUP(A:A,[2]Sheet1!$A:$B,2,0),)</f>
        <v>0</v>
      </c>
      <c r="P913" s="38">
        <f>IFERROR(VLOOKUP(A:A,[2]Sheet1!$A:$B,2,0),)</f>
        <v>0</v>
      </c>
      <c r="Q913" s="38">
        <f t="shared" si="14"/>
        <v>0</v>
      </c>
      <c r="R913" s="38"/>
      <c r="S913" s="38"/>
    </row>
    <row r="914" spans="1:19" hidden="1" x14ac:dyDescent="0.25">
      <c r="A914" s="38" t="str">
        <f>F914&amp;C914</f>
        <v/>
      </c>
      <c r="B914" s="38" t="str">
        <f>IF(J914&gt;=SUMIFS(E:E,C:C,C914),"Good to go","Short in Qty")</f>
        <v>Good to go</v>
      </c>
      <c r="C914" s="40"/>
      <c r="D914" s="40"/>
      <c r="E914" s="66"/>
      <c r="F914" s="38"/>
      <c r="G914" s="40"/>
      <c r="H914" s="38"/>
      <c r="I914" s="38"/>
      <c r="J914" s="38">
        <f>IFERROR(VLOOKUP(C:C,'[1]S&amp;S'!$B:$F,5,0),)</f>
        <v>0</v>
      </c>
      <c r="K914" s="38">
        <f>IFERROR(VLOOKUP(A:A,[1]APO!$A:$F,6,0),)</f>
        <v>0</v>
      </c>
      <c r="L914" s="38">
        <f>IFERROR(VLOOKUP(C:C,'[1]TOTAL APO'!$A:$B,2,0),)</f>
        <v>0</v>
      </c>
      <c r="M914" s="38">
        <f>IFERROR(VLOOKUP(A:A,[1]Short!$A:$Q,17,0),)</f>
        <v>0</v>
      </c>
      <c r="N914" s="38">
        <f>IFERROR(VLOOKUP(C:C,[1]GIT!$B:$D,3,0),)</f>
        <v>0</v>
      </c>
      <c r="O914" s="38">
        <f>IFERROR(VLOOKUP(A:A,[2]Sheet1!$A:$B,2,0),)</f>
        <v>0</v>
      </c>
      <c r="P914" s="38">
        <f>IFERROR(VLOOKUP(A:A,[2]Sheet1!$A:$B,2,0),)</f>
        <v>0</v>
      </c>
      <c r="Q914" s="38">
        <f t="shared" si="14"/>
        <v>0</v>
      </c>
      <c r="R914" s="38"/>
      <c r="S914" s="38"/>
    </row>
    <row r="915" spans="1:19" hidden="1" x14ac:dyDescent="0.25">
      <c r="A915" s="38" t="str">
        <f>F915&amp;C915</f>
        <v/>
      </c>
      <c r="B915" s="38" t="str">
        <f>IF(J915&gt;=SUMIFS(E:E,C:C,C915),"Good to go","Short in Qty")</f>
        <v>Good to go</v>
      </c>
      <c r="C915" s="40"/>
      <c r="D915" s="40"/>
      <c r="E915" s="66"/>
      <c r="F915" s="38"/>
      <c r="G915" s="40"/>
      <c r="H915" s="38"/>
      <c r="I915" s="38"/>
      <c r="J915" s="38">
        <f>IFERROR(VLOOKUP(C:C,'[1]S&amp;S'!$B:$F,5,0),)</f>
        <v>0</v>
      </c>
      <c r="K915" s="38">
        <f>IFERROR(VLOOKUP(A:A,[1]APO!$A:$F,6,0),)</f>
        <v>0</v>
      </c>
      <c r="L915" s="38">
        <f>IFERROR(VLOOKUP(C:C,'[1]TOTAL APO'!$A:$B,2,0),)</f>
        <v>0</v>
      </c>
      <c r="M915" s="38">
        <f>IFERROR(VLOOKUP(A:A,[1]Short!$A:$Q,17,0),)</f>
        <v>0</v>
      </c>
      <c r="N915" s="38">
        <f>IFERROR(VLOOKUP(C:C,[1]GIT!$B:$D,3,0),)</f>
        <v>0</v>
      </c>
      <c r="O915" s="38">
        <f>IFERROR(VLOOKUP(A:A,[2]Sheet1!$A:$B,2,0),)</f>
        <v>0</v>
      </c>
      <c r="P915" s="38">
        <f>IFERROR(VLOOKUP(A:A,[2]Sheet1!$A:$B,2,0),)</f>
        <v>0</v>
      </c>
      <c r="Q915" s="38">
        <f t="shared" si="14"/>
        <v>0</v>
      </c>
      <c r="R915" s="38"/>
      <c r="S915" s="38"/>
    </row>
    <row r="916" spans="1:19" hidden="1" x14ac:dyDescent="0.25">
      <c r="A916" s="38" t="str">
        <f>F916&amp;C916</f>
        <v/>
      </c>
      <c r="B916" s="38" t="str">
        <f>IF(J916&gt;=SUMIFS(E:E,C:C,C916),"Good to go","Short in Qty")</f>
        <v>Good to go</v>
      </c>
      <c r="C916" s="40"/>
      <c r="D916" s="40"/>
      <c r="E916" s="66"/>
      <c r="F916" s="38"/>
      <c r="G916" s="40"/>
      <c r="H916" s="38"/>
      <c r="I916" s="38"/>
      <c r="J916" s="38">
        <f>IFERROR(VLOOKUP(C:C,'[1]S&amp;S'!$B:$F,5,0),)</f>
        <v>0</v>
      </c>
      <c r="K916" s="38">
        <f>IFERROR(VLOOKUP(A:A,[1]APO!$A:$F,6,0),)</f>
        <v>0</v>
      </c>
      <c r="L916" s="38">
        <f>IFERROR(VLOOKUP(C:C,'[1]TOTAL APO'!$A:$B,2,0),)</f>
        <v>0</v>
      </c>
      <c r="M916" s="38">
        <f>IFERROR(VLOOKUP(A:A,[1]Short!$A:$Q,17,0),)</f>
        <v>0</v>
      </c>
      <c r="N916" s="38">
        <f>IFERROR(VLOOKUP(C:C,[1]GIT!$B:$D,3,0),)</f>
        <v>0</v>
      </c>
      <c r="O916" s="38">
        <f>IFERROR(VLOOKUP(A:A,[2]Sheet1!$A:$B,2,0),)</f>
        <v>0</v>
      </c>
      <c r="P916" s="38">
        <f>IFERROR(VLOOKUP(A:A,[2]Sheet1!$A:$B,2,0),)</f>
        <v>0</v>
      </c>
      <c r="Q916" s="38">
        <f t="shared" si="14"/>
        <v>0</v>
      </c>
      <c r="R916" s="38"/>
      <c r="S916" s="38"/>
    </row>
    <row r="917" spans="1:19" hidden="1" x14ac:dyDescent="0.25">
      <c r="A917" s="38" t="str">
        <f>F917&amp;C917</f>
        <v/>
      </c>
      <c r="B917" s="38" t="str">
        <f>IF(J917&gt;=SUMIFS(E:E,C:C,C917),"Good to go","Short in Qty")</f>
        <v>Good to go</v>
      </c>
      <c r="C917" s="40"/>
      <c r="D917" s="40"/>
      <c r="E917" s="66"/>
      <c r="F917" s="38"/>
      <c r="G917" s="40"/>
      <c r="H917" s="38"/>
      <c r="I917" s="38"/>
      <c r="J917" s="38">
        <f>IFERROR(VLOOKUP(C:C,'[1]S&amp;S'!$B:$F,5,0),)</f>
        <v>0</v>
      </c>
      <c r="K917" s="38">
        <f>IFERROR(VLOOKUP(A:A,[1]APO!$A:$F,6,0),)</f>
        <v>0</v>
      </c>
      <c r="L917" s="38">
        <f>IFERROR(VLOOKUP(C:C,'[1]TOTAL APO'!$A:$B,2,0),)</f>
        <v>0</v>
      </c>
      <c r="M917" s="38">
        <f>IFERROR(VLOOKUP(A:A,[1]Short!$A:$Q,17,0),)</f>
        <v>0</v>
      </c>
      <c r="N917" s="38">
        <f>IFERROR(VLOOKUP(C:C,[1]GIT!$B:$D,3,0),)</f>
        <v>0</v>
      </c>
      <c r="O917" s="38">
        <f>IFERROR(VLOOKUP(A:A,[2]Sheet1!$A:$B,2,0),)</f>
        <v>0</v>
      </c>
      <c r="P917" s="38">
        <f>IFERROR(VLOOKUP(A:A,[2]Sheet1!$A:$B,2,0),)</f>
        <v>0</v>
      </c>
      <c r="Q917" s="38">
        <f t="shared" si="14"/>
        <v>0</v>
      </c>
      <c r="R917" s="38"/>
      <c r="S917" s="38"/>
    </row>
    <row r="918" spans="1:19" hidden="1" x14ac:dyDescent="0.25">
      <c r="A918" s="38" t="str">
        <f>F918&amp;C918</f>
        <v/>
      </c>
      <c r="B918" s="38" t="str">
        <f>IF(J918&gt;=SUMIFS(E:E,C:C,C918),"Good to go","Short in Qty")</f>
        <v>Good to go</v>
      </c>
      <c r="C918" s="40"/>
      <c r="D918" s="40"/>
      <c r="E918" s="66"/>
      <c r="F918" s="38"/>
      <c r="G918" s="40"/>
      <c r="H918" s="38"/>
      <c r="I918" s="38"/>
      <c r="J918" s="38">
        <f>IFERROR(VLOOKUP(C:C,'[1]S&amp;S'!$B:$F,5,0),)</f>
        <v>0</v>
      </c>
      <c r="K918" s="38">
        <f>IFERROR(VLOOKUP(A:A,[1]APO!$A:$F,6,0),)</f>
        <v>0</v>
      </c>
      <c r="L918" s="38">
        <f>IFERROR(VLOOKUP(C:C,'[1]TOTAL APO'!$A:$B,2,0),)</f>
        <v>0</v>
      </c>
      <c r="M918" s="38">
        <f>IFERROR(VLOOKUP(A:A,[1]Short!$A:$Q,17,0),)</f>
        <v>0</v>
      </c>
      <c r="N918" s="38">
        <f>IFERROR(VLOOKUP(C:C,[1]GIT!$B:$D,3,0),)</f>
        <v>0</v>
      </c>
      <c r="O918" s="38">
        <f>IFERROR(VLOOKUP(A:A,[2]Sheet1!$A:$B,2,0),)</f>
        <v>0</v>
      </c>
      <c r="P918" s="38">
        <f>IFERROR(VLOOKUP(A:A,[2]Sheet1!$A:$B,2,0),)</f>
        <v>0</v>
      </c>
      <c r="Q918" s="38">
        <f t="shared" si="14"/>
        <v>0</v>
      </c>
      <c r="R918" s="38"/>
      <c r="S918" s="38"/>
    </row>
    <row r="919" spans="1:19" hidden="1" x14ac:dyDescent="0.25">
      <c r="A919" s="38" t="str">
        <f>F919&amp;C919</f>
        <v/>
      </c>
      <c r="B919" s="38" t="str">
        <f>IF(J919&gt;=SUMIFS(E:E,C:C,C919),"Good to go","Short in Qty")</f>
        <v>Good to go</v>
      </c>
      <c r="C919" s="40"/>
      <c r="D919" s="40"/>
      <c r="E919" s="66"/>
      <c r="F919" s="38"/>
      <c r="G919" s="40"/>
      <c r="H919" s="38"/>
      <c r="I919" s="38"/>
      <c r="J919" s="38">
        <f>IFERROR(VLOOKUP(C:C,'[1]S&amp;S'!$B:$F,5,0),)</f>
        <v>0</v>
      </c>
      <c r="K919" s="38">
        <f>IFERROR(VLOOKUP(A:A,[1]APO!$A:$F,6,0),)</f>
        <v>0</v>
      </c>
      <c r="L919" s="38">
        <f>IFERROR(VLOOKUP(C:C,'[1]TOTAL APO'!$A:$B,2,0),)</f>
        <v>0</v>
      </c>
      <c r="M919" s="38">
        <f>IFERROR(VLOOKUP(A:A,[1]Short!$A:$Q,17,0),)</f>
        <v>0</v>
      </c>
      <c r="N919" s="38">
        <f>IFERROR(VLOOKUP(C:C,[1]GIT!$B:$D,3,0),)</f>
        <v>0</v>
      </c>
      <c r="O919" s="38">
        <f>IFERROR(VLOOKUP(A:A,[2]Sheet1!$A:$B,2,0),)</f>
        <v>0</v>
      </c>
      <c r="P919" s="38">
        <f>IFERROR(VLOOKUP(A:A,[2]Sheet1!$A:$B,2,0),)</f>
        <v>0</v>
      </c>
      <c r="Q919" s="38">
        <f t="shared" si="14"/>
        <v>0</v>
      </c>
      <c r="R919" s="38"/>
      <c r="S919" s="38"/>
    </row>
    <row r="920" spans="1:19" hidden="1" x14ac:dyDescent="0.25">
      <c r="A920" s="38" t="str">
        <f>F920&amp;C920</f>
        <v/>
      </c>
      <c r="B920" s="38" t="str">
        <f>IF(J920&gt;=SUMIFS(E:E,C:C,C920),"Good to go","Short in Qty")</f>
        <v>Good to go</v>
      </c>
      <c r="C920" s="40"/>
      <c r="D920" s="40"/>
      <c r="E920" s="66"/>
      <c r="F920" s="38"/>
      <c r="G920" s="40"/>
      <c r="H920" s="38"/>
      <c r="I920" s="38"/>
      <c r="J920" s="38">
        <f>IFERROR(VLOOKUP(C:C,'[1]S&amp;S'!$B:$F,5,0),)</f>
        <v>0</v>
      </c>
      <c r="K920" s="38">
        <f>IFERROR(VLOOKUP(A:A,[1]APO!$A:$F,6,0),)</f>
        <v>0</v>
      </c>
      <c r="L920" s="38">
        <f>IFERROR(VLOOKUP(C:C,'[1]TOTAL APO'!$A:$B,2,0),)</f>
        <v>0</v>
      </c>
      <c r="M920" s="38">
        <f>IFERROR(VLOOKUP(A:A,[1]Short!$A:$Q,17,0),)</f>
        <v>0</v>
      </c>
      <c r="N920" s="38">
        <f>IFERROR(VLOOKUP(C:C,[1]GIT!$B:$D,3,0),)</f>
        <v>0</v>
      </c>
      <c r="O920" s="38">
        <f>IFERROR(VLOOKUP(A:A,[2]Sheet1!$A:$B,2,0),)</f>
        <v>0</v>
      </c>
      <c r="P920" s="38">
        <f>IFERROR(VLOOKUP(A:A,[2]Sheet1!$A:$B,2,0),)</f>
        <v>0</v>
      </c>
      <c r="Q920" s="38">
        <f t="shared" si="14"/>
        <v>0</v>
      </c>
      <c r="R920" s="38"/>
      <c r="S920" s="38"/>
    </row>
    <row r="921" spans="1:19" hidden="1" x14ac:dyDescent="0.25">
      <c r="A921" s="38" t="str">
        <f>F921&amp;C921</f>
        <v/>
      </c>
      <c r="B921" s="38" t="str">
        <f>IF(J921&gt;=SUMIFS(E:E,C:C,C921),"Good to go","Short in Qty")</f>
        <v>Good to go</v>
      </c>
      <c r="C921" s="40"/>
      <c r="D921" s="40"/>
      <c r="E921" s="66"/>
      <c r="F921" s="38"/>
      <c r="G921" s="40"/>
      <c r="H921" s="38"/>
      <c r="I921" s="38"/>
      <c r="J921" s="38">
        <f>IFERROR(VLOOKUP(C:C,'[1]S&amp;S'!$B:$F,5,0),)</f>
        <v>0</v>
      </c>
      <c r="K921" s="38">
        <f>IFERROR(VLOOKUP(A:A,[1]APO!$A:$F,6,0),)</f>
        <v>0</v>
      </c>
      <c r="L921" s="38">
        <f>IFERROR(VLOOKUP(C:C,'[1]TOTAL APO'!$A:$B,2,0),)</f>
        <v>0</v>
      </c>
      <c r="M921" s="38">
        <f>IFERROR(VLOOKUP(A:A,[1]Short!$A:$Q,17,0),)</f>
        <v>0</v>
      </c>
      <c r="N921" s="38">
        <f>IFERROR(VLOOKUP(C:C,[1]GIT!$B:$D,3,0),)</f>
        <v>0</v>
      </c>
      <c r="O921" s="38">
        <f>IFERROR(VLOOKUP(A:A,[2]Sheet1!$A:$B,2,0),)</f>
        <v>0</v>
      </c>
      <c r="P921" s="38">
        <f>IFERROR(VLOOKUP(A:A,[2]Sheet1!$A:$B,2,0),)</f>
        <v>0</v>
      </c>
      <c r="Q921" s="38">
        <f t="shared" si="14"/>
        <v>0</v>
      </c>
      <c r="R921" s="38"/>
      <c r="S921" s="38"/>
    </row>
    <row r="922" spans="1:19" hidden="1" x14ac:dyDescent="0.25">
      <c r="A922" s="38" t="str">
        <f>F922&amp;C922</f>
        <v/>
      </c>
      <c r="B922" s="38" t="str">
        <f>IF(J922&gt;=SUMIFS(E:E,C:C,C922),"Good to go","Short in Qty")</f>
        <v>Good to go</v>
      </c>
      <c r="C922" s="40"/>
      <c r="D922" s="40"/>
      <c r="E922" s="66"/>
      <c r="F922" s="38"/>
      <c r="G922" s="40"/>
      <c r="H922" s="38"/>
      <c r="I922" s="38"/>
      <c r="J922" s="38">
        <f>IFERROR(VLOOKUP(C:C,'[1]S&amp;S'!$B:$F,5,0),)</f>
        <v>0</v>
      </c>
      <c r="K922" s="38">
        <f>IFERROR(VLOOKUP(A:A,[1]APO!$A:$F,6,0),)</f>
        <v>0</v>
      </c>
      <c r="L922" s="38">
        <f>IFERROR(VLOOKUP(C:C,'[1]TOTAL APO'!$A:$B,2,0),)</f>
        <v>0</v>
      </c>
      <c r="M922" s="38">
        <f>IFERROR(VLOOKUP(A:A,[1]Short!$A:$Q,17,0),)</f>
        <v>0</v>
      </c>
      <c r="N922" s="38">
        <f>IFERROR(VLOOKUP(C:C,[1]GIT!$B:$D,3,0),)</f>
        <v>0</v>
      </c>
      <c r="O922" s="38">
        <f>IFERROR(VLOOKUP(A:A,[2]Sheet1!$A:$B,2,0),)</f>
        <v>0</v>
      </c>
      <c r="P922" s="38">
        <f>IFERROR(VLOOKUP(A:A,[2]Sheet1!$A:$B,2,0),)</f>
        <v>0</v>
      </c>
      <c r="Q922" s="38">
        <f t="shared" si="14"/>
        <v>0</v>
      </c>
      <c r="R922" s="38"/>
      <c r="S922" s="38"/>
    </row>
    <row r="923" spans="1:19" hidden="1" x14ac:dyDescent="0.25">
      <c r="A923" s="38" t="str">
        <f>F923&amp;C923</f>
        <v/>
      </c>
      <c r="B923" s="38" t="str">
        <f>IF(J923&gt;=SUMIFS(E:E,C:C,C923),"Good to go","Short in Qty")</f>
        <v>Good to go</v>
      </c>
      <c r="C923" s="40"/>
      <c r="D923" s="40"/>
      <c r="E923" s="66"/>
      <c r="F923" s="38"/>
      <c r="G923" s="40"/>
      <c r="H923" s="38"/>
      <c r="I923" s="38"/>
      <c r="J923" s="38">
        <f>IFERROR(VLOOKUP(C:C,'[1]S&amp;S'!$B:$F,5,0),)</f>
        <v>0</v>
      </c>
      <c r="K923" s="38">
        <f>IFERROR(VLOOKUP(A:A,[1]APO!$A:$F,6,0),)</f>
        <v>0</v>
      </c>
      <c r="L923" s="38">
        <f>IFERROR(VLOOKUP(C:C,'[1]TOTAL APO'!$A:$B,2,0),)</f>
        <v>0</v>
      </c>
      <c r="M923" s="38">
        <f>IFERROR(VLOOKUP(A:A,[1]Short!$A:$Q,17,0),)</f>
        <v>0</v>
      </c>
      <c r="N923" s="38">
        <f>IFERROR(VLOOKUP(C:C,[1]GIT!$B:$D,3,0),)</f>
        <v>0</v>
      </c>
      <c r="O923" s="38">
        <f>IFERROR(VLOOKUP(A:A,[2]Sheet1!$A:$B,2,0),)</f>
        <v>0</v>
      </c>
      <c r="P923" s="38">
        <f>IFERROR(VLOOKUP(A:A,[2]Sheet1!$A:$B,2,0),)</f>
        <v>0</v>
      </c>
      <c r="Q923" s="38">
        <f t="shared" si="14"/>
        <v>0</v>
      </c>
      <c r="R923" s="38"/>
      <c r="S923" s="38"/>
    </row>
    <row r="924" spans="1:19" hidden="1" x14ac:dyDescent="0.25">
      <c r="A924" s="38" t="str">
        <f>F924&amp;C924</f>
        <v/>
      </c>
      <c r="B924" s="38" t="str">
        <f>IF(J924&gt;=SUMIFS(E:E,C:C,C924),"Good to go","Short in Qty")</f>
        <v>Good to go</v>
      </c>
      <c r="C924" s="40"/>
      <c r="D924" s="40"/>
      <c r="E924" s="66"/>
      <c r="F924" s="38"/>
      <c r="G924" s="40"/>
      <c r="H924" s="38"/>
      <c r="I924" s="38"/>
      <c r="J924" s="38">
        <f>IFERROR(VLOOKUP(C:C,'[1]S&amp;S'!$B:$F,5,0),)</f>
        <v>0</v>
      </c>
      <c r="K924" s="38">
        <f>IFERROR(VLOOKUP(A:A,[1]APO!$A:$F,6,0),)</f>
        <v>0</v>
      </c>
      <c r="L924" s="38">
        <f>IFERROR(VLOOKUP(C:C,'[1]TOTAL APO'!$A:$B,2,0),)</f>
        <v>0</v>
      </c>
      <c r="M924" s="38">
        <f>IFERROR(VLOOKUP(A:A,[1]Short!$A:$Q,17,0),)</f>
        <v>0</v>
      </c>
      <c r="N924" s="38">
        <f>IFERROR(VLOOKUP(C:C,[1]GIT!$B:$D,3,0),)</f>
        <v>0</v>
      </c>
      <c r="O924" s="38">
        <f>IFERROR(VLOOKUP(A:A,[2]Sheet1!$A:$B,2,0),)</f>
        <v>0</v>
      </c>
      <c r="P924" s="38">
        <f>IFERROR(VLOOKUP(A:A,[2]Sheet1!$A:$B,2,0),)</f>
        <v>0</v>
      </c>
      <c r="Q924" s="38">
        <f t="shared" si="14"/>
        <v>0</v>
      </c>
      <c r="R924" s="38"/>
      <c r="S924" s="38"/>
    </row>
    <row r="925" spans="1:19" hidden="1" x14ac:dyDescent="0.25">
      <c r="A925" s="38" t="str">
        <f>F925&amp;C925</f>
        <v/>
      </c>
      <c r="B925" s="38" t="str">
        <f>IF(J925&gt;=SUMIFS(E:E,C:C,C925),"Good to go","Short in Qty")</f>
        <v>Good to go</v>
      </c>
      <c r="C925" s="40"/>
      <c r="D925" s="40"/>
      <c r="E925" s="66"/>
      <c r="F925" s="38"/>
      <c r="G925" s="40"/>
      <c r="H925" s="38"/>
      <c r="I925" s="38"/>
      <c r="J925" s="38">
        <f>IFERROR(VLOOKUP(C:C,'[1]S&amp;S'!$B:$F,5,0),)</f>
        <v>0</v>
      </c>
      <c r="K925" s="38">
        <f>IFERROR(VLOOKUP(A:A,[1]APO!$A:$F,6,0),)</f>
        <v>0</v>
      </c>
      <c r="L925" s="38">
        <f>IFERROR(VLOOKUP(C:C,'[1]TOTAL APO'!$A:$B,2,0),)</f>
        <v>0</v>
      </c>
      <c r="M925" s="38">
        <f>IFERROR(VLOOKUP(A:A,[1]Short!$A:$Q,17,0),)</f>
        <v>0</v>
      </c>
      <c r="N925" s="38">
        <f>IFERROR(VLOOKUP(C:C,[1]GIT!$B:$D,3,0),)</f>
        <v>0</v>
      </c>
      <c r="O925" s="38">
        <f>IFERROR(VLOOKUP(A:A,[2]Sheet1!$A:$B,2,0),)</f>
        <v>0</v>
      </c>
      <c r="P925" s="38">
        <f>IFERROR(VLOOKUP(A:A,[2]Sheet1!$A:$B,2,0),)</f>
        <v>0</v>
      </c>
      <c r="Q925" s="38">
        <f t="shared" si="14"/>
        <v>0</v>
      </c>
      <c r="R925" s="38"/>
      <c r="S925" s="38"/>
    </row>
    <row r="926" spans="1:19" hidden="1" x14ac:dyDescent="0.25">
      <c r="A926" s="38" t="str">
        <f>F926&amp;C926</f>
        <v/>
      </c>
      <c r="B926" s="38" t="str">
        <f>IF(J926&gt;=SUMIFS(E:E,C:C,C926),"Good to go","Short in Qty")</f>
        <v>Good to go</v>
      </c>
      <c r="C926" s="40"/>
      <c r="D926" s="40"/>
      <c r="E926" s="66"/>
      <c r="F926" s="38"/>
      <c r="G926" s="40"/>
      <c r="H926" s="38"/>
      <c r="I926" s="38"/>
      <c r="J926" s="38">
        <f>IFERROR(VLOOKUP(C:C,'[1]S&amp;S'!$B:$F,5,0),)</f>
        <v>0</v>
      </c>
      <c r="K926" s="38">
        <f>IFERROR(VLOOKUP(A:A,[1]APO!$A:$F,6,0),)</f>
        <v>0</v>
      </c>
      <c r="L926" s="38">
        <f>IFERROR(VLOOKUP(C:C,'[1]TOTAL APO'!$A:$B,2,0),)</f>
        <v>0</v>
      </c>
      <c r="M926" s="38">
        <f>IFERROR(VLOOKUP(A:A,[1]Short!$A:$Q,17,0),)</f>
        <v>0</v>
      </c>
      <c r="N926" s="38">
        <f>IFERROR(VLOOKUP(C:C,[1]GIT!$B:$D,3,0),)</f>
        <v>0</v>
      </c>
      <c r="O926" s="38">
        <f>IFERROR(VLOOKUP(A:A,[2]Sheet1!$A:$B,2,0),)</f>
        <v>0</v>
      </c>
      <c r="P926" s="38">
        <f>IFERROR(VLOOKUP(A:A,[2]Sheet1!$A:$B,2,0),)</f>
        <v>0</v>
      </c>
      <c r="Q926" s="38">
        <f t="shared" si="14"/>
        <v>0</v>
      </c>
      <c r="R926" s="38"/>
      <c r="S926" s="38"/>
    </row>
    <row r="927" spans="1:19" hidden="1" x14ac:dyDescent="0.25">
      <c r="A927" s="38" t="str">
        <f>F927&amp;C927</f>
        <v/>
      </c>
      <c r="B927" s="38" t="str">
        <f>IF(J927&gt;=SUMIFS(E:E,C:C,C927),"Good to go","Short in Qty")</f>
        <v>Good to go</v>
      </c>
      <c r="C927" s="40"/>
      <c r="D927" s="40"/>
      <c r="E927" s="66"/>
      <c r="F927" s="38"/>
      <c r="G927" s="40"/>
      <c r="H927" s="38"/>
      <c r="I927" s="38"/>
      <c r="J927" s="38">
        <f>IFERROR(VLOOKUP(C:C,'[1]S&amp;S'!$B:$F,5,0),)</f>
        <v>0</v>
      </c>
      <c r="K927" s="38">
        <f>IFERROR(VLOOKUP(A:A,[1]APO!$A:$F,6,0),)</f>
        <v>0</v>
      </c>
      <c r="L927" s="38">
        <f>IFERROR(VLOOKUP(C:C,'[1]TOTAL APO'!$A:$B,2,0),)</f>
        <v>0</v>
      </c>
      <c r="M927" s="38">
        <f>IFERROR(VLOOKUP(A:A,[1]Short!$A:$Q,17,0),)</f>
        <v>0</v>
      </c>
      <c r="N927" s="38">
        <f>IFERROR(VLOOKUP(C:C,[1]GIT!$B:$D,3,0),)</f>
        <v>0</v>
      </c>
      <c r="O927" s="38">
        <f>IFERROR(VLOOKUP(A:A,[2]Sheet1!$A:$B,2,0),)</f>
        <v>0</v>
      </c>
      <c r="P927" s="38">
        <f>IFERROR(VLOOKUP(A:A,[2]Sheet1!$A:$B,2,0),)</f>
        <v>0</v>
      </c>
      <c r="Q927" s="38">
        <f t="shared" si="14"/>
        <v>0</v>
      </c>
      <c r="R927" s="38"/>
      <c r="S927" s="38"/>
    </row>
    <row r="928" spans="1:19" hidden="1" x14ac:dyDescent="0.25">
      <c r="A928" s="38" t="str">
        <f>F928&amp;C928</f>
        <v/>
      </c>
      <c r="B928" s="38" t="str">
        <f>IF(J928&gt;=SUMIFS(E:E,C:C,C928),"Good to go","Short in Qty")</f>
        <v>Good to go</v>
      </c>
      <c r="C928" s="40"/>
      <c r="D928" s="40"/>
      <c r="E928" s="66"/>
      <c r="F928" s="38"/>
      <c r="G928" s="40"/>
      <c r="H928" s="38"/>
      <c r="I928" s="38"/>
      <c r="J928" s="38">
        <f>IFERROR(VLOOKUP(C:C,'[1]S&amp;S'!$B:$F,5,0),)</f>
        <v>0</v>
      </c>
      <c r="K928" s="38">
        <f>IFERROR(VLOOKUP(A:A,[1]APO!$A:$F,6,0),)</f>
        <v>0</v>
      </c>
      <c r="L928" s="38">
        <f>IFERROR(VLOOKUP(C:C,'[1]TOTAL APO'!$A:$B,2,0),)</f>
        <v>0</v>
      </c>
      <c r="M928" s="38">
        <f>IFERROR(VLOOKUP(A:A,[1]Short!$A:$Q,17,0),)</f>
        <v>0</v>
      </c>
      <c r="N928" s="38">
        <f>IFERROR(VLOOKUP(C:C,[1]GIT!$B:$D,3,0),)</f>
        <v>0</v>
      </c>
      <c r="O928" s="38">
        <f>IFERROR(VLOOKUP(A:A,[2]Sheet1!$A:$B,2,0),)</f>
        <v>0</v>
      </c>
      <c r="P928" s="38">
        <f>IFERROR(VLOOKUP(A:A,[2]Sheet1!$A:$B,2,0),)</f>
        <v>0</v>
      </c>
      <c r="Q928" s="38">
        <f t="shared" si="14"/>
        <v>0</v>
      </c>
      <c r="R928" s="38"/>
      <c r="S928" s="38"/>
    </row>
    <row r="929" spans="1:19" hidden="1" x14ac:dyDescent="0.25">
      <c r="A929" s="38" t="str">
        <f>F929&amp;C929</f>
        <v/>
      </c>
      <c r="B929" s="38" t="str">
        <f>IF(J929&gt;=SUMIFS(E:E,C:C,C929),"Good to go","Short in Qty")</f>
        <v>Good to go</v>
      </c>
      <c r="C929" s="40"/>
      <c r="D929" s="40"/>
      <c r="E929" s="66"/>
      <c r="F929" s="38"/>
      <c r="G929" s="40"/>
      <c r="H929" s="38"/>
      <c r="I929" s="38"/>
      <c r="J929" s="38">
        <f>IFERROR(VLOOKUP(C:C,'[1]S&amp;S'!$B:$F,5,0),)</f>
        <v>0</v>
      </c>
      <c r="K929" s="38">
        <f>IFERROR(VLOOKUP(A:A,[1]APO!$A:$F,6,0),)</f>
        <v>0</v>
      </c>
      <c r="L929" s="38">
        <f>IFERROR(VLOOKUP(C:C,'[1]TOTAL APO'!$A:$B,2,0),)</f>
        <v>0</v>
      </c>
      <c r="M929" s="38">
        <f>IFERROR(VLOOKUP(A:A,[1]Short!$A:$Q,17,0),)</f>
        <v>0</v>
      </c>
      <c r="N929" s="38">
        <f>IFERROR(VLOOKUP(C:C,[1]GIT!$B:$D,3,0),)</f>
        <v>0</v>
      </c>
      <c r="O929" s="38">
        <f>IFERROR(VLOOKUP(A:A,[2]Sheet1!$A:$B,2,0),)</f>
        <v>0</v>
      </c>
      <c r="P929" s="38">
        <f>IFERROR(VLOOKUP(A:A,[2]Sheet1!$A:$B,2,0),)</f>
        <v>0</v>
      </c>
      <c r="Q929" s="38">
        <f t="shared" si="14"/>
        <v>0</v>
      </c>
      <c r="R929" s="38"/>
      <c r="S929" s="38"/>
    </row>
    <row r="930" spans="1:19" hidden="1" x14ac:dyDescent="0.25">
      <c r="A930" s="38" t="str">
        <f>F930&amp;C930</f>
        <v/>
      </c>
      <c r="B930" s="38" t="str">
        <f>IF(J930&gt;=SUMIFS(E:E,C:C,C930),"Good to go","Short in Qty")</f>
        <v>Good to go</v>
      </c>
      <c r="C930" s="40"/>
      <c r="D930" s="40"/>
      <c r="E930" s="66"/>
      <c r="F930" s="38"/>
      <c r="G930" s="40"/>
      <c r="H930" s="38"/>
      <c r="I930" s="38"/>
      <c r="J930" s="38">
        <f>IFERROR(VLOOKUP(C:C,'[1]S&amp;S'!$B:$F,5,0),)</f>
        <v>0</v>
      </c>
      <c r="K930" s="38">
        <f>IFERROR(VLOOKUP(A:A,[1]APO!$A:$F,6,0),)</f>
        <v>0</v>
      </c>
      <c r="L930" s="38">
        <f>IFERROR(VLOOKUP(C:C,'[1]TOTAL APO'!$A:$B,2,0),)</f>
        <v>0</v>
      </c>
      <c r="M930" s="38">
        <f>IFERROR(VLOOKUP(A:A,[1]Short!$A:$Q,17,0),)</f>
        <v>0</v>
      </c>
      <c r="N930" s="38">
        <f>IFERROR(VLOOKUP(C:C,[1]GIT!$B:$D,3,0),)</f>
        <v>0</v>
      </c>
      <c r="O930" s="38">
        <f>IFERROR(VLOOKUP(A:A,[2]Sheet1!$A:$B,2,0),)</f>
        <v>0</v>
      </c>
      <c r="P930" s="38">
        <f>IFERROR(VLOOKUP(A:A,[2]Sheet1!$A:$B,2,0),)</f>
        <v>0</v>
      </c>
      <c r="Q930" s="38">
        <f t="shared" si="14"/>
        <v>0</v>
      </c>
      <c r="R930" s="38"/>
      <c r="S930" s="38"/>
    </row>
    <row r="931" spans="1:19" hidden="1" x14ac:dyDescent="0.25">
      <c r="A931" s="38" t="str">
        <f>F931&amp;C931</f>
        <v/>
      </c>
      <c r="B931" s="38" t="str">
        <f>IF(J931&gt;=SUMIFS(E:E,C:C,C931),"Good to go","Short in Qty")</f>
        <v>Good to go</v>
      </c>
      <c r="C931" s="40"/>
      <c r="D931" s="40"/>
      <c r="E931" s="66"/>
      <c r="F931" s="38"/>
      <c r="G931" s="40"/>
      <c r="H931" s="38"/>
      <c r="I931" s="38"/>
      <c r="J931" s="38">
        <f>IFERROR(VLOOKUP(C:C,'[1]S&amp;S'!$B:$F,5,0),)</f>
        <v>0</v>
      </c>
      <c r="K931" s="38">
        <f>IFERROR(VLOOKUP(A:A,[1]APO!$A:$F,6,0),)</f>
        <v>0</v>
      </c>
      <c r="L931" s="38">
        <f>IFERROR(VLOOKUP(C:C,'[1]TOTAL APO'!$A:$B,2,0),)</f>
        <v>0</v>
      </c>
      <c r="M931" s="38">
        <f>IFERROR(VLOOKUP(A:A,[1]Short!$A:$Q,17,0),)</f>
        <v>0</v>
      </c>
      <c r="N931" s="38">
        <f>IFERROR(VLOOKUP(C:C,[1]GIT!$B:$D,3,0),)</f>
        <v>0</v>
      </c>
      <c r="O931" s="38">
        <f>IFERROR(VLOOKUP(A:A,[2]Sheet1!$A:$B,2,0),)</f>
        <v>0</v>
      </c>
      <c r="P931" s="38">
        <f>IFERROR(VLOOKUP(A:A,[2]Sheet1!$A:$B,2,0),)</f>
        <v>0</v>
      </c>
      <c r="Q931" s="38">
        <f t="shared" si="14"/>
        <v>0</v>
      </c>
      <c r="R931" s="38"/>
      <c r="S931" s="38"/>
    </row>
    <row r="932" spans="1:19" hidden="1" x14ac:dyDescent="0.25">
      <c r="A932" s="38" t="str">
        <f>F932&amp;C932</f>
        <v/>
      </c>
      <c r="B932" s="38" t="str">
        <f>IF(J932&gt;=SUMIFS(E:E,C:C,C932),"Good to go","Short in Qty")</f>
        <v>Good to go</v>
      </c>
      <c r="C932" s="40"/>
      <c r="D932" s="40"/>
      <c r="E932" s="66"/>
      <c r="F932" s="38"/>
      <c r="G932" s="40"/>
      <c r="H932" s="38"/>
      <c r="I932" s="38"/>
      <c r="J932" s="38">
        <f>IFERROR(VLOOKUP(C:C,'[1]S&amp;S'!$B:$F,5,0),)</f>
        <v>0</v>
      </c>
      <c r="K932" s="38">
        <f>IFERROR(VLOOKUP(A:A,[1]APO!$A:$F,6,0),)</f>
        <v>0</v>
      </c>
      <c r="L932" s="38">
        <f>IFERROR(VLOOKUP(C:C,'[1]TOTAL APO'!$A:$B,2,0),)</f>
        <v>0</v>
      </c>
      <c r="M932" s="38">
        <f>IFERROR(VLOOKUP(A:A,[1]Short!$A:$Q,17,0),)</f>
        <v>0</v>
      </c>
      <c r="N932" s="38">
        <f>IFERROR(VLOOKUP(C:C,[1]GIT!$B:$D,3,0),)</f>
        <v>0</v>
      </c>
      <c r="O932" s="38">
        <f>IFERROR(VLOOKUP(A:A,[2]Sheet1!$A:$B,2,0),)</f>
        <v>0</v>
      </c>
      <c r="P932" s="38">
        <f>IFERROR(VLOOKUP(A:A,[2]Sheet1!$A:$B,2,0),)</f>
        <v>0</v>
      </c>
      <c r="Q932" s="38">
        <f t="shared" si="14"/>
        <v>0</v>
      </c>
      <c r="R932" s="38"/>
      <c r="S932" s="38"/>
    </row>
    <row r="933" spans="1:19" hidden="1" x14ac:dyDescent="0.25">
      <c r="A933" s="38" t="str">
        <f>F933&amp;C933</f>
        <v/>
      </c>
      <c r="B933" s="38" t="str">
        <f>IF(J933&gt;=SUMIFS(E:E,C:C,C933),"Good to go","Short in Qty")</f>
        <v>Good to go</v>
      </c>
      <c r="C933" s="40"/>
      <c r="D933" s="40"/>
      <c r="E933" s="66"/>
      <c r="F933" s="38"/>
      <c r="G933" s="40"/>
      <c r="H933" s="38"/>
      <c r="I933" s="38"/>
      <c r="J933" s="38">
        <f>IFERROR(VLOOKUP(C:C,'[1]S&amp;S'!$B:$F,5,0),)</f>
        <v>0</v>
      </c>
      <c r="K933" s="38">
        <f>IFERROR(VLOOKUP(A:A,[1]APO!$A:$F,6,0),)</f>
        <v>0</v>
      </c>
      <c r="L933" s="38">
        <f>IFERROR(VLOOKUP(C:C,'[1]TOTAL APO'!$A:$B,2,0),)</f>
        <v>0</v>
      </c>
      <c r="M933" s="38">
        <f>IFERROR(VLOOKUP(A:A,[1]Short!$A:$Q,17,0),)</f>
        <v>0</v>
      </c>
      <c r="N933" s="38">
        <f>IFERROR(VLOOKUP(C:C,[1]GIT!$B:$D,3,0),)</f>
        <v>0</v>
      </c>
      <c r="O933" s="38">
        <f>IFERROR(VLOOKUP(A:A,[2]Sheet1!$A:$B,2,0),)</f>
        <v>0</v>
      </c>
      <c r="P933" s="38">
        <f>IFERROR(VLOOKUP(A:A,[2]Sheet1!$A:$B,2,0),)</f>
        <v>0</v>
      </c>
      <c r="Q933" s="38">
        <f t="shared" si="14"/>
        <v>0</v>
      </c>
      <c r="R933" s="38"/>
      <c r="S933" s="38"/>
    </row>
    <row r="934" spans="1:19" hidden="1" x14ac:dyDescent="0.25">
      <c r="A934" s="38" t="str">
        <f>F934&amp;C934</f>
        <v/>
      </c>
      <c r="B934" s="38" t="str">
        <f>IF(J934&gt;=SUMIFS(E:E,C:C,C934),"Good to go","Short in Qty")</f>
        <v>Good to go</v>
      </c>
      <c r="C934" s="40"/>
      <c r="D934" s="40"/>
      <c r="E934" s="66"/>
      <c r="F934" s="38"/>
      <c r="G934" s="40"/>
      <c r="H934" s="38"/>
      <c r="I934" s="38"/>
      <c r="J934" s="38">
        <f>IFERROR(VLOOKUP(C:C,'[1]S&amp;S'!$B:$F,5,0),)</f>
        <v>0</v>
      </c>
      <c r="K934" s="38">
        <f>IFERROR(VLOOKUP(A:A,[1]APO!$A:$F,6,0),)</f>
        <v>0</v>
      </c>
      <c r="L934" s="38">
        <f>IFERROR(VLOOKUP(C:C,'[1]TOTAL APO'!$A:$B,2,0),)</f>
        <v>0</v>
      </c>
      <c r="M934" s="38">
        <f>IFERROR(VLOOKUP(A:A,[1]Short!$A:$Q,17,0),)</f>
        <v>0</v>
      </c>
      <c r="N934" s="38">
        <f>IFERROR(VLOOKUP(C:C,[1]GIT!$B:$D,3,0),)</f>
        <v>0</v>
      </c>
      <c r="O934" s="38">
        <f>IFERROR(VLOOKUP(A:A,[2]Sheet1!$A:$B,2,0),)</f>
        <v>0</v>
      </c>
      <c r="P934" s="38">
        <f>IFERROR(VLOOKUP(A:A,[2]Sheet1!$A:$B,2,0),)</f>
        <v>0</v>
      </c>
      <c r="Q934" s="38">
        <f t="shared" si="14"/>
        <v>0</v>
      </c>
      <c r="R934" s="38"/>
      <c r="S934" s="38"/>
    </row>
    <row r="935" spans="1:19" hidden="1" x14ac:dyDescent="0.25">
      <c r="A935" s="38" t="str">
        <f>F935&amp;C935</f>
        <v/>
      </c>
      <c r="B935" s="38" t="str">
        <f>IF(J935&gt;=SUMIFS(E:E,C:C,C935),"Good to go","Short in Qty")</f>
        <v>Good to go</v>
      </c>
      <c r="C935" s="40"/>
      <c r="D935" s="40"/>
      <c r="E935" s="66"/>
      <c r="F935" s="38"/>
      <c r="G935" s="40"/>
      <c r="H935" s="38"/>
      <c r="I935" s="38"/>
      <c r="J935" s="38">
        <f>IFERROR(VLOOKUP(C:C,'[1]S&amp;S'!$B:$F,5,0),)</f>
        <v>0</v>
      </c>
      <c r="K935" s="38">
        <f>IFERROR(VLOOKUP(A:A,[1]APO!$A:$F,6,0),)</f>
        <v>0</v>
      </c>
      <c r="L935" s="38">
        <f>IFERROR(VLOOKUP(C:C,'[1]TOTAL APO'!$A:$B,2,0),)</f>
        <v>0</v>
      </c>
      <c r="M935" s="38">
        <f>IFERROR(VLOOKUP(A:A,[1]Short!$A:$Q,17,0),)</f>
        <v>0</v>
      </c>
      <c r="N935" s="38">
        <f>IFERROR(VLOOKUP(C:C,[1]GIT!$B:$D,3,0),)</f>
        <v>0</v>
      </c>
      <c r="O935" s="38">
        <f>IFERROR(VLOOKUP(A:A,[2]Sheet1!$A:$B,2,0),)</f>
        <v>0</v>
      </c>
      <c r="P935" s="38">
        <f>IFERROR(VLOOKUP(A:A,[2]Sheet1!$A:$B,2,0),)</f>
        <v>0</v>
      </c>
      <c r="Q935" s="38">
        <f t="shared" si="14"/>
        <v>0</v>
      </c>
      <c r="R935" s="38"/>
      <c r="S935" s="38"/>
    </row>
    <row r="936" spans="1:19" hidden="1" x14ac:dyDescent="0.25">
      <c r="A936" s="38" t="str">
        <f>F936&amp;C936</f>
        <v/>
      </c>
      <c r="B936" s="38" t="str">
        <f>IF(J936&gt;=SUMIFS(E:E,C:C,C936),"Good to go","Short in Qty")</f>
        <v>Good to go</v>
      </c>
      <c r="C936" s="40"/>
      <c r="D936" s="40"/>
      <c r="E936" s="66"/>
      <c r="F936" s="38"/>
      <c r="G936" s="40"/>
      <c r="H936" s="38"/>
      <c r="I936" s="38"/>
      <c r="J936" s="38">
        <f>IFERROR(VLOOKUP(C:C,'[1]S&amp;S'!$B:$F,5,0),)</f>
        <v>0</v>
      </c>
      <c r="K936" s="38">
        <f>IFERROR(VLOOKUP(A:A,[1]APO!$A:$F,6,0),)</f>
        <v>0</v>
      </c>
      <c r="L936" s="38">
        <f>IFERROR(VLOOKUP(C:C,'[1]TOTAL APO'!$A:$B,2,0),)</f>
        <v>0</v>
      </c>
      <c r="M936" s="38">
        <f>IFERROR(VLOOKUP(A:A,[1]Short!$A:$Q,17,0),)</f>
        <v>0</v>
      </c>
      <c r="N936" s="38">
        <f>IFERROR(VLOOKUP(C:C,[1]GIT!$B:$D,3,0),)</f>
        <v>0</v>
      </c>
      <c r="O936" s="38">
        <f>IFERROR(VLOOKUP(A:A,[2]Sheet1!$A:$B,2,0),)</f>
        <v>0</v>
      </c>
      <c r="P936" s="38">
        <f>IFERROR(VLOOKUP(A:A,[2]Sheet1!$A:$B,2,0),)</f>
        <v>0</v>
      </c>
      <c r="Q936" s="38">
        <f t="shared" si="14"/>
        <v>0</v>
      </c>
      <c r="R936" s="38"/>
      <c r="S936" s="38"/>
    </row>
    <row r="937" spans="1:19" hidden="1" x14ac:dyDescent="0.25">
      <c r="A937" s="38" t="str">
        <f>F937&amp;C937</f>
        <v/>
      </c>
      <c r="B937" s="38" t="str">
        <f>IF(J937&gt;=SUMIFS(E:E,C:C,C937),"Good to go","Short in Qty")</f>
        <v>Good to go</v>
      </c>
      <c r="C937" s="40"/>
      <c r="D937" s="40"/>
      <c r="E937" s="66"/>
      <c r="F937" s="38"/>
      <c r="G937" s="40"/>
      <c r="H937" s="38"/>
      <c r="I937" s="38"/>
      <c r="J937" s="38">
        <f>IFERROR(VLOOKUP(C:C,'[1]S&amp;S'!$B:$F,5,0),)</f>
        <v>0</v>
      </c>
      <c r="K937" s="38">
        <f>IFERROR(VLOOKUP(A:A,[1]APO!$A:$F,6,0),)</f>
        <v>0</v>
      </c>
      <c r="L937" s="38">
        <f>IFERROR(VLOOKUP(C:C,'[1]TOTAL APO'!$A:$B,2,0),)</f>
        <v>0</v>
      </c>
      <c r="M937" s="38">
        <f>IFERROR(VLOOKUP(A:A,[1]Short!$A:$Q,17,0),)</f>
        <v>0</v>
      </c>
      <c r="N937" s="38">
        <f>IFERROR(VLOOKUP(C:C,[1]GIT!$B:$D,3,0),)</f>
        <v>0</v>
      </c>
      <c r="O937" s="38">
        <f>IFERROR(VLOOKUP(A:A,[2]Sheet1!$A:$B,2,0),)</f>
        <v>0</v>
      </c>
      <c r="P937" s="38">
        <f>IFERROR(VLOOKUP(A:A,[2]Sheet1!$A:$B,2,0),)</f>
        <v>0</v>
      </c>
      <c r="Q937" s="38">
        <f t="shared" si="14"/>
        <v>0</v>
      </c>
      <c r="R937" s="38"/>
      <c r="S937" s="38"/>
    </row>
    <row r="938" spans="1:19" hidden="1" x14ac:dyDescent="0.25">
      <c r="A938" s="38" t="str">
        <f>F938&amp;C938</f>
        <v/>
      </c>
      <c r="B938" s="38" t="str">
        <f>IF(J938&gt;=SUMIFS(E:E,C:C,C938),"Good to go","Short in Qty")</f>
        <v>Good to go</v>
      </c>
      <c r="C938" s="40"/>
      <c r="D938" s="40"/>
      <c r="E938" s="66"/>
      <c r="F938" s="38"/>
      <c r="G938" s="40"/>
      <c r="H938" s="38"/>
      <c r="I938" s="38"/>
      <c r="J938" s="38">
        <f>IFERROR(VLOOKUP(C:C,'[1]S&amp;S'!$B:$F,5,0),)</f>
        <v>0</v>
      </c>
      <c r="K938" s="38">
        <f>IFERROR(VLOOKUP(A:A,[1]APO!$A:$F,6,0),)</f>
        <v>0</v>
      </c>
      <c r="L938" s="38">
        <f>IFERROR(VLOOKUP(C:C,'[1]TOTAL APO'!$A:$B,2,0),)</f>
        <v>0</v>
      </c>
      <c r="M938" s="38">
        <f>IFERROR(VLOOKUP(A:A,[1]Short!$A:$Q,17,0),)</f>
        <v>0</v>
      </c>
      <c r="N938" s="38">
        <f>IFERROR(VLOOKUP(C:C,[1]GIT!$B:$D,3,0),)</f>
        <v>0</v>
      </c>
      <c r="O938" s="38">
        <f>IFERROR(VLOOKUP(A:A,[2]Sheet1!$A:$B,2,0),)</f>
        <v>0</v>
      </c>
      <c r="P938" s="38">
        <f>IFERROR(VLOOKUP(A:A,[2]Sheet1!$A:$B,2,0),)</f>
        <v>0</v>
      </c>
      <c r="Q938" s="38">
        <f t="shared" si="14"/>
        <v>0</v>
      </c>
      <c r="R938" s="38"/>
      <c r="S938" s="38"/>
    </row>
    <row r="939" spans="1:19" hidden="1" x14ac:dyDescent="0.25">
      <c r="A939" s="38" t="str">
        <f>F939&amp;C939</f>
        <v/>
      </c>
      <c r="B939" s="38" t="str">
        <f>IF(J939&gt;=SUMIFS(E:E,C:C,C939),"Good to go","Short in Qty")</f>
        <v>Good to go</v>
      </c>
      <c r="C939" s="40"/>
      <c r="D939" s="40"/>
      <c r="E939" s="66"/>
      <c r="F939" s="38"/>
      <c r="G939" s="40"/>
      <c r="H939" s="38"/>
      <c r="I939" s="38"/>
      <c r="J939" s="38">
        <f>IFERROR(VLOOKUP(C:C,'[1]S&amp;S'!$B:$F,5,0),)</f>
        <v>0</v>
      </c>
      <c r="K939" s="38">
        <f>IFERROR(VLOOKUP(A:A,[1]APO!$A:$F,6,0),)</f>
        <v>0</v>
      </c>
      <c r="L939" s="38">
        <f>IFERROR(VLOOKUP(C:C,'[1]TOTAL APO'!$A:$B,2,0),)</f>
        <v>0</v>
      </c>
      <c r="M939" s="38">
        <f>IFERROR(VLOOKUP(A:A,[1]Short!$A:$Q,17,0),)</f>
        <v>0</v>
      </c>
      <c r="N939" s="38">
        <f>IFERROR(VLOOKUP(C:C,[1]GIT!$B:$D,3,0),)</f>
        <v>0</v>
      </c>
      <c r="O939" s="38">
        <f>IFERROR(VLOOKUP(A:A,[2]Sheet1!$A:$B,2,0),)</f>
        <v>0</v>
      </c>
      <c r="P939" s="38">
        <f>IFERROR(VLOOKUP(A:A,[2]Sheet1!$A:$B,2,0),)</f>
        <v>0</v>
      </c>
      <c r="Q939" s="38">
        <f t="shared" si="14"/>
        <v>0</v>
      </c>
      <c r="R939" s="38"/>
      <c r="S939" s="38"/>
    </row>
    <row r="940" spans="1:19" hidden="1" x14ac:dyDescent="0.25">
      <c r="A940" s="38" t="str">
        <f>F940&amp;C940</f>
        <v/>
      </c>
      <c r="B940" s="38" t="str">
        <f>IF(J940&gt;=SUMIFS(E:E,C:C,C940),"Good to go","Short in Qty")</f>
        <v>Good to go</v>
      </c>
      <c r="C940" s="40"/>
      <c r="D940" s="40"/>
      <c r="E940" s="66"/>
      <c r="F940" s="38"/>
      <c r="G940" s="40"/>
      <c r="H940" s="38"/>
      <c r="I940" s="38"/>
      <c r="J940" s="38">
        <f>IFERROR(VLOOKUP(C:C,'[1]S&amp;S'!$B:$F,5,0),)</f>
        <v>0</v>
      </c>
      <c r="K940" s="38">
        <f>IFERROR(VLOOKUP(A:A,[1]APO!$A:$F,6,0),)</f>
        <v>0</v>
      </c>
      <c r="L940" s="38">
        <f>IFERROR(VLOOKUP(C:C,'[1]TOTAL APO'!$A:$B,2,0),)</f>
        <v>0</v>
      </c>
      <c r="M940" s="38">
        <f>IFERROR(VLOOKUP(A:A,[1]Short!$A:$Q,17,0),)</f>
        <v>0</v>
      </c>
      <c r="N940" s="38">
        <f>IFERROR(VLOOKUP(C:C,[1]GIT!$B:$D,3,0),)</f>
        <v>0</v>
      </c>
      <c r="O940" s="38">
        <f>IFERROR(VLOOKUP(A:A,[2]Sheet1!$A:$B,2,0),)</f>
        <v>0</v>
      </c>
      <c r="P940" s="38">
        <f>IFERROR(VLOOKUP(A:A,[2]Sheet1!$A:$B,2,0),)</f>
        <v>0</v>
      </c>
      <c r="Q940" s="38">
        <f t="shared" si="14"/>
        <v>0</v>
      </c>
      <c r="R940" s="38"/>
      <c r="S940" s="38"/>
    </row>
    <row r="941" spans="1:19" hidden="1" x14ac:dyDescent="0.25">
      <c r="A941" s="38" t="str">
        <f>F941&amp;C941</f>
        <v/>
      </c>
      <c r="B941" s="38" t="str">
        <f>IF(J941&gt;=SUMIFS(E:E,C:C,C941),"Good to go","Short in Qty")</f>
        <v>Good to go</v>
      </c>
      <c r="C941" s="40"/>
      <c r="D941" s="40"/>
      <c r="E941" s="66"/>
      <c r="F941" s="38"/>
      <c r="G941" s="40"/>
      <c r="H941" s="38"/>
      <c r="I941" s="38"/>
      <c r="J941" s="38">
        <f>IFERROR(VLOOKUP(C:C,'[1]S&amp;S'!$B:$F,5,0),)</f>
        <v>0</v>
      </c>
      <c r="K941" s="38">
        <f>IFERROR(VLOOKUP(A:A,[1]APO!$A:$F,6,0),)</f>
        <v>0</v>
      </c>
      <c r="L941" s="38">
        <f>IFERROR(VLOOKUP(C:C,'[1]TOTAL APO'!$A:$B,2,0),)</f>
        <v>0</v>
      </c>
      <c r="M941" s="38">
        <f>IFERROR(VLOOKUP(A:A,[1]Short!$A:$Q,17,0),)</f>
        <v>0</v>
      </c>
      <c r="N941" s="38">
        <f>IFERROR(VLOOKUP(C:C,[1]GIT!$B:$D,3,0),)</f>
        <v>0</v>
      </c>
      <c r="O941" s="38">
        <f>IFERROR(VLOOKUP(A:A,[2]Sheet1!$A:$B,2,0),)</f>
        <v>0</v>
      </c>
      <c r="P941" s="38">
        <f>IFERROR(VLOOKUP(A:A,[2]Sheet1!$A:$B,2,0),)</f>
        <v>0</v>
      </c>
      <c r="Q941" s="38">
        <f t="shared" si="14"/>
        <v>0</v>
      </c>
      <c r="R941" s="38"/>
      <c r="S941" s="38"/>
    </row>
    <row r="942" spans="1:19" hidden="1" x14ac:dyDescent="0.25">
      <c r="A942" s="38" t="str">
        <f>F942&amp;C942</f>
        <v/>
      </c>
      <c r="B942" s="38" t="str">
        <f>IF(J942&gt;=SUMIFS(E:E,C:C,C942),"Good to go","Short in Qty")</f>
        <v>Good to go</v>
      </c>
      <c r="C942" s="40"/>
      <c r="D942" s="40"/>
      <c r="E942" s="66"/>
      <c r="F942" s="38"/>
      <c r="G942" s="40"/>
      <c r="H942" s="38"/>
      <c r="I942" s="38"/>
      <c r="J942" s="38">
        <f>IFERROR(VLOOKUP(C:C,'[1]S&amp;S'!$B:$F,5,0),)</f>
        <v>0</v>
      </c>
      <c r="K942" s="38">
        <f>IFERROR(VLOOKUP(A:A,[1]APO!$A:$F,6,0),)</f>
        <v>0</v>
      </c>
      <c r="L942" s="38">
        <f>IFERROR(VLOOKUP(C:C,'[1]TOTAL APO'!$A:$B,2,0),)</f>
        <v>0</v>
      </c>
      <c r="M942" s="38">
        <f>IFERROR(VLOOKUP(A:A,[1]Short!$A:$Q,17,0),)</f>
        <v>0</v>
      </c>
      <c r="N942" s="38">
        <f>IFERROR(VLOOKUP(C:C,[1]GIT!$B:$D,3,0),)</f>
        <v>0</v>
      </c>
      <c r="O942" s="38">
        <f>IFERROR(VLOOKUP(A:A,[2]Sheet1!$A:$B,2,0),)</f>
        <v>0</v>
      </c>
      <c r="P942" s="38">
        <f>IFERROR(VLOOKUP(A:A,[2]Sheet1!$A:$B,2,0),)</f>
        <v>0</v>
      </c>
      <c r="Q942" s="38">
        <f t="shared" si="14"/>
        <v>0</v>
      </c>
      <c r="R942" s="38"/>
      <c r="S942" s="38"/>
    </row>
    <row r="943" spans="1:19" hidden="1" x14ac:dyDescent="0.25">
      <c r="A943" s="38" t="str">
        <f>F943&amp;C943</f>
        <v/>
      </c>
      <c r="B943" s="38" t="str">
        <f>IF(J943&gt;=SUMIFS(E:E,C:C,C943),"Good to go","Short in Qty")</f>
        <v>Good to go</v>
      </c>
      <c r="C943" s="40"/>
      <c r="D943" s="40"/>
      <c r="E943" s="66"/>
      <c r="F943" s="38"/>
      <c r="G943" s="40"/>
      <c r="H943" s="38"/>
      <c r="I943" s="38"/>
      <c r="J943" s="38">
        <f>IFERROR(VLOOKUP(C:C,'[1]S&amp;S'!$B:$F,5,0),)</f>
        <v>0</v>
      </c>
      <c r="K943" s="38">
        <f>IFERROR(VLOOKUP(A:A,[1]APO!$A:$F,6,0),)</f>
        <v>0</v>
      </c>
      <c r="L943" s="38">
        <f>IFERROR(VLOOKUP(C:C,'[1]TOTAL APO'!$A:$B,2,0),)</f>
        <v>0</v>
      </c>
      <c r="M943" s="38">
        <f>IFERROR(VLOOKUP(A:A,[1]Short!$A:$Q,17,0),)</f>
        <v>0</v>
      </c>
      <c r="N943" s="38">
        <f>IFERROR(VLOOKUP(C:C,[1]GIT!$B:$D,3,0),)</f>
        <v>0</v>
      </c>
      <c r="O943" s="38">
        <f>IFERROR(VLOOKUP(A:A,[2]Sheet1!$A:$B,2,0),)</f>
        <v>0</v>
      </c>
      <c r="P943" s="38">
        <f>IFERROR(VLOOKUP(A:A,[2]Sheet1!$A:$B,2,0),)</f>
        <v>0</v>
      </c>
      <c r="Q943" s="38">
        <f t="shared" si="14"/>
        <v>0</v>
      </c>
      <c r="R943" s="38"/>
      <c r="S943" s="38"/>
    </row>
    <row r="944" spans="1:19" hidden="1" x14ac:dyDescent="0.25">
      <c r="A944" s="38" t="str">
        <f>F944&amp;C944</f>
        <v/>
      </c>
      <c r="B944" s="38" t="str">
        <f>IF(J944&gt;=SUMIFS(E:E,C:C,C944),"Good to go","Short in Qty")</f>
        <v>Good to go</v>
      </c>
      <c r="C944" s="40"/>
      <c r="D944" s="40"/>
      <c r="E944" s="66"/>
      <c r="F944" s="38"/>
      <c r="G944" s="40"/>
      <c r="H944" s="38"/>
      <c r="I944" s="38"/>
      <c r="J944" s="38">
        <f>IFERROR(VLOOKUP(C:C,'[1]S&amp;S'!$B:$F,5,0),)</f>
        <v>0</v>
      </c>
      <c r="K944" s="38">
        <f>IFERROR(VLOOKUP(A:A,[1]APO!$A:$F,6,0),)</f>
        <v>0</v>
      </c>
      <c r="L944" s="38">
        <f>IFERROR(VLOOKUP(C:C,'[1]TOTAL APO'!$A:$B,2,0),)</f>
        <v>0</v>
      </c>
      <c r="M944" s="38">
        <f>IFERROR(VLOOKUP(A:A,[1]Short!$A:$Q,17,0),)</f>
        <v>0</v>
      </c>
      <c r="N944" s="38">
        <f>IFERROR(VLOOKUP(C:C,[1]GIT!$B:$D,3,0),)</f>
        <v>0</v>
      </c>
      <c r="O944" s="38">
        <f>IFERROR(VLOOKUP(A:A,[2]Sheet1!$A:$B,2,0),)</f>
        <v>0</v>
      </c>
      <c r="P944" s="38">
        <f>IFERROR(VLOOKUP(A:A,[2]Sheet1!$A:$B,2,0),)</f>
        <v>0</v>
      </c>
      <c r="Q944" s="38">
        <f t="shared" si="14"/>
        <v>0</v>
      </c>
      <c r="R944" s="38"/>
      <c r="S944" s="38"/>
    </row>
    <row r="945" spans="1:19" hidden="1" x14ac:dyDescent="0.25">
      <c r="A945" s="38" t="str">
        <f>F945&amp;C945</f>
        <v/>
      </c>
      <c r="B945" s="38" t="str">
        <f>IF(J945&gt;=SUMIFS(E:E,C:C,C945),"Good to go","Short in Qty")</f>
        <v>Good to go</v>
      </c>
      <c r="C945" s="40"/>
      <c r="D945" s="40"/>
      <c r="E945" s="66"/>
      <c r="F945" s="38"/>
      <c r="G945" s="40"/>
      <c r="H945" s="38"/>
      <c r="I945" s="38"/>
      <c r="J945" s="38">
        <f>IFERROR(VLOOKUP(C:C,'[1]S&amp;S'!$B:$F,5,0),)</f>
        <v>0</v>
      </c>
      <c r="K945" s="38">
        <f>IFERROR(VLOOKUP(A:A,[1]APO!$A:$F,6,0),)</f>
        <v>0</v>
      </c>
      <c r="L945" s="38">
        <f>IFERROR(VLOOKUP(C:C,'[1]TOTAL APO'!$A:$B,2,0),)</f>
        <v>0</v>
      </c>
      <c r="M945" s="38">
        <f>IFERROR(VLOOKUP(A:A,[1]Short!$A:$Q,17,0),)</f>
        <v>0</v>
      </c>
      <c r="N945" s="38">
        <f>IFERROR(VLOOKUP(C:C,[1]GIT!$B:$D,3,0),)</f>
        <v>0</v>
      </c>
      <c r="O945" s="38">
        <f>IFERROR(VLOOKUP(A:A,[2]Sheet1!$A:$B,2,0),)</f>
        <v>0</v>
      </c>
      <c r="P945" s="38">
        <f>IFERROR(VLOOKUP(A:A,[2]Sheet1!$A:$B,2,0),)</f>
        <v>0</v>
      </c>
      <c r="Q945" s="38">
        <f t="shared" si="14"/>
        <v>0</v>
      </c>
      <c r="R945" s="38"/>
      <c r="S945" s="38"/>
    </row>
    <row r="946" spans="1:19" hidden="1" x14ac:dyDescent="0.25">
      <c r="A946" s="38" t="str">
        <f>F946&amp;C946</f>
        <v/>
      </c>
      <c r="B946" s="38" t="str">
        <f>IF(J946&gt;=SUMIFS(E:E,C:C,C946),"Good to go","Short in Qty")</f>
        <v>Good to go</v>
      </c>
      <c r="C946" s="40"/>
      <c r="D946" s="40"/>
      <c r="E946" s="66"/>
      <c r="F946" s="38"/>
      <c r="G946" s="40"/>
      <c r="H946" s="38"/>
      <c r="I946" s="38"/>
      <c r="J946" s="38">
        <f>IFERROR(VLOOKUP(C:C,'[1]S&amp;S'!$B:$F,5,0),)</f>
        <v>0</v>
      </c>
      <c r="K946" s="38">
        <f>IFERROR(VLOOKUP(A:A,[1]APO!$A:$F,6,0),)</f>
        <v>0</v>
      </c>
      <c r="L946" s="38">
        <f>IFERROR(VLOOKUP(C:C,'[1]TOTAL APO'!$A:$B,2,0),)</f>
        <v>0</v>
      </c>
      <c r="M946" s="38">
        <f>IFERROR(VLOOKUP(A:A,[1]Short!$A:$Q,17,0),)</f>
        <v>0</v>
      </c>
      <c r="N946" s="38">
        <f>IFERROR(VLOOKUP(C:C,[1]GIT!$B:$D,3,0),)</f>
        <v>0</v>
      </c>
      <c r="O946" s="38">
        <f>IFERROR(VLOOKUP(A:A,[2]Sheet1!$A:$B,2,0),)</f>
        <v>0</v>
      </c>
      <c r="P946" s="38">
        <f>IFERROR(VLOOKUP(A:A,[2]Sheet1!$A:$B,2,0),)</f>
        <v>0</v>
      </c>
      <c r="Q946" s="38">
        <f t="shared" si="14"/>
        <v>0</v>
      </c>
      <c r="R946" s="38"/>
      <c r="S946" s="38"/>
    </row>
    <row r="947" spans="1:19" hidden="1" x14ac:dyDescent="0.25">
      <c r="A947" s="38" t="str">
        <f>F947&amp;C947</f>
        <v/>
      </c>
      <c r="B947" s="38" t="str">
        <f>IF(J947&gt;=SUMIFS(E:E,C:C,C947),"Good to go","Short in Qty")</f>
        <v>Good to go</v>
      </c>
      <c r="C947" s="40"/>
      <c r="D947" s="40"/>
      <c r="E947" s="66"/>
      <c r="F947" s="38"/>
      <c r="G947" s="40"/>
      <c r="H947" s="38"/>
      <c r="I947" s="38"/>
      <c r="J947" s="38">
        <f>IFERROR(VLOOKUP(C:C,'[1]S&amp;S'!$B:$F,5,0),)</f>
        <v>0</v>
      </c>
      <c r="K947" s="38">
        <f>IFERROR(VLOOKUP(A:A,[1]APO!$A:$F,6,0),)</f>
        <v>0</v>
      </c>
      <c r="L947" s="38">
        <f>IFERROR(VLOOKUP(C:C,'[1]TOTAL APO'!$A:$B,2,0),)</f>
        <v>0</v>
      </c>
      <c r="M947" s="38">
        <f>IFERROR(VLOOKUP(A:A,[1]Short!$A:$Q,17,0),)</f>
        <v>0</v>
      </c>
      <c r="N947" s="38">
        <f>IFERROR(VLOOKUP(C:C,[1]GIT!$B:$D,3,0),)</f>
        <v>0</v>
      </c>
      <c r="O947" s="38">
        <f>IFERROR(VLOOKUP(A:A,[2]Sheet1!$A:$B,2,0),)</f>
        <v>0</v>
      </c>
      <c r="P947" s="38">
        <f>IFERROR(VLOOKUP(A:A,[2]Sheet1!$A:$B,2,0),)</f>
        <v>0</v>
      </c>
      <c r="Q947" s="38">
        <f t="shared" si="14"/>
        <v>0</v>
      </c>
      <c r="R947" s="38"/>
      <c r="S947" s="38"/>
    </row>
    <row r="948" spans="1:19" hidden="1" x14ac:dyDescent="0.25">
      <c r="A948" s="38" t="str">
        <f>F948&amp;C948</f>
        <v/>
      </c>
      <c r="B948" s="38" t="str">
        <f>IF(J948&gt;=SUMIFS(E:E,C:C,C948),"Good to go","Short in Qty")</f>
        <v>Good to go</v>
      </c>
      <c r="C948" s="40"/>
      <c r="D948" s="40"/>
      <c r="E948" s="66"/>
      <c r="F948" s="38"/>
      <c r="G948" s="40"/>
      <c r="H948" s="38"/>
      <c r="I948" s="38"/>
      <c r="J948" s="38">
        <f>IFERROR(VLOOKUP(C:C,'[1]S&amp;S'!$B:$F,5,0),)</f>
        <v>0</v>
      </c>
      <c r="K948" s="38">
        <f>IFERROR(VLOOKUP(A:A,[1]APO!$A:$F,6,0),)</f>
        <v>0</v>
      </c>
      <c r="L948" s="38">
        <f>IFERROR(VLOOKUP(C:C,'[1]TOTAL APO'!$A:$B,2,0),)</f>
        <v>0</v>
      </c>
      <c r="M948" s="38">
        <f>IFERROR(VLOOKUP(A:A,[1]Short!$A:$Q,17,0),)</f>
        <v>0</v>
      </c>
      <c r="N948" s="38">
        <f>IFERROR(VLOOKUP(C:C,[1]GIT!$B:$D,3,0),)</f>
        <v>0</v>
      </c>
      <c r="O948" s="38">
        <f>IFERROR(VLOOKUP(A:A,[2]Sheet1!$A:$B,2,0),)</f>
        <v>0</v>
      </c>
      <c r="P948" s="38">
        <f>IFERROR(VLOOKUP(A:A,[2]Sheet1!$A:$B,2,0),)</f>
        <v>0</v>
      </c>
      <c r="Q948" s="38">
        <f t="shared" si="14"/>
        <v>0</v>
      </c>
      <c r="R948" s="38"/>
      <c r="S948" s="38"/>
    </row>
    <row r="949" spans="1:19" hidden="1" x14ac:dyDescent="0.25">
      <c r="A949" s="38" t="str">
        <f>F949&amp;C949</f>
        <v/>
      </c>
      <c r="B949" s="38" t="str">
        <f>IF(J949&gt;=SUMIFS(E:E,C:C,C949),"Good to go","Short in Qty")</f>
        <v>Good to go</v>
      </c>
      <c r="C949" s="40"/>
      <c r="D949" s="40"/>
      <c r="E949" s="66"/>
      <c r="F949" s="38"/>
      <c r="G949" s="40"/>
      <c r="H949" s="38"/>
      <c r="I949" s="38"/>
      <c r="J949" s="38">
        <f>IFERROR(VLOOKUP(C:C,'[1]S&amp;S'!$B:$F,5,0),)</f>
        <v>0</v>
      </c>
      <c r="K949" s="38">
        <f>IFERROR(VLOOKUP(A:A,[1]APO!$A:$F,6,0),)</f>
        <v>0</v>
      </c>
      <c r="L949" s="38">
        <f>IFERROR(VLOOKUP(C:C,'[1]TOTAL APO'!$A:$B,2,0),)</f>
        <v>0</v>
      </c>
      <c r="M949" s="38">
        <f>IFERROR(VLOOKUP(A:A,[1]Short!$A:$Q,17,0),)</f>
        <v>0</v>
      </c>
      <c r="N949" s="38">
        <f>IFERROR(VLOOKUP(C:C,[1]GIT!$B:$D,3,0),)</f>
        <v>0</v>
      </c>
      <c r="O949" s="38">
        <f>IFERROR(VLOOKUP(A:A,[2]Sheet1!$A:$B,2,0),)</f>
        <v>0</v>
      </c>
      <c r="P949" s="38">
        <f>IFERROR(VLOOKUP(A:A,[2]Sheet1!$A:$B,2,0),)</f>
        <v>0</v>
      </c>
      <c r="Q949" s="38">
        <f t="shared" si="14"/>
        <v>0</v>
      </c>
      <c r="R949" s="38"/>
      <c r="S949" s="38"/>
    </row>
    <row r="950" spans="1:19" hidden="1" x14ac:dyDescent="0.25">
      <c r="A950" s="38" t="str">
        <f>F950&amp;C950</f>
        <v/>
      </c>
      <c r="B950" s="38" t="str">
        <f>IF(J950&gt;=SUMIFS(E:E,C:C,C950),"Good to go","Short in Qty")</f>
        <v>Good to go</v>
      </c>
      <c r="C950" s="40"/>
      <c r="D950" s="40"/>
      <c r="E950" s="66"/>
      <c r="F950" s="38"/>
      <c r="G950" s="40"/>
      <c r="H950" s="38"/>
      <c r="I950" s="38"/>
      <c r="J950" s="38">
        <f>IFERROR(VLOOKUP(C:C,'[1]S&amp;S'!$B:$F,5,0),)</f>
        <v>0</v>
      </c>
      <c r="K950" s="38">
        <f>IFERROR(VLOOKUP(A:A,[1]APO!$A:$F,6,0),)</f>
        <v>0</v>
      </c>
      <c r="L950" s="38">
        <f>IFERROR(VLOOKUP(C:C,'[1]TOTAL APO'!$A:$B,2,0),)</f>
        <v>0</v>
      </c>
      <c r="M950" s="38">
        <f>IFERROR(VLOOKUP(A:A,[1]Short!$A:$Q,17,0),)</f>
        <v>0</v>
      </c>
      <c r="N950" s="38">
        <f>IFERROR(VLOOKUP(C:C,[1]GIT!$B:$D,3,0),)</f>
        <v>0</v>
      </c>
      <c r="O950" s="38">
        <f>IFERROR(VLOOKUP(A:A,[2]Sheet1!$A:$B,2,0),)</f>
        <v>0</v>
      </c>
      <c r="P950" s="38">
        <f>IFERROR(VLOOKUP(A:A,[2]Sheet1!$A:$B,2,0),)</f>
        <v>0</v>
      </c>
      <c r="Q950" s="38">
        <f t="shared" si="14"/>
        <v>0</v>
      </c>
      <c r="R950" s="38"/>
      <c r="S950" s="38"/>
    </row>
    <row r="951" spans="1:19" hidden="1" x14ac:dyDescent="0.25">
      <c r="A951" s="38" t="str">
        <f>F951&amp;C951</f>
        <v/>
      </c>
      <c r="B951" s="38" t="str">
        <f>IF(J951&gt;=SUMIFS(E:E,C:C,C951),"Good to go","Short in Qty")</f>
        <v>Good to go</v>
      </c>
      <c r="C951" s="40"/>
      <c r="D951" s="40"/>
      <c r="E951" s="66"/>
      <c r="F951" s="38"/>
      <c r="G951" s="40"/>
      <c r="H951" s="38"/>
      <c r="I951" s="38"/>
      <c r="J951" s="38">
        <f>IFERROR(VLOOKUP(C:C,'[1]S&amp;S'!$B:$F,5,0),)</f>
        <v>0</v>
      </c>
      <c r="K951" s="38">
        <f>IFERROR(VLOOKUP(A:A,[1]APO!$A:$F,6,0),)</f>
        <v>0</v>
      </c>
      <c r="L951" s="38">
        <f>IFERROR(VLOOKUP(C:C,'[1]TOTAL APO'!$A:$B,2,0),)</f>
        <v>0</v>
      </c>
      <c r="M951" s="38">
        <f>IFERROR(VLOOKUP(A:A,[1]Short!$A:$Q,17,0),)</f>
        <v>0</v>
      </c>
      <c r="N951" s="38">
        <f>IFERROR(VLOOKUP(C:C,[1]GIT!$B:$D,3,0),)</f>
        <v>0</v>
      </c>
      <c r="O951" s="38">
        <f>IFERROR(VLOOKUP(A:A,[2]Sheet1!$A:$B,2,0),)</f>
        <v>0</v>
      </c>
      <c r="P951" s="38">
        <f>IFERROR(VLOOKUP(A:A,[2]Sheet1!$A:$B,2,0),)</f>
        <v>0</v>
      </c>
      <c r="Q951" s="38">
        <f t="shared" si="14"/>
        <v>0</v>
      </c>
      <c r="R951" s="38"/>
      <c r="S951" s="38"/>
    </row>
    <row r="952" spans="1:19" hidden="1" x14ac:dyDescent="0.25">
      <c r="A952" s="38" t="str">
        <f>F952&amp;C952</f>
        <v/>
      </c>
      <c r="B952" s="38" t="str">
        <f>IF(J952&gt;=SUMIFS(E:E,C:C,C952),"Good to go","Short in Qty")</f>
        <v>Good to go</v>
      </c>
      <c r="C952" s="40"/>
      <c r="D952" s="40"/>
      <c r="E952" s="66"/>
      <c r="F952" s="38"/>
      <c r="G952" s="40"/>
      <c r="H952" s="38"/>
      <c r="I952" s="38"/>
      <c r="J952" s="38">
        <f>IFERROR(VLOOKUP(C:C,'[1]S&amp;S'!$B:$F,5,0),)</f>
        <v>0</v>
      </c>
      <c r="K952" s="38">
        <f>IFERROR(VLOOKUP(A:A,[1]APO!$A:$F,6,0),)</f>
        <v>0</v>
      </c>
      <c r="L952" s="38">
        <f>IFERROR(VLOOKUP(C:C,'[1]TOTAL APO'!$A:$B,2,0),)</f>
        <v>0</v>
      </c>
      <c r="M952" s="38">
        <f>IFERROR(VLOOKUP(A:A,[1]Short!$A:$Q,17,0),)</f>
        <v>0</v>
      </c>
      <c r="N952" s="38">
        <f>IFERROR(VLOOKUP(C:C,[1]GIT!$B:$D,3,0),)</f>
        <v>0</v>
      </c>
      <c r="O952" s="38">
        <f>IFERROR(VLOOKUP(A:A,[2]Sheet1!$A:$B,2,0),)</f>
        <v>0</v>
      </c>
      <c r="P952" s="38">
        <f>IFERROR(VLOOKUP(A:A,[2]Sheet1!$A:$B,2,0),)</f>
        <v>0</v>
      </c>
      <c r="Q952" s="38">
        <f t="shared" si="14"/>
        <v>0</v>
      </c>
      <c r="R952" s="38"/>
      <c r="S952" s="38"/>
    </row>
    <row r="953" spans="1:19" hidden="1" x14ac:dyDescent="0.25">
      <c r="A953" s="38" t="str">
        <f>F953&amp;C953</f>
        <v/>
      </c>
      <c r="B953" s="38" t="str">
        <f>IF(J953&gt;=SUMIFS(E:E,C:C,C953),"Good to go","Short in Qty")</f>
        <v>Good to go</v>
      </c>
      <c r="C953" s="40"/>
      <c r="D953" s="40"/>
      <c r="E953" s="66"/>
      <c r="F953" s="38"/>
      <c r="G953" s="40"/>
      <c r="H953" s="38"/>
      <c r="I953" s="38"/>
      <c r="J953" s="38">
        <f>IFERROR(VLOOKUP(C:C,'[1]S&amp;S'!$B:$F,5,0),)</f>
        <v>0</v>
      </c>
      <c r="K953" s="38">
        <f>IFERROR(VLOOKUP(A:A,[1]APO!$A:$F,6,0),)</f>
        <v>0</v>
      </c>
      <c r="L953" s="38">
        <f>IFERROR(VLOOKUP(C:C,'[1]TOTAL APO'!$A:$B,2,0),)</f>
        <v>0</v>
      </c>
      <c r="M953" s="38">
        <f>IFERROR(VLOOKUP(A:A,[1]Short!$A:$Q,17,0),)</f>
        <v>0</v>
      </c>
      <c r="N953" s="38">
        <f>IFERROR(VLOOKUP(C:C,[1]GIT!$B:$D,3,0),)</f>
        <v>0</v>
      </c>
      <c r="O953" s="38">
        <f>IFERROR(VLOOKUP(A:A,[2]Sheet1!$A:$B,2,0),)</f>
        <v>0</v>
      </c>
      <c r="P953" s="38">
        <f>IFERROR(VLOOKUP(A:A,[2]Sheet1!$A:$B,2,0),)</f>
        <v>0</v>
      </c>
      <c r="Q953" s="38">
        <f t="shared" si="14"/>
        <v>0</v>
      </c>
      <c r="R953" s="38"/>
      <c r="S953" s="38"/>
    </row>
    <row r="954" spans="1:19" hidden="1" x14ac:dyDescent="0.25">
      <c r="A954" s="38" t="str">
        <f>F954&amp;C954</f>
        <v/>
      </c>
      <c r="B954" s="38" t="str">
        <f>IF(J954&gt;=SUMIFS(E:E,C:C,C954),"Good to go","Short in Qty")</f>
        <v>Good to go</v>
      </c>
      <c r="C954" s="40"/>
      <c r="D954" s="40"/>
      <c r="E954" s="66"/>
      <c r="F954" s="38"/>
      <c r="G954" s="40"/>
      <c r="H954" s="38"/>
      <c r="I954" s="38"/>
      <c r="J954" s="38">
        <f>IFERROR(VLOOKUP(C:C,'[1]S&amp;S'!$B:$F,5,0),)</f>
        <v>0</v>
      </c>
      <c r="K954" s="38">
        <f>IFERROR(VLOOKUP(A:A,[1]APO!$A:$F,6,0),)</f>
        <v>0</v>
      </c>
      <c r="L954" s="38">
        <f>IFERROR(VLOOKUP(C:C,'[1]TOTAL APO'!$A:$B,2,0),)</f>
        <v>0</v>
      </c>
      <c r="M954" s="38">
        <f>IFERROR(VLOOKUP(A:A,[1]Short!$A:$Q,17,0),)</f>
        <v>0</v>
      </c>
      <c r="N954" s="38">
        <f>IFERROR(VLOOKUP(C:C,[1]GIT!$B:$D,3,0),)</f>
        <v>0</v>
      </c>
      <c r="O954" s="38">
        <f>IFERROR(VLOOKUP(A:A,[2]Sheet1!$A:$B,2,0),)</f>
        <v>0</v>
      </c>
      <c r="P954" s="38">
        <f>IFERROR(VLOOKUP(A:A,[2]Sheet1!$A:$B,2,0),)</f>
        <v>0</v>
      </c>
      <c r="Q954" s="38">
        <f t="shared" si="14"/>
        <v>0</v>
      </c>
      <c r="R954" s="38"/>
      <c r="S954" s="38"/>
    </row>
    <row r="955" spans="1:19" hidden="1" x14ac:dyDescent="0.25">
      <c r="A955" s="38" t="str">
        <f>F955&amp;C955</f>
        <v/>
      </c>
      <c r="B955" s="38" t="str">
        <f>IF(J955&gt;=SUMIFS(E:E,C:C,C955),"Good to go","Short in Qty")</f>
        <v>Good to go</v>
      </c>
      <c r="C955" s="40"/>
      <c r="D955" s="40"/>
      <c r="E955" s="66"/>
      <c r="F955" s="38"/>
      <c r="G955" s="40"/>
      <c r="H955" s="38"/>
      <c r="I955" s="38"/>
      <c r="J955" s="38">
        <f>IFERROR(VLOOKUP(C:C,'[1]S&amp;S'!$B:$F,5,0),)</f>
        <v>0</v>
      </c>
      <c r="K955" s="38">
        <f>IFERROR(VLOOKUP(A:A,[1]APO!$A:$F,6,0),)</f>
        <v>0</v>
      </c>
      <c r="L955" s="38">
        <f>IFERROR(VLOOKUP(C:C,'[1]TOTAL APO'!$A:$B,2,0),)</f>
        <v>0</v>
      </c>
      <c r="M955" s="38">
        <f>IFERROR(VLOOKUP(A:A,[1]Short!$A:$Q,17,0),)</f>
        <v>0</v>
      </c>
      <c r="N955" s="38">
        <f>IFERROR(VLOOKUP(C:C,[1]GIT!$B:$D,3,0),)</f>
        <v>0</v>
      </c>
      <c r="O955" s="38">
        <f>IFERROR(VLOOKUP(A:A,[2]Sheet1!$A:$B,2,0),)</f>
        <v>0</v>
      </c>
      <c r="P955" s="38">
        <f>IFERROR(VLOOKUP(A:A,[2]Sheet1!$A:$B,2,0),)</f>
        <v>0</v>
      </c>
      <c r="Q955" s="38">
        <f t="shared" si="14"/>
        <v>0</v>
      </c>
      <c r="R955" s="38"/>
      <c r="S955" s="38"/>
    </row>
    <row r="956" spans="1:19" hidden="1" x14ac:dyDescent="0.25">
      <c r="A956" s="38" t="str">
        <f>F956&amp;C956</f>
        <v/>
      </c>
      <c r="B956" s="38" t="str">
        <f>IF(J956&gt;=SUMIFS(E:E,C:C,C956),"Good to go","Short in Qty")</f>
        <v>Good to go</v>
      </c>
      <c r="C956" s="40"/>
      <c r="D956" s="40"/>
      <c r="E956" s="66"/>
      <c r="F956" s="38"/>
      <c r="G956" s="40"/>
      <c r="H956" s="38"/>
      <c r="I956" s="38"/>
      <c r="J956" s="38">
        <f>IFERROR(VLOOKUP(C:C,'[1]S&amp;S'!$B:$F,5,0),)</f>
        <v>0</v>
      </c>
      <c r="K956" s="38">
        <f>IFERROR(VLOOKUP(A:A,[1]APO!$A:$F,6,0),)</f>
        <v>0</v>
      </c>
      <c r="L956" s="38">
        <f>IFERROR(VLOOKUP(C:C,'[1]TOTAL APO'!$A:$B,2,0),)</f>
        <v>0</v>
      </c>
      <c r="M956" s="38">
        <f>IFERROR(VLOOKUP(A:A,[1]Short!$A:$Q,17,0),)</f>
        <v>0</v>
      </c>
      <c r="N956" s="38">
        <f>IFERROR(VLOOKUP(C:C,[1]GIT!$B:$D,3,0),)</f>
        <v>0</v>
      </c>
      <c r="O956" s="38">
        <f>IFERROR(VLOOKUP(A:A,[2]Sheet1!$A:$B,2,0),)</f>
        <v>0</v>
      </c>
      <c r="P956" s="38">
        <f>IFERROR(VLOOKUP(A:A,[2]Sheet1!$A:$B,2,0),)</f>
        <v>0</v>
      </c>
      <c r="Q956" s="38">
        <f t="shared" si="14"/>
        <v>0</v>
      </c>
      <c r="R956" s="38"/>
      <c r="S956" s="38"/>
    </row>
    <row r="957" spans="1:19" hidden="1" x14ac:dyDescent="0.25">
      <c r="A957" s="38" t="str">
        <f>F957&amp;C957</f>
        <v/>
      </c>
      <c r="B957" s="38" t="str">
        <f>IF(J957&gt;=SUMIFS(E:E,C:C,C957),"Good to go","Short in Qty")</f>
        <v>Good to go</v>
      </c>
      <c r="C957" s="40"/>
      <c r="D957" s="40"/>
      <c r="E957" s="66"/>
      <c r="F957" s="38"/>
      <c r="G957" s="40"/>
      <c r="H957" s="38"/>
      <c r="I957" s="38"/>
      <c r="J957" s="38">
        <f>IFERROR(VLOOKUP(C:C,'[1]S&amp;S'!$B:$F,5,0),)</f>
        <v>0</v>
      </c>
      <c r="K957" s="38">
        <f>IFERROR(VLOOKUP(A:A,[1]APO!$A:$F,6,0),)</f>
        <v>0</v>
      </c>
      <c r="L957" s="38">
        <f>IFERROR(VLOOKUP(C:C,'[1]TOTAL APO'!$A:$B,2,0),)</f>
        <v>0</v>
      </c>
      <c r="M957" s="38">
        <f>IFERROR(VLOOKUP(A:A,[1]Short!$A:$Q,17,0),)</f>
        <v>0</v>
      </c>
      <c r="N957" s="38">
        <f>IFERROR(VLOOKUP(C:C,[1]GIT!$B:$D,3,0),)</f>
        <v>0</v>
      </c>
      <c r="O957" s="38">
        <f>IFERROR(VLOOKUP(A:A,[2]Sheet1!$A:$B,2,0),)</f>
        <v>0</v>
      </c>
      <c r="P957" s="38">
        <f>IFERROR(VLOOKUP(A:A,[2]Sheet1!$A:$B,2,0),)</f>
        <v>0</v>
      </c>
      <c r="Q957" s="38">
        <f t="shared" si="14"/>
        <v>0</v>
      </c>
      <c r="R957" s="38"/>
      <c r="S957" s="38"/>
    </row>
    <row r="958" spans="1:19" hidden="1" x14ac:dyDescent="0.25">
      <c r="A958" s="38" t="str">
        <f>F958&amp;C958</f>
        <v/>
      </c>
      <c r="B958" s="38" t="str">
        <f>IF(J958&gt;=SUMIFS(E:E,C:C,C958),"Good to go","Short in Qty")</f>
        <v>Good to go</v>
      </c>
      <c r="C958" s="40"/>
      <c r="D958" s="40"/>
      <c r="E958" s="66"/>
      <c r="F958" s="38"/>
      <c r="G958" s="40"/>
      <c r="H958" s="38"/>
      <c r="I958" s="38"/>
      <c r="J958" s="38">
        <f>IFERROR(VLOOKUP(C:C,'[1]S&amp;S'!$B:$F,5,0),)</f>
        <v>0</v>
      </c>
      <c r="K958" s="38">
        <f>IFERROR(VLOOKUP(A:A,[1]APO!$A:$F,6,0),)</f>
        <v>0</v>
      </c>
      <c r="L958" s="38">
        <f>IFERROR(VLOOKUP(C:C,'[1]TOTAL APO'!$A:$B,2,0),)</f>
        <v>0</v>
      </c>
      <c r="M958" s="38">
        <f>IFERROR(VLOOKUP(A:A,[1]Short!$A:$Q,17,0),)</f>
        <v>0</v>
      </c>
      <c r="N958" s="38">
        <f>IFERROR(VLOOKUP(C:C,[1]GIT!$B:$D,3,0),)</f>
        <v>0</v>
      </c>
      <c r="O958" s="38">
        <f>IFERROR(VLOOKUP(A:A,[2]Sheet1!$A:$B,2,0),)</f>
        <v>0</v>
      </c>
      <c r="P958" s="38">
        <f>IFERROR(VLOOKUP(A:A,[2]Sheet1!$A:$B,2,0),)</f>
        <v>0</v>
      </c>
      <c r="Q958" s="38">
        <f t="shared" si="14"/>
        <v>0</v>
      </c>
      <c r="R958" s="38"/>
      <c r="S958" s="38"/>
    </row>
    <row r="959" spans="1:19" hidden="1" x14ac:dyDescent="0.25">
      <c r="A959" s="38" t="str">
        <f>F959&amp;C959</f>
        <v/>
      </c>
      <c r="B959" s="38" t="str">
        <f>IF(J959&gt;=SUMIFS(E:E,C:C,C959),"Good to go","Short in Qty")</f>
        <v>Good to go</v>
      </c>
      <c r="C959" s="40"/>
      <c r="D959" s="40"/>
      <c r="E959" s="66"/>
      <c r="F959" s="38"/>
      <c r="G959" s="40"/>
      <c r="H959" s="38"/>
      <c r="I959" s="38"/>
      <c r="J959" s="38">
        <f>IFERROR(VLOOKUP(C:C,'[1]S&amp;S'!$B:$F,5,0),)</f>
        <v>0</v>
      </c>
      <c r="K959" s="38">
        <f>IFERROR(VLOOKUP(A:A,[1]APO!$A:$F,6,0),)</f>
        <v>0</v>
      </c>
      <c r="L959" s="38">
        <f>IFERROR(VLOOKUP(C:C,'[1]TOTAL APO'!$A:$B,2,0),)</f>
        <v>0</v>
      </c>
      <c r="M959" s="38">
        <f>IFERROR(VLOOKUP(A:A,[1]Short!$A:$Q,17,0),)</f>
        <v>0</v>
      </c>
      <c r="N959" s="38">
        <f>IFERROR(VLOOKUP(C:C,[1]GIT!$B:$D,3,0),)</f>
        <v>0</v>
      </c>
      <c r="O959" s="38">
        <f>IFERROR(VLOOKUP(A:A,[2]Sheet1!$A:$B,2,0),)</f>
        <v>0</v>
      </c>
      <c r="P959" s="38">
        <f>IFERROR(VLOOKUP(A:A,[2]Sheet1!$A:$B,2,0),)</f>
        <v>0</v>
      </c>
      <c r="Q959" s="38">
        <f t="shared" si="14"/>
        <v>0</v>
      </c>
      <c r="R959" s="38"/>
      <c r="S959" s="38"/>
    </row>
    <row r="960" spans="1:19" hidden="1" x14ac:dyDescent="0.25">
      <c r="A960" s="38" t="str">
        <f>F960&amp;C960</f>
        <v/>
      </c>
      <c r="B960" s="38" t="str">
        <f>IF(J960&gt;=SUMIFS(E:E,C:C,C960),"Good to go","Short in Qty")</f>
        <v>Good to go</v>
      </c>
      <c r="C960" s="40"/>
      <c r="D960" s="40"/>
      <c r="E960" s="66"/>
      <c r="F960" s="38"/>
      <c r="G960" s="40"/>
      <c r="H960" s="38"/>
      <c r="I960" s="38"/>
      <c r="J960" s="38">
        <f>IFERROR(VLOOKUP(C:C,'[1]S&amp;S'!$B:$F,5,0),)</f>
        <v>0</v>
      </c>
      <c r="K960" s="38">
        <f>IFERROR(VLOOKUP(A:A,[1]APO!$A:$F,6,0),)</f>
        <v>0</v>
      </c>
      <c r="L960" s="38">
        <f>IFERROR(VLOOKUP(C:C,'[1]TOTAL APO'!$A:$B,2,0),)</f>
        <v>0</v>
      </c>
      <c r="M960" s="38">
        <f>IFERROR(VLOOKUP(A:A,[1]Short!$A:$Q,17,0),)</f>
        <v>0</v>
      </c>
      <c r="N960" s="38">
        <f>IFERROR(VLOOKUP(C:C,[1]GIT!$B:$D,3,0),)</f>
        <v>0</v>
      </c>
      <c r="O960" s="38">
        <f>IFERROR(VLOOKUP(A:A,[2]Sheet1!$A:$B,2,0),)</f>
        <v>0</v>
      </c>
      <c r="P960" s="38">
        <f>IFERROR(VLOOKUP(A:A,[2]Sheet1!$A:$B,2,0),)</f>
        <v>0</v>
      </c>
      <c r="Q960" s="38">
        <f t="shared" si="14"/>
        <v>0</v>
      </c>
      <c r="R960" s="38"/>
      <c r="S960" s="38"/>
    </row>
    <row r="961" spans="1:19" hidden="1" x14ac:dyDescent="0.25">
      <c r="A961" s="38" t="str">
        <f>F961&amp;C961</f>
        <v/>
      </c>
      <c r="B961" s="38" t="str">
        <f>IF(J961&gt;=SUMIFS(E:E,C:C,C961),"Good to go","Short in Qty")</f>
        <v>Good to go</v>
      </c>
      <c r="C961" s="40"/>
      <c r="D961" s="40"/>
      <c r="E961" s="66"/>
      <c r="F961" s="38"/>
      <c r="G961" s="40"/>
      <c r="H961" s="38"/>
      <c r="I961" s="38"/>
      <c r="J961" s="38">
        <f>IFERROR(VLOOKUP(C:C,'[1]S&amp;S'!$B:$F,5,0),)</f>
        <v>0</v>
      </c>
      <c r="K961" s="38">
        <f>IFERROR(VLOOKUP(A:A,[1]APO!$A:$F,6,0),)</f>
        <v>0</v>
      </c>
      <c r="L961" s="38">
        <f>IFERROR(VLOOKUP(C:C,'[1]TOTAL APO'!$A:$B,2,0),)</f>
        <v>0</v>
      </c>
      <c r="M961" s="38">
        <f>IFERROR(VLOOKUP(A:A,[1]Short!$A:$Q,17,0),)</f>
        <v>0</v>
      </c>
      <c r="N961" s="38">
        <f>IFERROR(VLOOKUP(C:C,[1]GIT!$B:$D,3,0),)</f>
        <v>0</v>
      </c>
      <c r="O961" s="38">
        <f>IFERROR(VLOOKUP(A:A,[2]Sheet1!$A:$B,2,0),)</f>
        <v>0</v>
      </c>
      <c r="P961" s="38">
        <f>IFERROR(VLOOKUP(A:A,[2]Sheet1!$A:$B,2,0),)</f>
        <v>0</v>
      </c>
      <c r="Q961" s="38">
        <f t="shared" si="14"/>
        <v>0</v>
      </c>
      <c r="R961" s="38"/>
      <c r="S961" s="38"/>
    </row>
    <row r="962" spans="1:19" hidden="1" x14ac:dyDescent="0.25">
      <c r="A962" s="38" t="str">
        <f>F962&amp;C962</f>
        <v/>
      </c>
      <c r="B962" s="38" t="str">
        <f>IF(J962&gt;=SUMIFS(E:E,C:C,C962),"Good to go","Short in Qty")</f>
        <v>Good to go</v>
      </c>
      <c r="C962" s="40"/>
      <c r="D962" s="40"/>
      <c r="E962" s="66"/>
      <c r="F962" s="38"/>
      <c r="G962" s="40"/>
      <c r="H962" s="38"/>
      <c r="I962" s="38"/>
      <c r="J962" s="38">
        <f>IFERROR(VLOOKUP(C:C,'[1]S&amp;S'!$B:$F,5,0),)</f>
        <v>0</v>
      </c>
      <c r="K962" s="38">
        <f>IFERROR(VLOOKUP(A:A,[1]APO!$A:$F,6,0),)</f>
        <v>0</v>
      </c>
      <c r="L962" s="38">
        <f>IFERROR(VLOOKUP(C:C,'[1]TOTAL APO'!$A:$B,2,0),)</f>
        <v>0</v>
      </c>
      <c r="M962" s="38">
        <f>IFERROR(VLOOKUP(A:A,[1]Short!$A:$Q,17,0),)</f>
        <v>0</v>
      </c>
      <c r="N962" s="38">
        <f>IFERROR(VLOOKUP(C:C,[1]GIT!$B:$D,3,0),)</f>
        <v>0</v>
      </c>
      <c r="O962" s="38">
        <f>IFERROR(VLOOKUP(A:A,[2]Sheet1!$A:$B,2,0),)</f>
        <v>0</v>
      </c>
      <c r="P962" s="38">
        <f>IFERROR(VLOOKUP(A:A,[2]Sheet1!$A:$B,2,0),)</f>
        <v>0</v>
      </c>
      <c r="Q962" s="38">
        <f t="shared" si="14"/>
        <v>0</v>
      </c>
      <c r="R962" s="38"/>
      <c r="S962" s="38"/>
    </row>
    <row r="963" spans="1:19" hidden="1" x14ac:dyDescent="0.25">
      <c r="A963" s="38" t="str">
        <f>F963&amp;C963</f>
        <v/>
      </c>
      <c r="B963" s="38" t="str">
        <f>IF(J963&gt;=SUMIFS(E:E,C:C,C963),"Good to go","Short in Qty")</f>
        <v>Good to go</v>
      </c>
      <c r="C963" s="40"/>
      <c r="D963" s="40"/>
      <c r="E963" s="66"/>
      <c r="F963" s="38"/>
      <c r="G963" s="40"/>
      <c r="H963" s="38"/>
      <c r="I963" s="38"/>
      <c r="J963" s="38">
        <f>IFERROR(VLOOKUP(C:C,'[1]S&amp;S'!$B:$F,5,0),)</f>
        <v>0</v>
      </c>
      <c r="K963" s="38">
        <f>IFERROR(VLOOKUP(A:A,[1]APO!$A:$F,6,0),)</f>
        <v>0</v>
      </c>
      <c r="L963" s="38">
        <f>IFERROR(VLOOKUP(C:C,'[1]TOTAL APO'!$A:$B,2,0),)</f>
        <v>0</v>
      </c>
      <c r="M963" s="38">
        <f>IFERROR(VLOOKUP(A:A,[1]Short!$A:$Q,17,0),)</f>
        <v>0</v>
      </c>
      <c r="N963" s="38">
        <f>IFERROR(VLOOKUP(C:C,[1]GIT!$B:$D,3,0),)</f>
        <v>0</v>
      </c>
      <c r="O963" s="38">
        <f>IFERROR(VLOOKUP(A:A,[2]Sheet1!$A:$B,2,0),)</f>
        <v>0</v>
      </c>
      <c r="P963" s="38">
        <f>IFERROR(VLOOKUP(A:A,[2]Sheet1!$A:$B,2,0),)</f>
        <v>0</v>
      </c>
      <c r="Q963" s="38">
        <f t="shared" ref="Q963:Q1026" si="15">+E963-P963</f>
        <v>0</v>
      </c>
      <c r="R963" s="38"/>
      <c r="S963" s="38"/>
    </row>
    <row r="964" spans="1:19" hidden="1" x14ac:dyDescent="0.25">
      <c r="A964" s="38" t="str">
        <f>F964&amp;C964</f>
        <v/>
      </c>
      <c r="B964" s="38" t="str">
        <f>IF(J964&gt;=SUMIFS(E:E,C:C,C964),"Good to go","Short in Qty")</f>
        <v>Good to go</v>
      </c>
      <c r="C964" s="40"/>
      <c r="D964" s="40"/>
      <c r="E964" s="66"/>
      <c r="F964" s="38"/>
      <c r="G964" s="40"/>
      <c r="H964" s="38"/>
      <c r="I964" s="38"/>
      <c r="J964" s="38">
        <f>IFERROR(VLOOKUP(C:C,'[1]S&amp;S'!$B:$F,5,0),)</f>
        <v>0</v>
      </c>
      <c r="K964" s="38">
        <f>IFERROR(VLOOKUP(A:A,[1]APO!$A:$F,6,0),)</f>
        <v>0</v>
      </c>
      <c r="L964" s="38">
        <f>IFERROR(VLOOKUP(C:C,'[1]TOTAL APO'!$A:$B,2,0),)</f>
        <v>0</v>
      </c>
      <c r="M964" s="38">
        <f>IFERROR(VLOOKUP(A:A,[1]Short!$A:$Q,17,0),)</f>
        <v>0</v>
      </c>
      <c r="N964" s="38">
        <f>IFERROR(VLOOKUP(C:C,[1]GIT!$B:$D,3,0),)</f>
        <v>0</v>
      </c>
      <c r="O964" s="38">
        <f>IFERROR(VLOOKUP(A:A,[2]Sheet1!$A:$B,2,0),)</f>
        <v>0</v>
      </c>
      <c r="P964" s="38">
        <f>IFERROR(VLOOKUP(A:A,[2]Sheet1!$A:$B,2,0),)</f>
        <v>0</v>
      </c>
      <c r="Q964" s="38">
        <f t="shared" si="15"/>
        <v>0</v>
      </c>
      <c r="R964" s="38"/>
      <c r="S964" s="38"/>
    </row>
    <row r="965" spans="1:19" hidden="1" x14ac:dyDescent="0.25">
      <c r="A965" s="38" t="str">
        <f>F965&amp;C965</f>
        <v/>
      </c>
      <c r="B965" s="38" t="str">
        <f>IF(J965&gt;=SUMIFS(E:E,C:C,C965),"Good to go","Short in Qty")</f>
        <v>Good to go</v>
      </c>
      <c r="C965" s="40"/>
      <c r="D965" s="40"/>
      <c r="E965" s="66"/>
      <c r="F965" s="38"/>
      <c r="G965" s="40"/>
      <c r="H965" s="38"/>
      <c r="I965" s="38"/>
      <c r="J965" s="38">
        <f>IFERROR(VLOOKUP(C:C,'[1]S&amp;S'!$B:$F,5,0),)</f>
        <v>0</v>
      </c>
      <c r="K965" s="38">
        <f>IFERROR(VLOOKUP(A:A,[1]APO!$A:$F,6,0),)</f>
        <v>0</v>
      </c>
      <c r="L965" s="38">
        <f>IFERROR(VLOOKUP(C:C,'[1]TOTAL APO'!$A:$B,2,0),)</f>
        <v>0</v>
      </c>
      <c r="M965" s="38">
        <f>IFERROR(VLOOKUP(A:A,[1]Short!$A:$Q,17,0),)</f>
        <v>0</v>
      </c>
      <c r="N965" s="38">
        <f>IFERROR(VLOOKUP(C:C,[1]GIT!$B:$D,3,0),)</f>
        <v>0</v>
      </c>
      <c r="O965" s="38">
        <f>IFERROR(VLOOKUP(A:A,[2]Sheet1!$A:$B,2,0),)</f>
        <v>0</v>
      </c>
      <c r="P965" s="38">
        <f>IFERROR(VLOOKUP(A:A,[2]Sheet1!$A:$B,2,0),)</f>
        <v>0</v>
      </c>
      <c r="Q965" s="38">
        <f t="shared" si="15"/>
        <v>0</v>
      </c>
      <c r="R965" s="38"/>
      <c r="S965" s="38"/>
    </row>
    <row r="966" spans="1:19" hidden="1" x14ac:dyDescent="0.25">
      <c r="A966" s="38" t="str">
        <f>F966&amp;C966</f>
        <v/>
      </c>
      <c r="B966" s="38" t="str">
        <f>IF(J966&gt;=SUMIFS(E:E,C:C,C966),"Good to go","Short in Qty")</f>
        <v>Good to go</v>
      </c>
      <c r="C966" s="40"/>
      <c r="D966" s="40"/>
      <c r="E966" s="66"/>
      <c r="F966" s="38"/>
      <c r="G966" s="40"/>
      <c r="H966" s="38"/>
      <c r="I966" s="38"/>
      <c r="J966" s="38">
        <f>IFERROR(VLOOKUP(C:C,'[1]S&amp;S'!$B:$F,5,0),)</f>
        <v>0</v>
      </c>
      <c r="K966" s="38">
        <f>IFERROR(VLOOKUP(A:A,[1]APO!$A:$F,6,0),)</f>
        <v>0</v>
      </c>
      <c r="L966" s="38">
        <f>IFERROR(VLOOKUP(C:C,'[1]TOTAL APO'!$A:$B,2,0),)</f>
        <v>0</v>
      </c>
      <c r="M966" s="38">
        <f>IFERROR(VLOOKUP(A:A,[1]Short!$A:$Q,17,0),)</f>
        <v>0</v>
      </c>
      <c r="N966" s="38">
        <f>IFERROR(VLOOKUP(C:C,[1]GIT!$B:$D,3,0),)</f>
        <v>0</v>
      </c>
      <c r="O966" s="38">
        <f>IFERROR(VLOOKUP(A:A,[2]Sheet1!$A:$B,2,0),)</f>
        <v>0</v>
      </c>
      <c r="P966" s="38">
        <f>IFERROR(VLOOKUP(A:A,[2]Sheet1!$A:$B,2,0),)</f>
        <v>0</v>
      </c>
      <c r="Q966" s="38">
        <f t="shared" si="15"/>
        <v>0</v>
      </c>
      <c r="R966" s="38"/>
      <c r="S966" s="38"/>
    </row>
    <row r="967" spans="1:19" hidden="1" x14ac:dyDescent="0.25">
      <c r="A967" s="38" t="str">
        <f>F967&amp;C967</f>
        <v/>
      </c>
      <c r="B967" s="38" t="str">
        <f>IF(J967&gt;=SUMIFS(E:E,C:C,C967),"Good to go","Short in Qty")</f>
        <v>Good to go</v>
      </c>
      <c r="C967" s="40"/>
      <c r="D967" s="40"/>
      <c r="E967" s="66"/>
      <c r="F967" s="38"/>
      <c r="G967" s="40"/>
      <c r="H967" s="38"/>
      <c r="I967" s="38"/>
      <c r="J967" s="38">
        <f>IFERROR(VLOOKUP(C:C,'[1]S&amp;S'!$B:$F,5,0),)</f>
        <v>0</v>
      </c>
      <c r="K967" s="38">
        <f>IFERROR(VLOOKUP(A:A,[1]APO!$A:$F,6,0),)</f>
        <v>0</v>
      </c>
      <c r="L967" s="38">
        <f>IFERROR(VLOOKUP(C:C,'[1]TOTAL APO'!$A:$B,2,0),)</f>
        <v>0</v>
      </c>
      <c r="M967" s="38">
        <f>IFERROR(VLOOKUP(A:A,[1]Short!$A:$Q,17,0),)</f>
        <v>0</v>
      </c>
      <c r="N967" s="38">
        <f>IFERROR(VLOOKUP(C:C,[1]GIT!$B:$D,3,0),)</f>
        <v>0</v>
      </c>
      <c r="O967" s="38">
        <f>IFERROR(VLOOKUP(A:A,[2]Sheet1!$A:$B,2,0),)</f>
        <v>0</v>
      </c>
      <c r="P967" s="38">
        <f>IFERROR(VLOOKUP(A:A,[2]Sheet1!$A:$B,2,0),)</f>
        <v>0</v>
      </c>
      <c r="Q967" s="38">
        <f t="shared" si="15"/>
        <v>0</v>
      </c>
      <c r="R967" s="38"/>
      <c r="S967" s="38"/>
    </row>
    <row r="968" spans="1:19" hidden="1" x14ac:dyDescent="0.25">
      <c r="A968" s="38" t="str">
        <f>F968&amp;C968</f>
        <v/>
      </c>
      <c r="B968" s="38" t="str">
        <f>IF(J968&gt;=SUMIFS(E:E,C:C,C968),"Good to go","Short in Qty")</f>
        <v>Good to go</v>
      </c>
      <c r="C968" s="40"/>
      <c r="D968" s="40"/>
      <c r="E968" s="66"/>
      <c r="F968" s="38"/>
      <c r="G968" s="40"/>
      <c r="H968" s="38"/>
      <c r="I968" s="38"/>
      <c r="J968" s="38">
        <f>IFERROR(VLOOKUP(C:C,'[1]S&amp;S'!$B:$F,5,0),)</f>
        <v>0</v>
      </c>
      <c r="K968" s="38">
        <f>IFERROR(VLOOKUP(A:A,[1]APO!$A:$F,6,0),)</f>
        <v>0</v>
      </c>
      <c r="L968" s="38">
        <f>IFERROR(VLOOKUP(C:C,'[1]TOTAL APO'!$A:$B,2,0),)</f>
        <v>0</v>
      </c>
      <c r="M968" s="38">
        <f>IFERROR(VLOOKUP(A:A,[1]Short!$A:$Q,17,0),)</f>
        <v>0</v>
      </c>
      <c r="N968" s="38">
        <f>IFERROR(VLOOKUP(C:C,[1]GIT!$B:$D,3,0),)</f>
        <v>0</v>
      </c>
      <c r="O968" s="38">
        <f>IFERROR(VLOOKUP(A:A,[2]Sheet1!$A:$B,2,0),)</f>
        <v>0</v>
      </c>
      <c r="P968" s="38">
        <f>IFERROR(VLOOKUP(A:A,[2]Sheet1!$A:$B,2,0),)</f>
        <v>0</v>
      </c>
      <c r="Q968" s="38">
        <f t="shared" si="15"/>
        <v>0</v>
      </c>
      <c r="R968" s="38"/>
      <c r="S968" s="38"/>
    </row>
    <row r="969" spans="1:19" hidden="1" x14ac:dyDescent="0.25">
      <c r="A969" s="38" t="str">
        <f>F969&amp;C969</f>
        <v/>
      </c>
      <c r="B969" s="38" t="str">
        <f>IF(J969&gt;=SUMIFS(E:E,C:C,C969),"Good to go","Short in Qty")</f>
        <v>Good to go</v>
      </c>
      <c r="C969" s="40"/>
      <c r="D969" s="40"/>
      <c r="E969" s="66"/>
      <c r="F969" s="38"/>
      <c r="G969" s="40"/>
      <c r="H969" s="38"/>
      <c r="I969" s="38"/>
      <c r="J969" s="38">
        <f>IFERROR(VLOOKUP(C:C,'[1]S&amp;S'!$B:$F,5,0),)</f>
        <v>0</v>
      </c>
      <c r="K969" s="38">
        <f>IFERROR(VLOOKUP(A:A,[1]APO!$A:$F,6,0),)</f>
        <v>0</v>
      </c>
      <c r="L969" s="38">
        <f>IFERROR(VLOOKUP(C:C,'[1]TOTAL APO'!$A:$B,2,0),)</f>
        <v>0</v>
      </c>
      <c r="M969" s="38">
        <f>IFERROR(VLOOKUP(A:A,[1]Short!$A:$Q,17,0),)</f>
        <v>0</v>
      </c>
      <c r="N969" s="38">
        <f>IFERROR(VLOOKUP(C:C,[1]GIT!$B:$D,3,0),)</f>
        <v>0</v>
      </c>
      <c r="O969" s="38">
        <f>IFERROR(VLOOKUP(A:A,[2]Sheet1!$A:$B,2,0),)</f>
        <v>0</v>
      </c>
      <c r="P969" s="38">
        <f>IFERROR(VLOOKUP(A:A,[2]Sheet1!$A:$B,2,0),)</f>
        <v>0</v>
      </c>
      <c r="Q969" s="38">
        <f t="shared" si="15"/>
        <v>0</v>
      </c>
      <c r="R969" s="38"/>
      <c r="S969" s="38"/>
    </row>
    <row r="970" spans="1:19" hidden="1" x14ac:dyDescent="0.25">
      <c r="A970" s="38" t="str">
        <f>F970&amp;C970</f>
        <v/>
      </c>
      <c r="B970" s="38" t="str">
        <f>IF(J970&gt;=SUMIFS(E:E,C:C,C970),"Good to go","Short in Qty")</f>
        <v>Good to go</v>
      </c>
      <c r="C970" s="40"/>
      <c r="D970" s="40"/>
      <c r="E970" s="66"/>
      <c r="F970" s="38"/>
      <c r="G970" s="40"/>
      <c r="H970" s="38"/>
      <c r="I970" s="38"/>
      <c r="J970" s="38">
        <f>IFERROR(VLOOKUP(C:C,'[1]S&amp;S'!$B:$F,5,0),)</f>
        <v>0</v>
      </c>
      <c r="K970" s="38">
        <f>IFERROR(VLOOKUP(A:A,[1]APO!$A:$F,6,0),)</f>
        <v>0</v>
      </c>
      <c r="L970" s="38">
        <f>IFERROR(VLOOKUP(C:C,'[1]TOTAL APO'!$A:$B,2,0),)</f>
        <v>0</v>
      </c>
      <c r="M970" s="38">
        <f>IFERROR(VLOOKUP(A:A,[1]Short!$A:$Q,17,0),)</f>
        <v>0</v>
      </c>
      <c r="N970" s="38">
        <f>IFERROR(VLOOKUP(C:C,[1]GIT!$B:$D,3,0),)</f>
        <v>0</v>
      </c>
      <c r="O970" s="38">
        <f>IFERROR(VLOOKUP(A:A,[2]Sheet1!$A:$B,2,0),)</f>
        <v>0</v>
      </c>
      <c r="P970" s="38">
        <f>IFERROR(VLOOKUP(A:A,[2]Sheet1!$A:$B,2,0),)</f>
        <v>0</v>
      </c>
      <c r="Q970" s="38">
        <f t="shared" si="15"/>
        <v>0</v>
      </c>
      <c r="R970" s="38"/>
      <c r="S970" s="38"/>
    </row>
    <row r="971" spans="1:19" hidden="1" x14ac:dyDescent="0.25">
      <c r="A971" s="38" t="str">
        <f>F971&amp;C971</f>
        <v/>
      </c>
      <c r="B971" s="38" t="str">
        <f>IF(J971&gt;=SUMIFS(E:E,C:C,C971),"Good to go","Short in Qty")</f>
        <v>Good to go</v>
      </c>
      <c r="C971" s="40"/>
      <c r="D971" s="40"/>
      <c r="E971" s="66"/>
      <c r="F971" s="38"/>
      <c r="G971" s="40"/>
      <c r="H971" s="38"/>
      <c r="I971" s="38"/>
      <c r="J971" s="38">
        <f>IFERROR(VLOOKUP(C:C,'[1]S&amp;S'!$B:$F,5,0),)</f>
        <v>0</v>
      </c>
      <c r="K971" s="38">
        <f>IFERROR(VLOOKUP(A:A,[1]APO!$A:$F,6,0),)</f>
        <v>0</v>
      </c>
      <c r="L971" s="38">
        <f>IFERROR(VLOOKUP(C:C,'[1]TOTAL APO'!$A:$B,2,0),)</f>
        <v>0</v>
      </c>
      <c r="M971" s="38">
        <f>IFERROR(VLOOKUP(A:A,[1]Short!$A:$Q,17,0),)</f>
        <v>0</v>
      </c>
      <c r="N971" s="38">
        <f>IFERROR(VLOOKUP(C:C,[1]GIT!$B:$D,3,0),)</f>
        <v>0</v>
      </c>
      <c r="O971" s="38">
        <f>IFERROR(VLOOKUP(A:A,[2]Sheet1!$A:$B,2,0),)</f>
        <v>0</v>
      </c>
      <c r="P971" s="38">
        <f>IFERROR(VLOOKUP(A:A,[2]Sheet1!$A:$B,2,0),)</f>
        <v>0</v>
      </c>
      <c r="Q971" s="38">
        <f t="shared" si="15"/>
        <v>0</v>
      </c>
      <c r="R971" s="38"/>
      <c r="S971" s="38"/>
    </row>
    <row r="972" spans="1:19" hidden="1" x14ac:dyDescent="0.25">
      <c r="A972" s="38" t="str">
        <f>F972&amp;C972</f>
        <v/>
      </c>
      <c r="B972" s="38" t="str">
        <f>IF(J972&gt;=SUMIFS(E:E,C:C,C972),"Good to go","Short in Qty")</f>
        <v>Good to go</v>
      </c>
      <c r="C972" s="40"/>
      <c r="D972" s="40"/>
      <c r="E972" s="66"/>
      <c r="F972" s="38"/>
      <c r="G972" s="40"/>
      <c r="H972" s="38"/>
      <c r="I972" s="38"/>
      <c r="J972" s="38">
        <f>IFERROR(VLOOKUP(C:C,'[1]S&amp;S'!$B:$F,5,0),)</f>
        <v>0</v>
      </c>
      <c r="K972" s="38">
        <f>IFERROR(VLOOKUP(A:A,[1]APO!$A:$F,6,0),)</f>
        <v>0</v>
      </c>
      <c r="L972" s="38">
        <f>IFERROR(VLOOKUP(C:C,'[1]TOTAL APO'!$A:$B,2,0),)</f>
        <v>0</v>
      </c>
      <c r="M972" s="38">
        <f>IFERROR(VLOOKUP(A:A,[1]Short!$A:$Q,17,0),)</f>
        <v>0</v>
      </c>
      <c r="N972" s="38">
        <f>IFERROR(VLOOKUP(C:C,[1]GIT!$B:$D,3,0),)</f>
        <v>0</v>
      </c>
      <c r="O972" s="38">
        <f>IFERROR(VLOOKUP(A:A,[2]Sheet1!$A:$B,2,0),)</f>
        <v>0</v>
      </c>
      <c r="P972" s="38">
        <f>IFERROR(VLOOKUP(A:A,[2]Sheet1!$A:$B,2,0),)</f>
        <v>0</v>
      </c>
      <c r="Q972" s="38">
        <f t="shared" si="15"/>
        <v>0</v>
      </c>
      <c r="R972" s="38"/>
      <c r="S972" s="38"/>
    </row>
    <row r="973" spans="1:19" hidden="1" x14ac:dyDescent="0.25">
      <c r="A973" s="38" t="str">
        <f>F973&amp;C973</f>
        <v/>
      </c>
      <c r="B973" s="38" t="str">
        <f>IF(J973&gt;=SUMIFS(E:E,C:C,C973),"Good to go","Short in Qty")</f>
        <v>Good to go</v>
      </c>
      <c r="C973" s="40"/>
      <c r="D973" s="40"/>
      <c r="E973" s="66"/>
      <c r="F973" s="38"/>
      <c r="G973" s="40"/>
      <c r="H973" s="38"/>
      <c r="I973" s="38"/>
      <c r="J973" s="38">
        <f>IFERROR(VLOOKUP(C:C,'[1]S&amp;S'!$B:$F,5,0),)</f>
        <v>0</v>
      </c>
      <c r="K973" s="38">
        <f>IFERROR(VLOOKUP(A:A,[1]APO!$A:$F,6,0),)</f>
        <v>0</v>
      </c>
      <c r="L973" s="38">
        <f>IFERROR(VLOOKUP(C:C,'[1]TOTAL APO'!$A:$B,2,0),)</f>
        <v>0</v>
      </c>
      <c r="M973" s="38">
        <f>IFERROR(VLOOKUP(A:A,[1]Short!$A:$Q,17,0),)</f>
        <v>0</v>
      </c>
      <c r="N973" s="38">
        <f>IFERROR(VLOOKUP(C:C,[1]GIT!$B:$D,3,0),)</f>
        <v>0</v>
      </c>
      <c r="O973" s="38">
        <f>IFERROR(VLOOKUP(A:A,[2]Sheet1!$A:$B,2,0),)</f>
        <v>0</v>
      </c>
      <c r="P973" s="38">
        <f>IFERROR(VLOOKUP(A:A,[2]Sheet1!$A:$B,2,0),)</f>
        <v>0</v>
      </c>
      <c r="Q973" s="38">
        <f t="shared" si="15"/>
        <v>0</v>
      </c>
      <c r="R973" s="38"/>
      <c r="S973" s="38"/>
    </row>
    <row r="974" spans="1:19" hidden="1" x14ac:dyDescent="0.25">
      <c r="A974" s="38" t="str">
        <f>F974&amp;C974</f>
        <v/>
      </c>
      <c r="B974" s="38" t="str">
        <f>IF(J974&gt;=SUMIFS(E:E,C:C,C974),"Good to go","Short in Qty")</f>
        <v>Good to go</v>
      </c>
      <c r="C974" s="40"/>
      <c r="D974" s="40"/>
      <c r="E974" s="66"/>
      <c r="F974" s="38"/>
      <c r="G974" s="40"/>
      <c r="H974" s="38"/>
      <c r="I974" s="38"/>
      <c r="J974" s="38">
        <f>IFERROR(VLOOKUP(C:C,'[1]S&amp;S'!$B:$F,5,0),)</f>
        <v>0</v>
      </c>
      <c r="K974" s="38">
        <f>IFERROR(VLOOKUP(A:A,[1]APO!$A:$F,6,0),)</f>
        <v>0</v>
      </c>
      <c r="L974" s="38">
        <f>IFERROR(VLOOKUP(C:C,'[1]TOTAL APO'!$A:$B,2,0),)</f>
        <v>0</v>
      </c>
      <c r="M974" s="38">
        <f>IFERROR(VLOOKUP(A:A,[1]Short!$A:$Q,17,0),)</f>
        <v>0</v>
      </c>
      <c r="N974" s="38">
        <f>IFERROR(VLOOKUP(C:C,[1]GIT!$B:$D,3,0),)</f>
        <v>0</v>
      </c>
      <c r="O974" s="38">
        <f>IFERROR(VLOOKUP(A:A,[2]Sheet1!$A:$B,2,0),)</f>
        <v>0</v>
      </c>
      <c r="P974" s="38">
        <f>IFERROR(VLOOKUP(A:A,[2]Sheet1!$A:$B,2,0),)</f>
        <v>0</v>
      </c>
      <c r="Q974" s="38">
        <f t="shared" si="15"/>
        <v>0</v>
      </c>
      <c r="R974" s="38"/>
      <c r="S974" s="38"/>
    </row>
    <row r="975" spans="1:19" hidden="1" x14ac:dyDescent="0.25">
      <c r="A975" s="38" t="str">
        <f>F975&amp;C975</f>
        <v/>
      </c>
      <c r="B975" s="38" t="str">
        <f>IF(J975&gt;=SUMIFS(E:E,C:C,C975),"Good to go","Short in Qty")</f>
        <v>Good to go</v>
      </c>
      <c r="C975" s="40"/>
      <c r="D975" s="40"/>
      <c r="E975" s="66"/>
      <c r="F975" s="38"/>
      <c r="G975" s="40"/>
      <c r="H975" s="38"/>
      <c r="I975" s="38"/>
      <c r="J975" s="38">
        <f>IFERROR(VLOOKUP(C:C,'[1]S&amp;S'!$B:$F,5,0),)</f>
        <v>0</v>
      </c>
      <c r="K975" s="38">
        <f>IFERROR(VLOOKUP(A:A,[1]APO!$A:$F,6,0),)</f>
        <v>0</v>
      </c>
      <c r="L975" s="38">
        <f>IFERROR(VLOOKUP(C:C,'[1]TOTAL APO'!$A:$B,2,0),)</f>
        <v>0</v>
      </c>
      <c r="M975" s="38">
        <f>IFERROR(VLOOKUP(A:A,[1]Short!$A:$Q,17,0),)</f>
        <v>0</v>
      </c>
      <c r="N975" s="38">
        <f>IFERROR(VLOOKUP(C:C,[1]GIT!$B:$D,3,0),)</f>
        <v>0</v>
      </c>
      <c r="O975" s="38">
        <f>IFERROR(VLOOKUP(A:A,[2]Sheet1!$A:$B,2,0),)</f>
        <v>0</v>
      </c>
      <c r="P975" s="38">
        <f>IFERROR(VLOOKUP(A:A,[2]Sheet1!$A:$B,2,0),)</f>
        <v>0</v>
      </c>
      <c r="Q975" s="38">
        <f t="shared" si="15"/>
        <v>0</v>
      </c>
      <c r="R975" s="38"/>
      <c r="S975" s="38"/>
    </row>
    <row r="976" spans="1:19" hidden="1" x14ac:dyDescent="0.25">
      <c r="A976" s="38" t="str">
        <f>F976&amp;C976</f>
        <v/>
      </c>
      <c r="B976" s="38" t="str">
        <f>IF(J976&gt;=SUMIFS(E:E,C:C,C976),"Good to go","Short in Qty")</f>
        <v>Good to go</v>
      </c>
      <c r="C976" s="40"/>
      <c r="D976" s="40"/>
      <c r="E976" s="66"/>
      <c r="F976" s="38"/>
      <c r="G976" s="40"/>
      <c r="H976" s="38"/>
      <c r="I976" s="38"/>
      <c r="J976" s="38">
        <f>IFERROR(VLOOKUP(C:C,'[1]S&amp;S'!$B:$F,5,0),)</f>
        <v>0</v>
      </c>
      <c r="K976" s="38">
        <f>IFERROR(VLOOKUP(A:A,[1]APO!$A:$F,6,0),)</f>
        <v>0</v>
      </c>
      <c r="L976" s="38">
        <f>IFERROR(VLOOKUP(C:C,'[1]TOTAL APO'!$A:$B,2,0),)</f>
        <v>0</v>
      </c>
      <c r="M976" s="38">
        <f>IFERROR(VLOOKUP(A:A,[1]Short!$A:$Q,17,0),)</f>
        <v>0</v>
      </c>
      <c r="N976" s="38">
        <f>IFERROR(VLOOKUP(C:C,[1]GIT!$B:$D,3,0),)</f>
        <v>0</v>
      </c>
      <c r="O976" s="38">
        <f>IFERROR(VLOOKUP(A:A,[2]Sheet1!$A:$B,2,0),)</f>
        <v>0</v>
      </c>
      <c r="P976" s="38">
        <f>IFERROR(VLOOKUP(A:A,[2]Sheet1!$A:$B,2,0),)</f>
        <v>0</v>
      </c>
      <c r="Q976" s="38">
        <f t="shared" si="15"/>
        <v>0</v>
      </c>
      <c r="R976" s="38"/>
      <c r="S976" s="38"/>
    </row>
    <row r="977" spans="1:19" hidden="1" x14ac:dyDescent="0.25">
      <c r="A977" s="38" t="str">
        <f>F977&amp;C977</f>
        <v/>
      </c>
      <c r="B977" s="38" t="str">
        <f>IF(J977&gt;=SUMIFS(E:E,C:C,C977),"Good to go","Short in Qty")</f>
        <v>Good to go</v>
      </c>
      <c r="C977" s="40"/>
      <c r="D977" s="40"/>
      <c r="E977" s="66"/>
      <c r="F977" s="38"/>
      <c r="G977" s="40"/>
      <c r="H977" s="38"/>
      <c r="I977" s="38"/>
      <c r="J977" s="38">
        <f>IFERROR(VLOOKUP(C:C,'[1]S&amp;S'!$B:$F,5,0),)</f>
        <v>0</v>
      </c>
      <c r="K977" s="38">
        <f>IFERROR(VLOOKUP(A:A,[1]APO!$A:$F,6,0),)</f>
        <v>0</v>
      </c>
      <c r="L977" s="38">
        <f>IFERROR(VLOOKUP(C:C,'[1]TOTAL APO'!$A:$B,2,0),)</f>
        <v>0</v>
      </c>
      <c r="M977" s="38">
        <f>IFERROR(VLOOKUP(A:A,[1]Short!$A:$Q,17,0),)</f>
        <v>0</v>
      </c>
      <c r="N977" s="38">
        <f>IFERROR(VLOOKUP(C:C,[1]GIT!$B:$D,3,0),)</f>
        <v>0</v>
      </c>
      <c r="O977" s="38">
        <f>IFERROR(VLOOKUP(A:A,[2]Sheet1!$A:$B,2,0),)</f>
        <v>0</v>
      </c>
      <c r="P977" s="38">
        <f>IFERROR(VLOOKUP(A:A,[2]Sheet1!$A:$B,2,0),)</f>
        <v>0</v>
      </c>
      <c r="Q977" s="38">
        <f t="shared" si="15"/>
        <v>0</v>
      </c>
      <c r="R977" s="38"/>
      <c r="S977" s="38"/>
    </row>
    <row r="978" spans="1:19" hidden="1" x14ac:dyDescent="0.25">
      <c r="A978" s="38" t="str">
        <f>F978&amp;C978</f>
        <v/>
      </c>
      <c r="B978" s="38" t="str">
        <f>IF(J978&gt;=SUMIFS(E:E,C:C,C978),"Good to go","Short in Qty")</f>
        <v>Good to go</v>
      </c>
      <c r="C978" s="40"/>
      <c r="D978" s="40"/>
      <c r="E978" s="66"/>
      <c r="F978" s="38"/>
      <c r="G978" s="40"/>
      <c r="H978" s="38"/>
      <c r="I978" s="38"/>
      <c r="J978" s="38">
        <f>IFERROR(VLOOKUP(C:C,'[1]S&amp;S'!$B:$F,5,0),)</f>
        <v>0</v>
      </c>
      <c r="K978" s="38">
        <f>IFERROR(VLOOKUP(A:A,[1]APO!$A:$F,6,0),)</f>
        <v>0</v>
      </c>
      <c r="L978" s="38">
        <f>IFERROR(VLOOKUP(C:C,'[1]TOTAL APO'!$A:$B,2,0),)</f>
        <v>0</v>
      </c>
      <c r="M978" s="38">
        <f>IFERROR(VLOOKUP(A:A,[1]Short!$A:$Q,17,0),)</f>
        <v>0</v>
      </c>
      <c r="N978" s="38">
        <f>IFERROR(VLOOKUP(C:C,[1]GIT!$B:$D,3,0),)</f>
        <v>0</v>
      </c>
      <c r="O978" s="38">
        <f>IFERROR(VLOOKUP(A:A,[2]Sheet1!$A:$B,2,0),)</f>
        <v>0</v>
      </c>
      <c r="P978" s="38">
        <f>IFERROR(VLOOKUP(A:A,[2]Sheet1!$A:$B,2,0),)</f>
        <v>0</v>
      </c>
      <c r="Q978" s="38">
        <f t="shared" si="15"/>
        <v>0</v>
      </c>
      <c r="R978" s="38"/>
      <c r="S978" s="38"/>
    </row>
    <row r="979" spans="1:19" hidden="1" x14ac:dyDescent="0.25">
      <c r="A979" s="38" t="str">
        <f>F979&amp;C979</f>
        <v/>
      </c>
      <c r="B979" s="38" t="str">
        <f>IF(J979&gt;=SUMIFS(E:E,C:C,C979),"Good to go","Short in Qty")</f>
        <v>Good to go</v>
      </c>
      <c r="C979" s="40"/>
      <c r="D979" s="40"/>
      <c r="E979" s="66"/>
      <c r="F979" s="38"/>
      <c r="G979" s="40"/>
      <c r="H979" s="38"/>
      <c r="I979" s="38"/>
      <c r="J979" s="38">
        <f>IFERROR(VLOOKUP(C:C,'[1]S&amp;S'!$B:$F,5,0),)</f>
        <v>0</v>
      </c>
      <c r="K979" s="38">
        <f>IFERROR(VLOOKUP(A:A,[1]APO!$A:$F,6,0),)</f>
        <v>0</v>
      </c>
      <c r="L979" s="38">
        <f>IFERROR(VLOOKUP(C:C,'[1]TOTAL APO'!$A:$B,2,0),)</f>
        <v>0</v>
      </c>
      <c r="M979" s="38">
        <f>IFERROR(VLOOKUP(A:A,[1]Short!$A:$Q,17,0),)</f>
        <v>0</v>
      </c>
      <c r="N979" s="38">
        <f>IFERROR(VLOOKUP(C:C,[1]GIT!$B:$D,3,0),)</f>
        <v>0</v>
      </c>
      <c r="O979" s="38">
        <f>IFERROR(VLOOKUP(A:A,[2]Sheet1!$A:$B,2,0),)</f>
        <v>0</v>
      </c>
      <c r="P979" s="38">
        <f>IFERROR(VLOOKUP(A:A,[2]Sheet1!$A:$B,2,0),)</f>
        <v>0</v>
      </c>
      <c r="Q979" s="38">
        <f t="shared" si="15"/>
        <v>0</v>
      </c>
      <c r="R979" s="38"/>
      <c r="S979" s="38"/>
    </row>
    <row r="980" spans="1:19" hidden="1" x14ac:dyDescent="0.25">
      <c r="A980" s="38" t="str">
        <f>F980&amp;C980</f>
        <v/>
      </c>
      <c r="B980" s="38" t="str">
        <f>IF(J980&gt;=SUMIFS(E:E,C:C,C980),"Good to go","Short in Qty")</f>
        <v>Good to go</v>
      </c>
      <c r="C980" s="40"/>
      <c r="D980" s="40"/>
      <c r="E980" s="66"/>
      <c r="F980" s="38"/>
      <c r="G980" s="40"/>
      <c r="H980" s="38"/>
      <c r="I980" s="38"/>
      <c r="J980" s="38">
        <f>IFERROR(VLOOKUP(C:C,'[1]S&amp;S'!$B:$F,5,0),)</f>
        <v>0</v>
      </c>
      <c r="K980" s="38">
        <f>IFERROR(VLOOKUP(A:A,[1]APO!$A:$F,6,0),)</f>
        <v>0</v>
      </c>
      <c r="L980" s="38">
        <f>IFERROR(VLOOKUP(C:C,'[1]TOTAL APO'!$A:$B,2,0),)</f>
        <v>0</v>
      </c>
      <c r="M980" s="38">
        <f>IFERROR(VLOOKUP(A:A,[1]Short!$A:$Q,17,0),)</f>
        <v>0</v>
      </c>
      <c r="N980" s="38">
        <f>IFERROR(VLOOKUP(C:C,[1]GIT!$B:$D,3,0),)</f>
        <v>0</v>
      </c>
      <c r="O980" s="38">
        <f>IFERROR(VLOOKUP(A:A,[2]Sheet1!$A:$B,2,0),)</f>
        <v>0</v>
      </c>
      <c r="P980" s="38">
        <f>IFERROR(VLOOKUP(A:A,[2]Sheet1!$A:$B,2,0),)</f>
        <v>0</v>
      </c>
      <c r="Q980" s="38">
        <f t="shared" si="15"/>
        <v>0</v>
      </c>
      <c r="R980" s="38"/>
      <c r="S980" s="38"/>
    </row>
    <row r="981" spans="1:19" hidden="1" x14ac:dyDescent="0.25">
      <c r="A981" s="38" t="str">
        <f>F981&amp;C981</f>
        <v/>
      </c>
      <c r="B981" s="38" t="str">
        <f>IF(J981&gt;=SUMIFS(E:E,C:C,C981),"Good to go","Short in Qty")</f>
        <v>Good to go</v>
      </c>
      <c r="C981" s="40"/>
      <c r="D981" s="40"/>
      <c r="E981" s="66"/>
      <c r="F981" s="38"/>
      <c r="G981" s="40"/>
      <c r="H981" s="38"/>
      <c r="I981" s="38"/>
      <c r="J981" s="38">
        <f>IFERROR(VLOOKUP(C:C,'[1]S&amp;S'!$B:$F,5,0),)</f>
        <v>0</v>
      </c>
      <c r="K981" s="38">
        <f>IFERROR(VLOOKUP(A:A,[1]APO!$A:$F,6,0),)</f>
        <v>0</v>
      </c>
      <c r="L981" s="38">
        <f>IFERROR(VLOOKUP(C:C,'[1]TOTAL APO'!$A:$B,2,0),)</f>
        <v>0</v>
      </c>
      <c r="M981" s="38">
        <f>IFERROR(VLOOKUP(A:A,[1]Short!$A:$Q,17,0),)</f>
        <v>0</v>
      </c>
      <c r="N981" s="38">
        <f>IFERROR(VLOOKUP(C:C,[1]GIT!$B:$D,3,0),)</f>
        <v>0</v>
      </c>
      <c r="O981" s="38">
        <f>IFERROR(VLOOKUP(A:A,[2]Sheet1!$A:$B,2,0),)</f>
        <v>0</v>
      </c>
      <c r="P981" s="38">
        <f>IFERROR(VLOOKUP(A:A,[2]Sheet1!$A:$B,2,0),)</f>
        <v>0</v>
      </c>
      <c r="Q981" s="38">
        <f t="shared" si="15"/>
        <v>0</v>
      </c>
      <c r="R981" s="38"/>
      <c r="S981" s="38"/>
    </row>
    <row r="982" spans="1:19" hidden="1" x14ac:dyDescent="0.25">
      <c r="A982" s="38" t="str">
        <f>F982&amp;C982</f>
        <v/>
      </c>
      <c r="B982" s="38" t="str">
        <f>IF(J982&gt;=SUMIFS(E:E,C:C,C982),"Good to go","Short in Qty")</f>
        <v>Good to go</v>
      </c>
      <c r="C982" s="40"/>
      <c r="D982" s="40"/>
      <c r="E982" s="66"/>
      <c r="F982" s="38"/>
      <c r="G982" s="40"/>
      <c r="H982" s="38"/>
      <c r="I982" s="38"/>
      <c r="J982" s="38">
        <f>IFERROR(VLOOKUP(C:C,'[1]S&amp;S'!$B:$F,5,0),)</f>
        <v>0</v>
      </c>
      <c r="K982" s="38">
        <f>IFERROR(VLOOKUP(A:A,[1]APO!$A:$F,6,0),)</f>
        <v>0</v>
      </c>
      <c r="L982" s="38">
        <f>IFERROR(VLOOKUP(C:C,'[1]TOTAL APO'!$A:$B,2,0),)</f>
        <v>0</v>
      </c>
      <c r="M982" s="38">
        <f>IFERROR(VLOOKUP(A:A,[1]Short!$A:$Q,17,0),)</f>
        <v>0</v>
      </c>
      <c r="N982" s="38">
        <f>IFERROR(VLOOKUP(C:C,[1]GIT!$B:$D,3,0),)</f>
        <v>0</v>
      </c>
      <c r="O982" s="38">
        <f>IFERROR(VLOOKUP(A:A,[2]Sheet1!$A:$B,2,0),)</f>
        <v>0</v>
      </c>
      <c r="P982" s="38">
        <f>IFERROR(VLOOKUP(A:A,[2]Sheet1!$A:$B,2,0),)</f>
        <v>0</v>
      </c>
      <c r="Q982" s="38">
        <f t="shared" si="15"/>
        <v>0</v>
      </c>
      <c r="R982" s="38"/>
      <c r="S982" s="38"/>
    </row>
    <row r="983" spans="1:19" hidden="1" x14ac:dyDescent="0.25">
      <c r="A983" s="38" t="str">
        <f>F983&amp;C983</f>
        <v/>
      </c>
      <c r="B983" s="38" t="str">
        <f>IF(J983&gt;=SUMIFS(E:E,C:C,C983),"Good to go","Short in Qty")</f>
        <v>Good to go</v>
      </c>
      <c r="C983" s="40"/>
      <c r="D983" s="40"/>
      <c r="E983" s="66"/>
      <c r="F983" s="38"/>
      <c r="G983" s="40"/>
      <c r="H983" s="38"/>
      <c r="I983" s="38"/>
      <c r="J983" s="38">
        <f>IFERROR(VLOOKUP(C:C,'[1]S&amp;S'!$B:$F,5,0),)</f>
        <v>0</v>
      </c>
      <c r="K983" s="38">
        <f>IFERROR(VLOOKUP(A:A,[1]APO!$A:$F,6,0),)</f>
        <v>0</v>
      </c>
      <c r="L983" s="38">
        <f>IFERROR(VLOOKUP(C:C,'[1]TOTAL APO'!$A:$B,2,0),)</f>
        <v>0</v>
      </c>
      <c r="M983" s="38">
        <f>IFERROR(VLOOKUP(A:A,[1]Short!$A:$Q,17,0),)</f>
        <v>0</v>
      </c>
      <c r="N983" s="38">
        <f>IFERROR(VLOOKUP(C:C,[1]GIT!$B:$D,3,0),)</f>
        <v>0</v>
      </c>
      <c r="O983" s="38">
        <f>IFERROR(VLOOKUP(A:A,[2]Sheet1!$A:$B,2,0),)</f>
        <v>0</v>
      </c>
      <c r="P983" s="38">
        <f>IFERROR(VLOOKUP(A:A,[2]Sheet1!$A:$B,2,0),)</f>
        <v>0</v>
      </c>
      <c r="Q983" s="38">
        <f t="shared" si="15"/>
        <v>0</v>
      </c>
      <c r="R983" s="38"/>
      <c r="S983" s="38"/>
    </row>
    <row r="984" spans="1:19" hidden="1" x14ac:dyDescent="0.25">
      <c r="A984" s="38" t="str">
        <f>F984&amp;C984</f>
        <v/>
      </c>
      <c r="B984" s="38" t="str">
        <f>IF(J984&gt;=SUMIFS(E:E,C:C,C984),"Good to go","Short in Qty")</f>
        <v>Good to go</v>
      </c>
      <c r="C984" s="40"/>
      <c r="D984" s="40"/>
      <c r="E984" s="66"/>
      <c r="F984" s="38"/>
      <c r="G984" s="40"/>
      <c r="H984" s="38"/>
      <c r="I984" s="38"/>
      <c r="J984" s="38">
        <f>IFERROR(VLOOKUP(C:C,'[1]S&amp;S'!$B:$F,5,0),)</f>
        <v>0</v>
      </c>
      <c r="K984" s="38">
        <f>IFERROR(VLOOKUP(A:A,[1]APO!$A:$F,6,0),)</f>
        <v>0</v>
      </c>
      <c r="L984" s="38">
        <f>IFERROR(VLOOKUP(C:C,'[1]TOTAL APO'!$A:$B,2,0),)</f>
        <v>0</v>
      </c>
      <c r="M984" s="38">
        <f>IFERROR(VLOOKUP(A:A,[1]Short!$A:$Q,17,0),)</f>
        <v>0</v>
      </c>
      <c r="N984" s="38">
        <f>IFERROR(VLOOKUP(C:C,[1]GIT!$B:$D,3,0),)</f>
        <v>0</v>
      </c>
      <c r="O984" s="38">
        <f>IFERROR(VLOOKUP(A:A,[2]Sheet1!$A:$B,2,0),)</f>
        <v>0</v>
      </c>
      <c r="P984" s="38">
        <f>IFERROR(VLOOKUP(A:A,[2]Sheet1!$A:$B,2,0),)</f>
        <v>0</v>
      </c>
      <c r="Q984" s="38">
        <f t="shared" si="15"/>
        <v>0</v>
      </c>
      <c r="R984" s="38"/>
      <c r="S984" s="38"/>
    </row>
    <row r="985" spans="1:19" hidden="1" x14ac:dyDescent="0.25">
      <c r="A985" s="38" t="str">
        <f>F985&amp;C985</f>
        <v/>
      </c>
      <c r="B985" s="38" t="str">
        <f>IF(J985&gt;=SUMIFS(E:E,C:C,C985),"Good to go","Short in Qty")</f>
        <v>Good to go</v>
      </c>
      <c r="C985" s="40"/>
      <c r="D985" s="40"/>
      <c r="E985" s="66"/>
      <c r="F985" s="38"/>
      <c r="G985" s="40"/>
      <c r="H985" s="38"/>
      <c r="I985" s="38"/>
      <c r="J985" s="38">
        <f>IFERROR(VLOOKUP(C:C,'[1]S&amp;S'!$B:$F,5,0),)</f>
        <v>0</v>
      </c>
      <c r="K985" s="38">
        <f>IFERROR(VLOOKUP(A:A,[1]APO!$A:$F,6,0),)</f>
        <v>0</v>
      </c>
      <c r="L985" s="38">
        <f>IFERROR(VLOOKUP(C:C,'[1]TOTAL APO'!$A:$B,2,0),)</f>
        <v>0</v>
      </c>
      <c r="M985" s="38">
        <f>IFERROR(VLOOKUP(A:A,[1]Short!$A:$Q,17,0),)</f>
        <v>0</v>
      </c>
      <c r="N985" s="38">
        <f>IFERROR(VLOOKUP(C:C,[1]GIT!$B:$D,3,0),)</f>
        <v>0</v>
      </c>
      <c r="O985" s="38">
        <f>IFERROR(VLOOKUP(A:A,[2]Sheet1!$A:$B,2,0),)</f>
        <v>0</v>
      </c>
      <c r="P985" s="38">
        <f>IFERROR(VLOOKUP(A:A,[2]Sheet1!$A:$B,2,0),)</f>
        <v>0</v>
      </c>
      <c r="Q985" s="38">
        <f t="shared" si="15"/>
        <v>0</v>
      </c>
      <c r="R985" s="38"/>
      <c r="S985" s="38"/>
    </row>
    <row r="986" spans="1:19" hidden="1" x14ac:dyDescent="0.25">
      <c r="A986" s="38" t="str">
        <f>F986&amp;C986</f>
        <v/>
      </c>
      <c r="B986" s="38" t="str">
        <f>IF(J986&gt;=SUMIFS(E:E,C:C,C986),"Good to go","Short in Qty")</f>
        <v>Good to go</v>
      </c>
      <c r="C986" s="40"/>
      <c r="D986" s="40"/>
      <c r="E986" s="66"/>
      <c r="F986" s="38"/>
      <c r="G986" s="40"/>
      <c r="H986" s="38"/>
      <c r="I986" s="38"/>
      <c r="J986" s="38">
        <f>IFERROR(VLOOKUP(C:C,'[1]S&amp;S'!$B:$F,5,0),)</f>
        <v>0</v>
      </c>
      <c r="K986" s="38">
        <f>IFERROR(VLOOKUP(A:A,[1]APO!$A:$F,6,0),)</f>
        <v>0</v>
      </c>
      <c r="L986" s="38">
        <f>IFERROR(VLOOKUP(C:C,'[1]TOTAL APO'!$A:$B,2,0),)</f>
        <v>0</v>
      </c>
      <c r="M986" s="38">
        <f>IFERROR(VLOOKUP(A:A,[1]Short!$A:$Q,17,0),)</f>
        <v>0</v>
      </c>
      <c r="N986" s="38">
        <f>IFERROR(VLOOKUP(C:C,[1]GIT!$B:$D,3,0),)</f>
        <v>0</v>
      </c>
      <c r="O986" s="38">
        <f>IFERROR(VLOOKUP(A:A,[2]Sheet1!$A:$B,2,0),)</f>
        <v>0</v>
      </c>
      <c r="P986" s="38">
        <f>IFERROR(VLOOKUP(A:A,[2]Sheet1!$A:$B,2,0),)</f>
        <v>0</v>
      </c>
      <c r="Q986" s="38">
        <f t="shared" si="15"/>
        <v>0</v>
      </c>
      <c r="R986" s="38"/>
      <c r="S986" s="38"/>
    </row>
    <row r="987" spans="1:19" hidden="1" x14ac:dyDescent="0.25">
      <c r="A987" s="38" t="str">
        <f>F987&amp;C987</f>
        <v/>
      </c>
      <c r="B987" s="38" t="str">
        <f>IF(J987&gt;=SUMIFS(E:E,C:C,C987),"Good to go","Short in Qty")</f>
        <v>Good to go</v>
      </c>
      <c r="C987" s="40"/>
      <c r="D987" s="40"/>
      <c r="E987" s="66"/>
      <c r="F987" s="38"/>
      <c r="G987" s="40"/>
      <c r="H987" s="38"/>
      <c r="I987" s="38"/>
      <c r="J987" s="38">
        <f>IFERROR(VLOOKUP(C:C,'[1]S&amp;S'!$B:$F,5,0),)</f>
        <v>0</v>
      </c>
      <c r="K987" s="38">
        <f>IFERROR(VLOOKUP(A:A,[1]APO!$A:$F,6,0),)</f>
        <v>0</v>
      </c>
      <c r="L987" s="38">
        <f>IFERROR(VLOOKUP(C:C,'[1]TOTAL APO'!$A:$B,2,0),)</f>
        <v>0</v>
      </c>
      <c r="M987" s="38">
        <f>IFERROR(VLOOKUP(A:A,[1]Short!$A:$Q,17,0),)</f>
        <v>0</v>
      </c>
      <c r="N987" s="38">
        <f>IFERROR(VLOOKUP(C:C,[1]GIT!$B:$D,3,0),)</f>
        <v>0</v>
      </c>
      <c r="O987" s="38">
        <f>IFERROR(VLOOKUP(A:A,[2]Sheet1!$A:$B,2,0),)</f>
        <v>0</v>
      </c>
      <c r="P987" s="38">
        <f>IFERROR(VLOOKUP(A:A,[2]Sheet1!$A:$B,2,0),)</f>
        <v>0</v>
      </c>
      <c r="Q987" s="38">
        <f t="shared" si="15"/>
        <v>0</v>
      </c>
      <c r="R987" s="38"/>
      <c r="S987" s="38"/>
    </row>
    <row r="988" spans="1:19" hidden="1" x14ac:dyDescent="0.25">
      <c r="A988" s="38" t="str">
        <f>F988&amp;C988</f>
        <v/>
      </c>
      <c r="B988" s="38" t="str">
        <f>IF(J988&gt;=SUMIFS(E:E,C:C,C988),"Good to go","Short in Qty")</f>
        <v>Good to go</v>
      </c>
      <c r="C988" s="40"/>
      <c r="D988" s="40"/>
      <c r="E988" s="66"/>
      <c r="F988" s="38"/>
      <c r="G988" s="40"/>
      <c r="H988" s="38"/>
      <c r="I988" s="38"/>
      <c r="J988" s="38">
        <f>IFERROR(VLOOKUP(C:C,'[1]S&amp;S'!$B:$F,5,0),)</f>
        <v>0</v>
      </c>
      <c r="K988" s="38">
        <f>IFERROR(VLOOKUP(A:A,[1]APO!$A:$F,6,0),)</f>
        <v>0</v>
      </c>
      <c r="L988" s="38">
        <f>IFERROR(VLOOKUP(C:C,'[1]TOTAL APO'!$A:$B,2,0),)</f>
        <v>0</v>
      </c>
      <c r="M988" s="38">
        <f>IFERROR(VLOOKUP(A:A,[1]Short!$A:$Q,17,0),)</f>
        <v>0</v>
      </c>
      <c r="N988" s="38">
        <f>IFERROR(VLOOKUP(C:C,[1]GIT!$B:$D,3,0),)</f>
        <v>0</v>
      </c>
      <c r="O988" s="38">
        <f>IFERROR(VLOOKUP(A:A,[2]Sheet1!$A:$B,2,0),)</f>
        <v>0</v>
      </c>
      <c r="P988" s="38">
        <f>IFERROR(VLOOKUP(A:A,[2]Sheet1!$A:$B,2,0),)</f>
        <v>0</v>
      </c>
      <c r="Q988" s="38">
        <f t="shared" si="15"/>
        <v>0</v>
      </c>
      <c r="R988" s="38"/>
      <c r="S988" s="38"/>
    </row>
    <row r="989" spans="1:19" hidden="1" x14ac:dyDescent="0.25">
      <c r="A989" s="38" t="str">
        <f>F989&amp;C989</f>
        <v/>
      </c>
      <c r="B989" s="38" t="str">
        <f>IF(J989&gt;=SUMIFS(E:E,C:C,C989),"Good to go","Short in Qty")</f>
        <v>Good to go</v>
      </c>
      <c r="C989" s="40"/>
      <c r="D989" s="40"/>
      <c r="E989" s="66"/>
      <c r="F989" s="38"/>
      <c r="G989" s="40"/>
      <c r="H989" s="38"/>
      <c r="I989" s="38"/>
      <c r="J989" s="38">
        <f>IFERROR(VLOOKUP(C:C,'[1]S&amp;S'!$B:$F,5,0),)</f>
        <v>0</v>
      </c>
      <c r="K989" s="38">
        <f>IFERROR(VLOOKUP(A:A,[1]APO!$A:$F,6,0),)</f>
        <v>0</v>
      </c>
      <c r="L989" s="38">
        <f>IFERROR(VLOOKUP(C:C,'[1]TOTAL APO'!$A:$B,2,0),)</f>
        <v>0</v>
      </c>
      <c r="M989" s="38">
        <f>IFERROR(VLOOKUP(A:A,[1]Short!$A:$Q,17,0),)</f>
        <v>0</v>
      </c>
      <c r="N989" s="38">
        <f>IFERROR(VLOOKUP(C:C,[1]GIT!$B:$D,3,0),)</f>
        <v>0</v>
      </c>
      <c r="O989" s="38">
        <f>IFERROR(VLOOKUP(A:A,[2]Sheet1!$A:$B,2,0),)</f>
        <v>0</v>
      </c>
      <c r="P989" s="38">
        <f>IFERROR(VLOOKUP(A:A,[2]Sheet1!$A:$B,2,0),)</f>
        <v>0</v>
      </c>
      <c r="Q989" s="38">
        <f t="shared" si="15"/>
        <v>0</v>
      </c>
      <c r="R989" s="38"/>
      <c r="S989" s="38"/>
    </row>
    <row r="990" spans="1:19" hidden="1" x14ac:dyDescent="0.25">
      <c r="A990" s="38" t="str">
        <f>F990&amp;C990</f>
        <v/>
      </c>
      <c r="B990" s="38" t="str">
        <f>IF(J990&gt;=SUMIFS(E:E,C:C,C990),"Good to go","Short in Qty")</f>
        <v>Good to go</v>
      </c>
      <c r="C990" s="40"/>
      <c r="D990" s="40"/>
      <c r="E990" s="66"/>
      <c r="F990" s="38"/>
      <c r="G990" s="40"/>
      <c r="H990" s="38"/>
      <c r="I990" s="38"/>
      <c r="J990" s="38">
        <f>IFERROR(VLOOKUP(C:C,'[1]S&amp;S'!$B:$F,5,0),)</f>
        <v>0</v>
      </c>
      <c r="K990" s="38">
        <f>IFERROR(VLOOKUP(A:A,[1]APO!$A:$F,6,0),)</f>
        <v>0</v>
      </c>
      <c r="L990" s="38">
        <f>IFERROR(VLOOKUP(C:C,'[1]TOTAL APO'!$A:$B,2,0),)</f>
        <v>0</v>
      </c>
      <c r="M990" s="38">
        <f>IFERROR(VLOOKUP(A:A,[1]Short!$A:$Q,17,0),)</f>
        <v>0</v>
      </c>
      <c r="N990" s="38">
        <f>IFERROR(VLOOKUP(C:C,[1]GIT!$B:$D,3,0),)</f>
        <v>0</v>
      </c>
      <c r="O990" s="38">
        <f>IFERROR(VLOOKUP(A:A,[2]Sheet1!$A:$B,2,0),)</f>
        <v>0</v>
      </c>
      <c r="P990" s="38">
        <f>IFERROR(VLOOKUP(A:A,[2]Sheet1!$A:$B,2,0),)</f>
        <v>0</v>
      </c>
      <c r="Q990" s="38">
        <f t="shared" si="15"/>
        <v>0</v>
      </c>
      <c r="R990" s="38"/>
      <c r="S990" s="38"/>
    </row>
    <row r="991" spans="1:19" hidden="1" x14ac:dyDescent="0.25">
      <c r="A991" s="38" t="str">
        <f>F991&amp;C991</f>
        <v/>
      </c>
      <c r="B991" s="38" t="str">
        <f>IF(J991&gt;=SUMIFS(E:E,C:C,C991),"Good to go","Short in Qty")</f>
        <v>Good to go</v>
      </c>
      <c r="C991" s="40"/>
      <c r="D991" s="40"/>
      <c r="E991" s="66"/>
      <c r="F991" s="38"/>
      <c r="G991" s="40"/>
      <c r="H991" s="38"/>
      <c r="I991" s="38"/>
      <c r="J991" s="38">
        <f>IFERROR(VLOOKUP(C:C,'[1]S&amp;S'!$B:$F,5,0),)</f>
        <v>0</v>
      </c>
      <c r="K991" s="38">
        <f>IFERROR(VLOOKUP(A:A,[1]APO!$A:$F,6,0),)</f>
        <v>0</v>
      </c>
      <c r="L991" s="38">
        <f>IFERROR(VLOOKUP(C:C,'[1]TOTAL APO'!$A:$B,2,0),)</f>
        <v>0</v>
      </c>
      <c r="M991" s="38">
        <f>IFERROR(VLOOKUP(A:A,[1]Short!$A:$Q,17,0),)</f>
        <v>0</v>
      </c>
      <c r="N991" s="38">
        <f>IFERROR(VLOOKUP(C:C,[1]GIT!$B:$D,3,0),)</f>
        <v>0</v>
      </c>
      <c r="O991" s="38">
        <f>IFERROR(VLOOKUP(A:A,[2]Sheet1!$A:$B,2,0),)</f>
        <v>0</v>
      </c>
      <c r="P991" s="38">
        <f>IFERROR(VLOOKUP(A:A,[2]Sheet1!$A:$B,2,0),)</f>
        <v>0</v>
      </c>
      <c r="Q991" s="38">
        <f t="shared" si="15"/>
        <v>0</v>
      </c>
      <c r="R991" s="38"/>
      <c r="S991" s="38"/>
    </row>
    <row r="992" spans="1:19" hidden="1" x14ac:dyDescent="0.25">
      <c r="A992" s="38" t="str">
        <f>F992&amp;C992</f>
        <v/>
      </c>
      <c r="B992" s="38" t="str">
        <f>IF(J992&gt;=SUMIFS(E:E,C:C,C992),"Good to go","Short in Qty")</f>
        <v>Good to go</v>
      </c>
      <c r="C992" s="40"/>
      <c r="D992" s="40"/>
      <c r="E992" s="66"/>
      <c r="F992" s="38"/>
      <c r="G992" s="40"/>
      <c r="H992" s="38"/>
      <c r="I992" s="38"/>
      <c r="J992" s="38">
        <f>IFERROR(VLOOKUP(C:C,'[1]S&amp;S'!$B:$F,5,0),)</f>
        <v>0</v>
      </c>
      <c r="K992" s="38">
        <f>IFERROR(VLOOKUP(A:A,[1]APO!$A:$F,6,0),)</f>
        <v>0</v>
      </c>
      <c r="L992" s="38">
        <f>IFERROR(VLOOKUP(C:C,'[1]TOTAL APO'!$A:$B,2,0),)</f>
        <v>0</v>
      </c>
      <c r="M992" s="38">
        <f>IFERROR(VLOOKUP(A:A,[1]Short!$A:$Q,17,0),)</f>
        <v>0</v>
      </c>
      <c r="N992" s="38">
        <f>IFERROR(VLOOKUP(C:C,[1]GIT!$B:$D,3,0),)</f>
        <v>0</v>
      </c>
      <c r="O992" s="38">
        <f>IFERROR(VLOOKUP(A:A,[2]Sheet1!$A:$B,2,0),)</f>
        <v>0</v>
      </c>
      <c r="P992" s="38">
        <f>IFERROR(VLOOKUP(A:A,[2]Sheet1!$A:$B,2,0),)</f>
        <v>0</v>
      </c>
      <c r="Q992" s="38">
        <f t="shared" si="15"/>
        <v>0</v>
      </c>
      <c r="R992" s="38"/>
      <c r="S992" s="38"/>
    </row>
    <row r="993" spans="1:19" hidden="1" x14ac:dyDescent="0.25">
      <c r="A993" s="38" t="str">
        <f>F993&amp;C993</f>
        <v/>
      </c>
      <c r="B993" s="38" t="str">
        <f>IF(J993&gt;=SUMIFS(E:E,C:C,C993),"Good to go","Short in Qty")</f>
        <v>Good to go</v>
      </c>
      <c r="C993" s="40"/>
      <c r="D993" s="40"/>
      <c r="E993" s="66"/>
      <c r="F993" s="38"/>
      <c r="G993" s="40"/>
      <c r="H993" s="38"/>
      <c r="I993" s="38"/>
      <c r="J993" s="38">
        <f>IFERROR(VLOOKUP(C:C,'[1]S&amp;S'!$B:$F,5,0),)</f>
        <v>0</v>
      </c>
      <c r="K993" s="38">
        <f>IFERROR(VLOOKUP(A:A,[1]APO!$A:$F,6,0),)</f>
        <v>0</v>
      </c>
      <c r="L993" s="38">
        <f>IFERROR(VLOOKUP(C:C,'[1]TOTAL APO'!$A:$B,2,0),)</f>
        <v>0</v>
      </c>
      <c r="M993" s="38">
        <f>IFERROR(VLOOKUP(A:A,[1]Short!$A:$Q,17,0),)</f>
        <v>0</v>
      </c>
      <c r="N993" s="38">
        <f>IFERROR(VLOOKUP(C:C,[1]GIT!$B:$D,3,0),)</f>
        <v>0</v>
      </c>
      <c r="O993" s="38">
        <f>IFERROR(VLOOKUP(A:A,[2]Sheet1!$A:$B,2,0),)</f>
        <v>0</v>
      </c>
      <c r="P993" s="38">
        <f>IFERROR(VLOOKUP(A:A,[2]Sheet1!$A:$B,2,0),)</f>
        <v>0</v>
      </c>
      <c r="Q993" s="38">
        <f t="shared" si="15"/>
        <v>0</v>
      </c>
      <c r="R993" s="38"/>
      <c r="S993" s="38"/>
    </row>
    <row r="994" spans="1:19" hidden="1" x14ac:dyDescent="0.25">
      <c r="A994" s="38" t="str">
        <f>F994&amp;C994</f>
        <v/>
      </c>
      <c r="B994" s="38" t="str">
        <f>IF(J994&gt;=SUMIFS(E:E,C:C,C994),"Good to go","Short in Qty")</f>
        <v>Good to go</v>
      </c>
      <c r="C994" s="40"/>
      <c r="D994" s="40"/>
      <c r="E994" s="66"/>
      <c r="F994" s="38"/>
      <c r="G994" s="40"/>
      <c r="H994" s="38"/>
      <c r="I994" s="38"/>
      <c r="J994" s="38">
        <f>IFERROR(VLOOKUP(C:C,'[1]S&amp;S'!$B:$F,5,0),)</f>
        <v>0</v>
      </c>
      <c r="K994" s="38">
        <f>IFERROR(VLOOKUP(A:A,[1]APO!$A:$F,6,0),)</f>
        <v>0</v>
      </c>
      <c r="L994" s="38">
        <f>IFERROR(VLOOKUP(C:C,'[1]TOTAL APO'!$A:$B,2,0),)</f>
        <v>0</v>
      </c>
      <c r="M994" s="38">
        <f>IFERROR(VLOOKUP(A:A,[1]Short!$A:$Q,17,0),)</f>
        <v>0</v>
      </c>
      <c r="N994" s="38">
        <f>IFERROR(VLOOKUP(C:C,[1]GIT!$B:$D,3,0),)</f>
        <v>0</v>
      </c>
      <c r="O994" s="38">
        <f>IFERROR(VLOOKUP(A:A,[2]Sheet1!$A:$B,2,0),)</f>
        <v>0</v>
      </c>
      <c r="P994" s="38">
        <f>IFERROR(VLOOKUP(A:A,[2]Sheet1!$A:$B,2,0),)</f>
        <v>0</v>
      </c>
      <c r="Q994" s="38">
        <f t="shared" si="15"/>
        <v>0</v>
      </c>
      <c r="R994" s="38"/>
      <c r="S994" s="38"/>
    </row>
    <row r="995" spans="1:19" hidden="1" x14ac:dyDescent="0.25">
      <c r="A995" s="38" t="str">
        <f>F995&amp;C995</f>
        <v/>
      </c>
      <c r="B995" s="38" t="str">
        <f>IF(J995&gt;=SUMIFS(E:E,C:C,C995),"Good to go","Short in Qty")</f>
        <v>Good to go</v>
      </c>
      <c r="C995" s="40"/>
      <c r="D995" s="40"/>
      <c r="E995" s="66"/>
      <c r="F995" s="38"/>
      <c r="G995" s="40"/>
      <c r="H995" s="38"/>
      <c r="I995" s="38"/>
      <c r="J995" s="38">
        <f>IFERROR(VLOOKUP(C:C,'[1]S&amp;S'!$B:$F,5,0),)</f>
        <v>0</v>
      </c>
      <c r="K995" s="38">
        <f>IFERROR(VLOOKUP(A:A,[1]APO!$A:$F,6,0),)</f>
        <v>0</v>
      </c>
      <c r="L995" s="38">
        <f>IFERROR(VLOOKUP(C:C,'[1]TOTAL APO'!$A:$B,2,0),)</f>
        <v>0</v>
      </c>
      <c r="M995" s="38">
        <f>IFERROR(VLOOKUP(A:A,[1]Short!$A:$Q,17,0),)</f>
        <v>0</v>
      </c>
      <c r="N995" s="38">
        <f>IFERROR(VLOOKUP(C:C,[1]GIT!$B:$D,3,0),)</f>
        <v>0</v>
      </c>
      <c r="O995" s="38">
        <f>IFERROR(VLOOKUP(A:A,[2]Sheet1!$A:$B,2,0),)</f>
        <v>0</v>
      </c>
      <c r="P995" s="38">
        <f>IFERROR(VLOOKUP(A:A,[2]Sheet1!$A:$B,2,0),)</f>
        <v>0</v>
      </c>
      <c r="Q995" s="38">
        <f t="shared" si="15"/>
        <v>0</v>
      </c>
      <c r="R995" s="38"/>
      <c r="S995" s="38"/>
    </row>
    <row r="996" spans="1:19" hidden="1" x14ac:dyDescent="0.25">
      <c r="A996" s="38" t="str">
        <f>F996&amp;C996</f>
        <v/>
      </c>
      <c r="B996" s="38" t="str">
        <f>IF(J996&gt;=SUMIFS(E:E,C:C,C996),"Good to go","Short in Qty")</f>
        <v>Good to go</v>
      </c>
      <c r="C996" s="40"/>
      <c r="D996" s="40"/>
      <c r="E996" s="66"/>
      <c r="F996" s="38"/>
      <c r="G996" s="40"/>
      <c r="H996" s="38"/>
      <c r="I996" s="38"/>
      <c r="J996" s="38">
        <f>IFERROR(VLOOKUP(C:C,'[1]S&amp;S'!$B:$F,5,0),)</f>
        <v>0</v>
      </c>
      <c r="K996" s="38">
        <f>IFERROR(VLOOKUP(A:A,[1]APO!$A:$F,6,0),)</f>
        <v>0</v>
      </c>
      <c r="L996" s="38">
        <f>IFERROR(VLOOKUP(C:C,'[1]TOTAL APO'!$A:$B,2,0),)</f>
        <v>0</v>
      </c>
      <c r="M996" s="38">
        <f>IFERROR(VLOOKUP(A:A,[1]Short!$A:$Q,17,0),)</f>
        <v>0</v>
      </c>
      <c r="N996" s="38">
        <f>IFERROR(VLOOKUP(C:C,[1]GIT!$B:$D,3,0),)</f>
        <v>0</v>
      </c>
      <c r="O996" s="38">
        <f>IFERROR(VLOOKUP(A:A,[2]Sheet1!$A:$B,2,0),)</f>
        <v>0</v>
      </c>
      <c r="P996" s="38">
        <f>IFERROR(VLOOKUP(A:A,[2]Sheet1!$A:$B,2,0),)</f>
        <v>0</v>
      </c>
      <c r="Q996" s="38">
        <f t="shared" si="15"/>
        <v>0</v>
      </c>
      <c r="R996" s="38"/>
      <c r="S996" s="38"/>
    </row>
    <row r="997" spans="1:19" hidden="1" x14ac:dyDescent="0.25">
      <c r="A997" s="38" t="str">
        <f>F997&amp;C997</f>
        <v/>
      </c>
      <c r="B997" s="38" t="str">
        <f>IF(J997&gt;=SUMIFS(E:E,C:C,C997),"Good to go","Short in Qty")</f>
        <v>Good to go</v>
      </c>
      <c r="C997" s="40"/>
      <c r="D997" s="40"/>
      <c r="E997" s="66"/>
      <c r="F997" s="38"/>
      <c r="G997" s="40"/>
      <c r="H997" s="38"/>
      <c r="I997" s="38"/>
      <c r="J997" s="38">
        <f>IFERROR(VLOOKUP(C:C,'[1]S&amp;S'!$B:$F,5,0),)</f>
        <v>0</v>
      </c>
      <c r="K997" s="38">
        <f>IFERROR(VLOOKUP(A:A,[1]APO!$A:$F,6,0),)</f>
        <v>0</v>
      </c>
      <c r="L997" s="38">
        <f>IFERROR(VLOOKUP(C:C,'[1]TOTAL APO'!$A:$B,2,0),)</f>
        <v>0</v>
      </c>
      <c r="M997" s="38">
        <f>IFERROR(VLOOKUP(A:A,[1]Short!$A:$Q,17,0),)</f>
        <v>0</v>
      </c>
      <c r="N997" s="38">
        <f>IFERROR(VLOOKUP(C:C,[1]GIT!$B:$D,3,0),)</f>
        <v>0</v>
      </c>
      <c r="O997" s="38">
        <f>IFERROR(VLOOKUP(A:A,[2]Sheet1!$A:$B,2,0),)</f>
        <v>0</v>
      </c>
      <c r="P997" s="38">
        <f>IFERROR(VLOOKUP(A:A,[2]Sheet1!$A:$B,2,0),)</f>
        <v>0</v>
      </c>
      <c r="Q997" s="38">
        <f t="shared" si="15"/>
        <v>0</v>
      </c>
      <c r="R997" s="38"/>
      <c r="S997" s="38"/>
    </row>
    <row r="998" spans="1:19" hidden="1" x14ac:dyDescent="0.25">
      <c r="A998" s="38" t="str">
        <f>F998&amp;C998</f>
        <v/>
      </c>
      <c r="B998" s="38" t="str">
        <f>IF(J998&gt;=SUMIFS(E:E,C:C,C998),"Good to go","Short in Qty")</f>
        <v>Good to go</v>
      </c>
      <c r="C998" s="40"/>
      <c r="D998" s="40"/>
      <c r="E998" s="66"/>
      <c r="F998" s="38"/>
      <c r="G998" s="40"/>
      <c r="H998" s="38"/>
      <c r="I998" s="38"/>
      <c r="J998" s="38">
        <f>IFERROR(VLOOKUP(C:C,'[1]S&amp;S'!$B:$F,5,0),)</f>
        <v>0</v>
      </c>
      <c r="K998" s="38">
        <f>IFERROR(VLOOKUP(A:A,[1]APO!$A:$F,6,0),)</f>
        <v>0</v>
      </c>
      <c r="L998" s="38">
        <f>IFERROR(VLOOKUP(C:C,'[1]TOTAL APO'!$A:$B,2,0),)</f>
        <v>0</v>
      </c>
      <c r="M998" s="38">
        <f>IFERROR(VLOOKUP(A:A,[1]Short!$A:$Q,17,0),)</f>
        <v>0</v>
      </c>
      <c r="N998" s="38">
        <f>IFERROR(VLOOKUP(C:C,[1]GIT!$B:$D,3,0),)</f>
        <v>0</v>
      </c>
      <c r="O998" s="38">
        <f>IFERROR(VLOOKUP(A:A,[2]Sheet1!$A:$B,2,0),)</f>
        <v>0</v>
      </c>
      <c r="P998" s="38">
        <f>IFERROR(VLOOKUP(A:A,[2]Sheet1!$A:$B,2,0),)</f>
        <v>0</v>
      </c>
      <c r="Q998" s="38">
        <f t="shared" si="15"/>
        <v>0</v>
      </c>
      <c r="R998" s="38"/>
      <c r="S998" s="38"/>
    </row>
    <row r="999" spans="1:19" hidden="1" x14ac:dyDescent="0.25">
      <c r="A999" s="38" t="str">
        <f>F999&amp;C999</f>
        <v/>
      </c>
      <c r="B999" s="38" t="str">
        <f>IF(J999&gt;=SUMIFS(E:E,C:C,C999),"Good to go","Short in Qty")</f>
        <v>Good to go</v>
      </c>
      <c r="C999" s="40"/>
      <c r="D999" s="40"/>
      <c r="E999" s="66"/>
      <c r="F999" s="38"/>
      <c r="G999" s="40"/>
      <c r="H999" s="38"/>
      <c r="I999" s="38"/>
      <c r="J999" s="38">
        <f>IFERROR(VLOOKUP(C:C,'[1]S&amp;S'!$B:$F,5,0),)</f>
        <v>0</v>
      </c>
      <c r="K999" s="38">
        <f>IFERROR(VLOOKUP(A:A,[1]APO!$A:$F,6,0),)</f>
        <v>0</v>
      </c>
      <c r="L999" s="38">
        <f>IFERROR(VLOOKUP(C:C,'[1]TOTAL APO'!$A:$B,2,0),)</f>
        <v>0</v>
      </c>
      <c r="M999" s="38">
        <f>IFERROR(VLOOKUP(A:A,[1]Short!$A:$Q,17,0),)</f>
        <v>0</v>
      </c>
      <c r="N999" s="38">
        <f>IFERROR(VLOOKUP(C:C,[1]GIT!$B:$D,3,0),)</f>
        <v>0</v>
      </c>
      <c r="O999" s="38">
        <f>IFERROR(VLOOKUP(A:A,[2]Sheet1!$A:$B,2,0),)</f>
        <v>0</v>
      </c>
      <c r="P999" s="38">
        <f>IFERROR(VLOOKUP(A:A,[2]Sheet1!$A:$B,2,0),)</f>
        <v>0</v>
      </c>
      <c r="Q999" s="38">
        <f t="shared" si="15"/>
        <v>0</v>
      </c>
      <c r="R999" s="38"/>
      <c r="S999" s="38"/>
    </row>
    <row r="1000" spans="1:19" hidden="1" x14ac:dyDescent="0.25">
      <c r="A1000" s="38" t="str">
        <f>F1000&amp;C1000</f>
        <v/>
      </c>
      <c r="B1000" s="38" t="str">
        <f>IF(J1000&gt;=SUMIFS(E:E,C:C,C1000),"Good to go","Short in Qty")</f>
        <v>Good to go</v>
      </c>
      <c r="C1000" s="40"/>
      <c r="D1000" s="40"/>
      <c r="E1000" s="66"/>
      <c r="F1000" s="38"/>
      <c r="G1000" s="40"/>
      <c r="H1000" s="38"/>
      <c r="I1000" s="38"/>
      <c r="J1000" s="38">
        <f>IFERROR(VLOOKUP(C:C,'[1]S&amp;S'!$B:$F,5,0),)</f>
        <v>0</v>
      </c>
      <c r="K1000" s="38">
        <f>IFERROR(VLOOKUP(A:A,[1]APO!$A:$F,6,0),)</f>
        <v>0</v>
      </c>
      <c r="L1000" s="38">
        <f>IFERROR(VLOOKUP(C:C,'[1]TOTAL APO'!$A:$B,2,0),)</f>
        <v>0</v>
      </c>
      <c r="M1000" s="38">
        <f>IFERROR(VLOOKUP(A:A,[1]Short!$A:$Q,17,0),)</f>
        <v>0</v>
      </c>
      <c r="N1000" s="38">
        <f>IFERROR(VLOOKUP(C:C,[1]GIT!$B:$D,3,0),)</f>
        <v>0</v>
      </c>
      <c r="O1000" s="38">
        <f>IFERROR(VLOOKUP(A:A,[2]Sheet1!$A:$B,2,0),)</f>
        <v>0</v>
      </c>
      <c r="P1000" s="38">
        <f>IFERROR(VLOOKUP(A:A,[2]Sheet1!$A:$B,2,0),)</f>
        <v>0</v>
      </c>
      <c r="Q1000" s="38">
        <f t="shared" si="15"/>
        <v>0</v>
      </c>
      <c r="R1000" s="38"/>
      <c r="S1000" s="38"/>
    </row>
    <row r="1001" spans="1:19" hidden="1" x14ac:dyDescent="0.25">
      <c r="A1001" s="38" t="str">
        <f>F1001&amp;C1001</f>
        <v/>
      </c>
      <c r="B1001" s="38" t="str">
        <f>IF(J1001&gt;=SUMIFS(E:E,C:C,C1001),"Good to go","Short in Qty")</f>
        <v>Good to go</v>
      </c>
      <c r="C1001" s="40"/>
      <c r="D1001" s="40"/>
      <c r="E1001" s="66"/>
      <c r="F1001" s="38"/>
      <c r="G1001" s="40"/>
      <c r="H1001" s="38"/>
      <c r="I1001" s="38"/>
      <c r="J1001" s="38">
        <f>IFERROR(VLOOKUP(C:C,'[1]S&amp;S'!$B:$F,5,0),)</f>
        <v>0</v>
      </c>
      <c r="K1001" s="38">
        <f>IFERROR(VLOOKUP(A:A,[1]APO!$A:$F,6,0),)</f>
        <v>0</v>
      </c>
      <c r="L1001" s="38">
        <f>IFERROR(VLOOKUP(C:C,'[1]TOTAL APO'!$A:$B,2,0),)</f>
        <v>0</v>
      </c>
      <c r="M1001" s="38">
        <f>IFERROR(VLOOKUP(A:A,[1]Short!$A:$Q,17,0),)</f>
        <v>0</v>
      </c>
      <c r="N1001" s="38">
        <f>IFERROR(VLOOKUP(C:C,[1]GIT!$B:$D,3,0),)</f>
        <v>0</v>
      </c>
      <c r="O1001" s="38">
        <f>IFERROR(VLOOKUP(A:A,[2]Sheet1!$A:$B,2,0),)</f>
        <v>0</v>
      </c>
      <c r="P1001" s="38">
        <f>IFERROR(VLOOKUP(A:A,[2]Sheet1!$A:$B,2,0),)</f>
        <v>0</v>
      </c>
      <c r="Q1001" s="38">
        <f t="shared" si="15"/>
        <v>0</v>
      </c>
      <c r="R1001" s="38"/>
      <c r="S1001" s="38"/>
    </row>
    <row r="1002" spans="1:19" hidden="1" x14ac:dyDescent="0.25">
      <c r="A1002" s="38" t="str">
        <f>F1002&amp;C1002</f>
        <v/>
      </c>
      <c r="B1002" s="38" t="str">
        <f>IF(J1002&gt;=SUMIFS(E:E,C:C,C1002),"Good to go","Short in Qty")</f>
        <v>Good to go</v>
      </c>
      <c r="C1002" s="40"/>
      <c r="D1002" s="40"/>
      <c r="E1002" s="66"/>
      <c r="F1002" s="38"/>
      <c r="G1002" s="40"/>
      <c r="H1002" s="38"/>
      <c r="I1002" s="38"/>
      <c r="J1002" s="38">
        <f>IFERROR(VLOOKUP(C:C,'[1]S&amp;S'!$B:$F,5,0),)</f>
        <v>0</v>
      </c>
      <c r="K1002" s="38">
        <f>IFERROR(VLOOKUP(A:A,[1]APO!$A:$F,6,0),)</f>
        <v>0</v>
      </c>
      <c r="L1002" s="38">
        <f>IFERROR(VLOOKUP(C:C,'[1]TOTAL APO'!$A:$B,2,0),)</f>
        <v>0</v>
      </c>
      <c r="M1002" s="38">
        <f>IFERROR(VLOOKUP(A:A,[1]Short!$A:$Q,17,0),)</f>
        <v>0</v>
      </c>
      <c r="N1002" s="38">
        <f>IFERROR(VLOOKUP(C:C,[1]GIT!$B:$D,3,0),)</f>
        <v>0</v>
      </c>
      <c r="O1002" s="38">
        <f>IFERROR(VLOOKUP(A:A,[2]Sheet1!$A:$B,2,0),)</f>
        <v>0</v>
      </c>
      <c r="P1002" s="38">
        <f>IFERROR(VLOOKUP(A:A,[2]Sheet1!$A:$B,2,0),)</f>
        <v>0</v>
      </c>
      <c r="Q1002" s="38">
        <f t="shared" si="15"/>
        <v>0</v>
      </c>
      <c r="R1002" s="38"/>
      <c r="S1002" s="38"/>
    </row>
    <row r="1003" spans="1:19" hidden="1" x14ac:dyDescent="0.25">
      <c r="A1003" s="38" t="str">
        <f>F1003&amp;C1003</f>
        <v/>
      </c>
      <c r="B1003" s="38" t="str">
        <f>IF(J1003&gt;=SUMIFS(E:E,C:C,C1003),"Good to go","Short in Qty")</f>
        <v>Good to go</v>
      </c>
      <c r="C1003" s="40"/>
      <c r="D1003" s="40"/>
      <c r="E1003" s="66"/>
      <c r="F1003" s="38"/>
      <c r="G1003" s="40"/>
      <c r="H1003" s="38"/>
      <c r="I1003" s="38"/>
      <c r="J1003" s="38">
        <f>IFERROR(VLOOKUP(C:C,'[1]S&amp;S'!$B:$F,5,0),)</f>
        <v>0</v>
      </c>
      <c r="K1003" s="38">
        <f>IFERROR(VLOOKUP(A:A,[1]APO!$A:$F,6,0),)</f>
        <v>0</v>
      </c>
      <c r="L1003" s="38">
        <f>IFERROR(VLOOKUP(C:C,'[1]TOTAL APO'!$A:$B,2,0),)</f>
        <v>0</v>
      </c>
      <c r="M1003" s="38">
        <f>IFERROR(VLOOKUP(A:A,[1]Short!$A:$Q,17,0),)</f>
        <v>0</v>
      </c>
      <c r="N1003" s="38">
        <f>IFERROR(VLOOKUP(C:C,[1]GIT!$B:$D,3,0),)</f>
        <v>0</v>
      </c>
      <c r="O1003" s="38">
        <f>IFERROR(VLOOKUP(A:A,[2]Sheet1!$A:$B,2,0),)</f>
        <v>0</v>
      </c>
      <c r="P1003" s="38">
        <f>IFERROR(VLOOKUP(A:A,[2]Sheet1!$A:$B,2,0),)</f>
        <v>0</v>
      </c>
      <c r="Q1003" s="38">
        <f t="shared" si="15"/>
        <v>0</v>
      </c>
      <c r="R1003" s="38"/>
      <c r="S1003" s="38"/>
    </row>
    <row r="1004" spans="1:19" hidden="1" x14ac:dyDescent="0.25">
      <c r="A1004" s="38" t="str">
        <f>F1004&amp;C1004</f>
        <v/>
      </c>
      <c r="B1004" s="38" t="str">
        <f>IF(J1004&gt;=SUMIFS(E:E,C:C,C1004),"Good to go","Short in Qty")</f>
        <v>Good to go</v>
      </c>
      <c r="C1004" s="40"/>
      <c r="D1004" s="40"/>
      <c r="E1004" s="66"/>
      <c r="F1004" s="38"/>
      <c r="G1004" s="40"/>
      <c r="H1004" s="38"/>
      <c r="I1004" s="38"/>
      <c r="J1004" s="38">
        <f>IFERROR(VLOOKUP(C:C,'[1]S&amp;S'!$B:$F,5,0),)</f>
        <v>0</v>
      </c>
      <c r="K1004" s="38">
        <f>IFERROR(VLOOKUP(A:A,[1]APO!$A:$F,6,0),)</f>
        <v>0</v>
      </c>
      <c r="L1004" s="38">
        <f>IFERROR(VLOOKUP(C:C,'[1]TOTAL APO'!$A:$B,2,0),)</f>
        <v>0</v>
      </c>
      <c r="M1004" s="38">
        <f>IFERROR(VLOOKUP(A:A,[1]Short!$A:$Q,17,0),)</f>
        <v>0</v>
      </c>
      <c r="N1004" s="38">
        <f>IFERROR(VLOOKUP(C:C,[1]GIT!$B:$D,3,0),)</f>
        <v>0</v>
      </c>
      <c r="O1004" s="38">
        <f>IFERROR(VLOOKUP(A:A,[2]Sheet1!$A:$B,2,0),)</f>
        <v>0</v>
      </c>
      <c r="P1004" s="38">
        <f>IFERROR(VLOOKUP(A:A,[2]Sheet1!$A:$B,2,0),)</f>
        <v>0</v>
      </c>
      <c r="Q1004" s="38">
        <f t="shared" si="15"/>
        <v>0</v>
      </c>
      <c r="R1004" s="38"/>
      <c r="S1004" s="38"/>
    </row>
    <row r="1005" spans="1:19" hidden="1" x14ac:dyDescent="0.25">
      <c r="A1005" s="38" t="str">
        <f>F1005&amp;C1005</f>
        <v/>
      </c>
      <c r="B1005" s="38" t="str">
        <f>IF(J1005&gt;=SUMIFS(E:E,C:C,C1005),"Good to go","Short in Qty")</f>
        <v>Good to go</v>
      </c>
      <c r="C1005" s="40"/>
      <c r="D1005" s="40"/>
      <c r="E1005" s="66"/>
      <c r="F1005" s="38"/>
      <c r="G1005" s="40"/>
      <c r="H1005" s="38"/>
      <c r="I1005" s="38"/>
      <c r="J1005" s="38">
        <f>IFERROR(VLOOKUP(C:C,'[1]S&amp;S'!$B:$F,5,0),)</f>
        <v>0</v>
      </c>
      <c r="K1005" s="38">
        <f>IFERROR(VLOOKUP(A:A,[1]APO!$A:$F,6,0),)</f>
        <v>0</v>
      </c>
      <c r="L1005" s="38">
        <f>IFERROR(VLOOKUP(C:C,'[1]TOTAL APO'!$A:$B,2,0),)</f>
        <v>0</v>
      </c>
      <c r="M1005" s="38">
        <f>IFERROR(VLOOKUP(A:A,[1]Short!$A:$Q,17,0),)</f>
        <v>0</v>
      </c>
      <c r="N1005" s="38">
        <f>IFERROR(VLOOKUP(C:C,[1]GIT!$B:$D,3,0),)</f>
        <v>0</v>
      </c>
      <c r="O1005" s="38">
        <f>IFERROR(VLOOKUP(A:A,[2]Sheet1!$A:$B,2,0),)</f>
        <v>0</v>
      </c>
      <c r="P1005" s="38">
        <f>IFERROR(VLOOKUP(A:A,[2]Sheet1!$A:$B,2,0),)</f>
        <v>0</v>
      </c>
      <c r="Q1005" s="38">
        <f t="shared" si="15"/>
        <v>0</v>
      </c>
      <c r="R1005" s="38"/>
      <c r="S1005" s="38"/>
    </row>
    <row r="1006" spans="1:19" hidden="1" x14ac:dyDescent="0.25">
      <c r="A1006" s="38" t="str">
        <f>F1006&amp;C1006</f>
        <v/>
      </c>
      <c r="B1006" s="38" t="str">
        <f>IF(J1006&gt;=SUMIFS(E:E,C:C,C1006),"Good to go","Short in Qty")</f>
        <v>Good to go</v>
      </c>
      <c r="C1006" s="40"/>
      <c r="D1006" s="40"/>
      <c r="E1006" s="66"/>
      <c r="F1006" s="38"/>
      <c r="G1006" s="40"/>
      <c r="H1006" s="38"/>
      <c r="I1006" s="38"/>
      <c r="J1006" s="38">
        <f>IFERROR(VLOOKUP(C:C,'[1]S&amp;S'!$B:$F,5,0),)</f>
        <v>0</v>
      </c>
      <c r="K1006" s="38">
        <f>IFERROR(VLOOKUP(A:A,[1]APO!$A:$F,6,0),)</f>
        <v>0</v>
      </c>
      <c r="L1006" s="38">
        <f>IFERROR(VLOOKUP(C:C,'[1]TOTAL APO'!$A:$B,2,0),)</f>
        <v>0</v>
      </c>
      <c r="M1006" s="38">
        <f>IFERROR(VLOOKUP(A:A,[1]Short!$A:$Q,17,0),)</f>
        <v>0</v>
      </c>
      <c r="N1006" s="38">
        <f>IFERROR(VLOOKUP(C:C,[1]GIT!$B:$D,3,0),)</f>
        <v>0</v>
      </c>
      <c r="O1006" s="38">
        <f>IFERROR(VLOOKUP(A:A,[2]Sheet1!$A:$B,2,0),)</f>
        <v>0</v>
      </c>
      <c r="P1006" s="38">
        <f>IFERROR(VLOOKUP(A:A,[2]Sheet1!$A:$B,2,0),)</f>
        <v>0</v>
      </c>
      <c r="Q1006" s="38">
        <f t="shared" si="15"/>
        <v>0</v>
      </c>
      <c r="R1006" s="38"/>
      <c r="S1006" s="38"/>
    </row>
    <row r="1007" spans="1:19" hidden="1" x14ac:dyDescent="0.25">
      <c r="A1007" s="38" t="str">
        <f>F1007&amp;C1007</f>
        <v/>
      </c>
      <c r="B1007" s="38" t="str">
        <f>IF(J1007&gt;=SUMIFS(E:E,C:C,C1007),"Good to go","Short in Qty")</f>
        <v>Good to go</v>
      </c>
      <c r="C1007" s="40"/>
      <c r="D1007" s="40"/>
      <c r="E1007" s="66"/>
      <c r="F1007" s="38"/>
      <c r="G1007" s="40"/>
      <c r="H1007" s="38"/>
      <c r="I1007" s="38"/>
      <c r="J1007" s="38">
        <f>IFERROR(VLOOKUP(C:C,'[1]S&amp;S'!$B:$F,5,0),)</f>
        <v>0</v>
      </c>
      <c r="K1007" s="38">
        <f>IFERROR(VLOOKUP(A:A,[1]APO!$A:$F,6,0),)</f>
        <v>0</v>
      </c>
      <c r="L1007" s="38">
        <f>IFERROR(VLOOKUP(C:C,'[1]TOTAL APO'!$A:$B,2,0),)</f>
        <v>0</v>
      </c>
      <c r="M1007" s="38">
        <f>IFERROR(VLOOKUP(A:A,[1]Short!$A:$Q,17,0),)</f>
        <v>0</v>
      </c>
      <c r="N1007" s="38">
        <f>IFERROR(VLOOKUP(C:C,[1]GIT!$B:$D,3,0),)</f>
        <v>0</v>
      </c>
      <c r="O1007" s="38">
        <f>IFERROR(VLOOKUP(A:A,[2]Sheet1!$A:$B,2,0),)</f>
        <v>0</v>
      </c>
      <c r="P1007" s="38">
        <f>IFERROR(VLOOKUP(A:A,[2]Sheet1!$A:$B,2,0),)</f>
        <v>0</v>
      </c>
      <c r="Q1007" s="38">
        <f t="shared" si="15"/>
        <v>0</v>
      </c>
      <c r="R1007" s="38"/>
      <c r="S1007" s="38"/>
    </row>
    <row r="1008" spans="1:19" hidden="1" x14ac:dyDescent="0.25">
      <c r="A1008" s="38" t="str">
        <f>F1008&amp;C1008</f>
        <v/>
      </c>
      <c r="B1008" s="38" t="str">
        <f>IF(J1008&gt;=SUMIFS(E:E,C:C,C1008),"Good to go","Short in Qty")</f>
        <v>Good to go</v>
      </c>
      <c r="C1008" s="40"/>
      <c r="D1008" s="40"/>
      <c r="E1008" s="66"/>
      <c r="F1008" s="38"/>
      <c r="G1008" s="40"/>
      <c r="H1008" s="38"/>
      <c r="I1008" s="38"/>
      <c r="J1008" s="38">
        <f>IFERROR(VLOOKUP(C:C,'[1]S&amp;S'!$B:$F,5,0),)</f>
        <v>0</v>
      </c>
      <c r="K1008" s="38">
        <f>IFERROR(VLOOKUP(A:A,[1]APO!$A:$F,6,0),)</f>
        <v>0</v>
      </c>
      <c r="L1008" s="38">
        <f>IFERROR(VLOOKUP(C:C,'[1]TOTAL APO'!$A:$B,2,0),)</f>
        <v>0</v>
      </c>
      <c r="M1008" s="38">
        <f>IFERROR(VLOOKUP(A:A,[1]Short!$A:$Q,17,0),)</f>
        <v>0</v>
      </c>
      <c r="N1008" s="38">
        <f>IFERROR(VLOOKUP(C:C,[1]GIT!$B:$D,3,0),)</f>
        <v>0</v>
      </c>
      <c r="O1008" s="38">
        <f>IFERROR(VLOOKUP(A:A,[2]Sheet1!$A:$B,2,0),)</f>
        <v>0</v>
      </c>
      <c r="P1008" s="38">
        <f>IFERROR(VLOOKUP(A:A,[2]Sheet1!$A:$B,2,0),)</f>
        <v>0</v>
      </c>
      <c r="Q1008" s="38">
        <f t="shared" si="15"/>
        <v>0</v>
      </c>
      <c r="R1008" s="38"/>
      <c r="S1008" s="38"/>
    </row>
    <row r="1009" spans="1:19" hidden="1" x14ac:dyDescent="0.25">
      <c r="A1009" s="38" t="str">
        <f>F1009&amp;C1009</f>
        <v/>
      </c>
      <c r="B1009" s="38" t="str">
        <f>IF(J1009&gt;=SUMIFS(E:E,C:C,C1009),"Good to go","Short in Qty")</f>
        <v>Good to go</v>
      </c>
      <c r="C1009" s="40"/>
      <c r="D1009" s="40"/>
      <c r="E1009" s="66"/>
      <c r="F1009" s="38"/>
      <c r="G1009" s="40"/>
      <c r="H1009" s="38"/>
      <c r="I1009" s="38"/>
      <c r="J1009" s="38">
        <f>IFERROR(VLOOKUP(C:C,'[1]S&amp;S'!$B:$F,5,0),)</f>
        <v>0</v>
      </c>
      <c r="K1009" s="38">
        <f>IFERROR(VLOOKUP(A:A,[1]APO!$A:$F,6,0),)</f>
        <v>0</v>
      </c>
      <c r="L1009" s="38">
        <f>IFERROR(VLOOKUP(C:C,'[1]TOTAL APO'!$A:$B,2,0),)</f>
        <v>0</v>
      </c>
      <c r="M1009" s="38">
        <f>IFERROR(VLOOKUP(A:A,[1]Short!$A:$Q,17,0),)</f>
        <v>0</v>
      </c>
      <c r="N1009" s="38">
        <f>IFERROR(VLOOKUP(C:C,[1]GIT!$B:$D,3,0),)</f>
        <v>0</v>
      </c>
      <c r="O1009" s="38">
        <f>IFERROR(VLOOKUP(A:A,[2]Sheet1!$A:$B,2,0),)</f>
        <v>0</v>
      </c>
      <c r="P1009" s="38">
        <f>IFERROR(VLOOKUP(A:A,[2]Sheet1!$A:$B,2,0),)</f>
        <v>0</v>
      </c>
      <c r="Q1009" s="38">
        <f t="shared" si="15"/>
        <v>0</v>
      </c>
      <c r="R1009" s="38"/>
      <c r="S1009" s="38"/>
    </row>
    <row r="1010" spans="1:19" hidden="1" x14ac:dyDescent="0.25">
      <c r="A1010" s="38" t="str">
        <f>F1010&amp;C1010</f>
        <v/>
      </c>
      <c r="B1010" s="38" t="str">
        <f>IF(J1010&gt;=SUMIFS(E:E,C:C,C1010),"Good to go","Short in Qty")</f>
        <v>Good to go</v>
      </c>
      <c r="C1010" s="40"/>
      <c r="D1010" s="40"/>
      <c r="E1010" s="66"/>
      <c r="F1010" s="38"/>
      <c r="G1010" s="40"/>
      <c r="H1010" s="38"/>
      <c r="I1010" s="38"/>
      <c r="J1010" s="38">
        <f>IFERROR(VLOOKUP(C:C,'[1]S&amp;S'!$B:$F,5,0),)</f>
        <v>0</v>
      </c>
      <c r="K1010" s="38">
        <f>IFERROR(VLOOKUP(A:A,[1]APO!$A:$F,6,0),)</f>
        <v>0</v>
      </c>
      <c r="L1010" s="38">
        <f>IFERROR(VLOOKUP(C:C,'[1]TOTAL APO'!$A:$B,2,0),)</f>
        <v>0</v>
      </c>
      <c r="M1010" s="38">
        <f>IFERROR(VLOOKUP(A:A,[1]Short!$A:$Q,17,0),)</f>
        <v>0</v>
      </c>
      <c r="N1010" s="38">
        <f>IFERROR(VLOOKUP(C:C,[1]GIT!$B:$D,3,0),)</f>
        <v>0</v>
      </c>
      <c r="O1010" s="38">
        <f>IFERROR(VLOOKUP(A:A,[2]Sheet1!$A:$B,2,0),)</f>
        <v>0</v>
      </c>
      <c r="P1010" s="38">
        <f>IFERROR(VLOOKUP(A:A,[2]Sheet1!$A:$B,2,0),)</f>
        <v>0</v>
      </c>
      <c r="Q1010" s="38">
        <f t="shared" si="15"/>
        <v>0</v>
      </c>
      <c r="R1010" s="38"/>
      <c r="S1010" s="38"/>
    </row>
    <row r="1011" spans="1:19" hidden="1" x14ac:dyDescent="0.25">
      <c r="A1011" s="38" t="str">
        <f>F1011&amp;C1011</f>
        <v/>
      </c>
      <c r="B1011" s="38" t="str">
        <f>IF(J1011&gt;=SUMIFS(E:E,C:C,C1011),"Good to go","Short in Qty")</f>
        <v>Good to go</v>
      </c>
      <c r="C1011" s="40"/>
      <c r="D1011" s="40"/>
      <c r="E1011" s="66"/>
      <c r="F1011" s="38"/>
      <c r="G1011" s="40"/>
      <c r="H1011" s="38"/>
      <c r="I1011" s="38"/>
      <c r="J1011" s="38">
        <f>IFERROR(VLOOKUP(C:C,'[1]S&amp;S'!$B:$F,5,0),)</f>
        <v>0</v>
      </c>
      <c r="K1011" s="38">
        <f>IFERROR(VLOOKUP(A:A,[1]APO!$A:$F,6,0),)</f>
        <v>0</v>
      </c>
      <c r="L1011" s="38">
        <f>IFERROR(VLOOKUP(C:C,'[1]TOTAL APO'!$A:$B,2,0),)</f>
        <v>0</v>
      </c>
      <c r="M1011" s="38">
        <f>IFERROR(VLOOKUP(A:A,[1]Short!$A:$Q,17,0),)</f>
        <v>0</v>
      </c>
      <c r="N1011" s="38">
        <f>IFERROR(VLOOKUP(C:C,[1]GIT!$B:$D,3,0),)</f>
        <v>0</v>
      </c>
      <c r="O1011" s="38">
        <f>IFERROR(VLOOKUP(A:A,[2]Sheet1!$A:$B,2,0),)</f>
        <v>0</v>
      </c>
      <c r="P1011" s="38">
        <f>IFERROR(VLOOKUP(A:A,[2]Sheet1!$A:$B,2,0),)</f>
        <v>0</v>
      </c>
      <c r="Q1011" s="38">
        <f t="shared" si="15"/>
        <v>0</v>
      </c>
      <c r="R1011" s="38"/>
      <c r="S1011" s="38"/>
    </row>
    <row r="1012" spans="1:19" hidden="1" x14ac:dyDescent="0.25">
      <c r="A1012" s="38" t="str">
        <f>F1012&amp;C1012</f>
        <v/>
      </c>
      <c r="B1012" s="38" t="str">
        <f>IF(J1012&gt;=SUMIFS(E:E,C:C,C1012),"Good to go","Short in Qty")</f>
        <v>Good to go</v>
      </c>
      <c r="C1012" s="40"/>
      <c r="D1012" s="40"/>
      <c r="E1012" s="66"/>
      <c r="F1012" s="38"/>
      <c r="G1012" s="40"/>
      <c r="H1012" s="38"/>
      <c r="I1012" s="38"/>
      <c r="J1012" s="38">
        <f>IFERROR(VLOOKUP(C:C,'[1]S&amp;S'!$B:$F,5,0),)</f>
        <v>0</v>
      </c>
      <c r="K1012" s="38">
        <f>IFERROR(VLOOKUP(A:A,[1]APO!$A:$F,6,0),)</f>
        <v>0</v>
      </c>
      <c r="L1012" s="38">
        <f>IFERROR(VLOOKUP(C:C,'[1]TOTAL APO'!$A:$B,2,0),)</f>
        <v>0</v>
      </c>
      <c r="M1012" s="38">
        <f>IFERROR(VLOOKUP(A:A,[1]Short!$A:$Q,17,0),)</f>
        <v>0</v>
      </c>
      <c r="N1012" s="38">
        <f>IFERROR(VLOOKUP(C:C,[1]GIT!$B:$D,3,0),)</f>
        <v>0</v>
      </c>
      <c r="O1012" s="38">
        <f>IFERROR(VLOOKUP(A:A,[2]Sheet1!$A:$B,2,0),)</f>
        <v>0</v>
      </c>
      <c r="P1012" s="38">
        <f>IFERROR(VLOOKUP(A:A,[2]Sheet1!$A:$B,2,0),)</f>
        <v>0</v>
      </c>
      <c r="Q1012" s="38">
        <f t="shared" si="15"/>
        <v>0</v>
      </c>
      <c r="R1012" s="38"/>
      <c r="S1012" s="38"/>
    </row>
    <row r="1013" spans="1:19" hidden="1" x14ac:dyDescent="0.25">
      <c r="A1013" s="38" t="str">
        <f>F1013&amp;C1013</f>
        <v/>
      </c>
      <c r="B1013" s="38" t="str">
        <f>IF(J1013&gt;=SUMIFS(E:E,C:C,C1013),"Good to go","Short in Qty")</f>
        <v>Good to go</v>
      </c>
      <c r="C1013" s="40"/>
      <c r="D1013" s="40"/>
      <c r="E1013" s="66"/>
      <c r="F1013" s="38"/>
      <c r="G1013" s="40"/>
      <c r="H1013" s="38"/>
      <c r="I1013" s="38"/>
      <c r="J1013" s="38">
        <f>IFERROR(VLOOKUP(C:C,'[1]S&amp;S'!$B:$F,5,0),)</f>
        <v>0</v>
      </c>
      <c r="K1013" s="38">
        <f>IFERROR(VLOOKUP(A:A,[1]APO!$A:$F,6,0),)</f>
        <v>0</v>
      </c>
      <c r="L1013" s="38">
        <f>IFERROR(VLOOKUP(C:C,'[1]TOTAL APO'!$A:$B,2,0),)</f>
        <v>0</v>
      </c>
      <c r="M1013" s="38">
        <f>IFERROR(VLOOKUP(A:A,[1]Short!$A:$Q,17,0),)</f>
        <v>0</v>
      </c>
      <c r="N1013" s="38">
        <f>IFERROR(VLOOKUP(C:C,[1]GIT!$B:$D,3,0),)</f>
        <v>0</v>
      </c>
      <c r="O1013" s="38">
        <f>IFERROR(VLOOKUP(A:A,[2]Sheet1!$A:$B,2,0),)</f>
        <v>0</v>
      </c>
      <c r="P1013" s="38">
        <f>IFERROR(VLOOKUP(A:A,[2]Sheet1!$A:$B,2,0),)</f>
        <v>0</v>
      </c>
      <c r="Q1013" s="38">
        <f t="shared" si="15"/>
        <v>0</v>
      </c>
      <c r="R1013" s="38"/>
      <c r="S1013" s="38"/>
    </row>
    <row r="1014" spans="1:19" hidden="1" x14ac:dyDescent="0.25">
      <c r="A1014" s="38" t="str">
        <f>F1014&amp;C1014</f>
        <v/>
      </c>
      <c r="B1014" s="38" t="str">
        <f>IF(J1014&gt;=SUMIFS(E:E,C:C,C1014),"Good to go","Short in Qty")</f>
        <v>Good to go</v>
      </c>
      <c r="C1014" s="40"/>
      <c r="D1014" s="40"/>
      <c r="E1014" s="66"/>
      <c r="F1014" s="38"/>
      <c r="G1014" s="40"/>
      <c r="H1014" s="38"/>
      <c r="I1014" s="38"/>
      <c r="J1014" s="38">
        <f>IFERROR(VLOOKUP(C:C,'[1]S&amp;S'!$B:$F,5,0),)</f>
        <v>0</v>
      </c>
      <c r="K1014" s="38">
        <f>IFERROR(VLOOKUP(A:A,[1]APO!$A:$F,6,0),)</f>
        <v>0</v>
      </c>
      <c r="L1014" s="38">
        <f>IFERROR(VLOOKUP(C:C,'[1]TOTAL APO'!$A:$B,2,0),)</f>
        <v>0</v>
      </c>
      <c r="M1014" s="38">
        <f>IFERROR(VLOOKUP(A:A,[1]Short!$A:$Q,17,0),)</f>
        <v>0</v>
      </c>
      <c r="N1014" s="38">
        <f>IFERROR(VLOOKUP(C:C,[1]GIT!$B:$D,3,0),)</f>
        <v>0</v>
      </c>
      <c r="O1014" s="38">
        <f>IFERROR(VLOOKUP(A:A,[2]Sheet1!$A:$B,2,0),)</f>
        <v>0</v>
      </c>
      <c r="P1014" s="38">
        <f>IFERROR(VLOOKUP(A:A,[2]Sheet1!$A:$B,2,0),)</f>
        <v>0</v>
      </c>
      <c r="Q1014" s="38">
        <f t="shared" si="15"/>
        <v>0</v>
      </c>
      <c r="R1014" s="38"/>
      <c r="S1014" s="38"/>
    </row>
    <row r="1015" spans="1:19" hidden="1" x14ac:dyDescent="0.25">
      <c r="A1015" s="38" t="str">
        <f>F1015&amp;C1015</f>
        <v/>
      </c>
      <c r="B1015" s="38" t="str">
        <f>IF(J1015&gt;=SUMIFS(E:E,C:C,C1015),"Good to go","Short in Qty")</f>
        <v>Good to go</v>
      </c>
      <c r="C1015" s="40"/>
      <c r="D1015" s="40"/>
      <c r="E1015" s="66"/>
      <c r="F1015" s="38"/>
      <c r="G1015" s="40"/>
      <c r="H1015" s="38"/>
      <c r="I1015" s="38"/>
      <c r="J1015" s="38">
        <f>IFERROR(VLOOKUP(C:C,'[1]S&amp;S'!$B:$F,5,0),)</f>
        <v>0</v>
      </c>
      <c r="K1015" s="38">
        <f>IFERROR(VLOOKUP(A:A,[1]APO!$A:$F,6,0),)</f>
        <v>0</v>
      </c>
      <c r="L1015" s="38">
        <f>IFERROR(VLOOKUP(C:C,'[1]TOTAL APO'!$A:$B,2,0),)</f>
        <v>0</v>
      </c>
      <c r="M1015" s="38">
        <f>IFERROR(VLOOKUP(A:A,[1]Short!$A:$Q,17,0),)</f>
        <v>0</v>
      </c>
      <c r="N1015" s="38">
        <f>IFERROR(VLOOKUP(C:C,[1]GIT!$B:$D,3,0),)</f>
        <v>0</v>
      </c>
      <c r="O1015" s="38">
        <f>IFERROR(VLOOKUP(A:A,[2]Sheet1!$A:$B,2,0),)</f>
        <v>0</v>
      </c>
      <c r="P1015" s="38">
        <f>IFERROR(VLOOKUP(A:A,[2]Sheet1!$A:$B,2,0),)</f>
        <v>0</v>
      </c>
      <c r="Q1015" s="38">
        <f t="shared" si="15"/>
        <v>0</v>
      </c>
      <c r="R1015" s="38"/>
      <c r="S1015" s="38"/>
    </row>
    <row r="1016" spans="1:19" hidden="1" x14ac:dyDescent="0.25">
      <c r="A1016" s="38" t="str">
        <f>F1016&amp;C1016</f>
        <v/>
      </c>
      <c r="B1016" s="38" t="str">
        <f>IF(J1016&gt;=SUMIFS(E:E,C:C,C1016),"Good to go","Short in Qty")</f>
        <v>Good to go</v>
      </c>
      <c r="C1016" s="40"/>
      <c r="D1016" s="40"/>
      <c r="E1016" s="66"/>
      <c r="F1016" s="38"/>
      <c r="G1016" s="40"/>
      <c r="H1016" s="38"/>
      <c r="I1016" s="38"/>
      <c r="J1016" s="38">
        <f>IFERROR(VLOOKUP(C:C,'[1]S&amp;S'!$B:$F,5,0),)</f>
        <v>0</v>
      </c>
      <c r="K1016" s="38">
        <f>IFERROR(VLOOKUP(A:A,[1]APO!$A:$F,6,0),)</f>
        <v>0</v>
      </c>
      <c r="L1016" s="38">
        <f>IFERROR(VLOOKUP(C:C,'[1]TOTAL APO'!$A:$B,2,0),)</f>
        <v>0</v>
      </c>
      <c r="M1016" s="38">
        <f>IFERROR(VLOOKUP(A:A,[1]Short!$A:$Q,17,0),)</f>
        <v>0</v>
      </c>
      <c r="N1016" s="38">
        <f>IFERROR(VLOOKUP(C:C,[1]GIT!$B:$D,3,0),)</f>
        <v>0</v>
      </c>
      <c r="O1016" s="38">
        <f>IFERROR(VLOOKUP(A:A,[2]Sheet1!$A:$B,2,0),)</f>
        <v>0</v>
      </c>
      <c r="P1016" s="38">
        <f>IFERROR(VLOOKUP(A:A,[2]Sheet1!$A:$B,2,0),)</f>
        <v>0</v>
      </c>
      <c r="Q1016" s="38">
        <f t="shared" si="15"/>
        <v>0</v>
      </c>
      <c r="R1016" s="38"/>
      <c r="S1016" s="38"/>
    </row>
    <row r="1017" spans="1:19" hidden="1" x14ac:dyDescent="0.25">
      <c r="A1017" s="38" t="str">
        <f>F1017&amp;C1017</f>
        <v/>
      </c>
      <c r="B1017" s="38" t="str">
        <f>IF(J1017&gt;=SUMIFS(E:E,C:C,C1017),"Good to go","Short in Qty")</f>
        <v>Good to go</v>
      </c>
      <c r="C1017" s="40"/>
      <c r="D1017" s="40"/>
      <c r="E1017" s="66"/>
      <c r="F1017" s="38"/>
      <c r="G1017" s="40"/>
      <c r="H1017" s="38"/>
      <c r="I1017" s="38"/>
      <c r="J1017" s="38">
        <f>IFERROR(VLOOKUP(C:C,'[1]S&amp;S'!$B:$F,5,0),)</f>
        <v>0</v>
      </c>
      <c r="K1017" s="38">
        <f>IFERROR(VLOOKUP(A:A,[1]APO!$A:$F,6,0),)</f>
        <v>0</v>
      </c>
      <c r="L1017" s="38">
        <f>IFERROR(VLOOKUP(C:C,'[1]TOTAL APO'!$A:$B,2,0),)</f>
        <v>0</v>
      </c>
      <c r="M1017" s="38">
        <f>IFERROR(VLOOKUP(A:A,[1]Short!$A:$Q,17,0),)</f>
        <v>0</v>
      </c>
      <c r="N1017" s="38">
        <f>IFERROR(VLOOKUP(C:C,[1]GIT!$B:$D,3,0),)</f>
        <v>0</v>
      </c>
      <c r="O1017" s="38">
        <f>IFERROR(VLOOKUP(A:A,[2]Sheet1!$A:$B,2,0),)</f>
        <v>0</v>
      </c>
      <c r="P1017" s="38">
        <f>IFERROR(VLOOKUP(A:A,[2]Sheet1!$A:$B,2,0),)</f>
        <v>0</v>
      </c>
      <c r="Q1017" s="38">
        <f t="shared" si="15"/>
        <v>0</v>
      </c>
      <c r="R1017" s="38"/>
      <c r="S1017" s="38"/>
    </row>
    <row r="1018" spans="1:19" hidden="1" x14ac:dyDescent="0.25">
      <c r="A1018" s="38" t="str">
        <f>F1018&amp;C1018</f>
        <v/>
      </c>
      <c r="B1018" s="38" t="str">
        <f>IF(J1018&gt;=SUMIFS(E:E,C:C,C1018),"Good to go","Short in Qty")</f>
        <v>Good to go</v>
      </c>
      <c r="C1018" s="40"/>
      <c r="D1018" s="40"/>
      <c r="E1018" s="66"/>
      <c r="F1018" s="38"/>
      <c r="G1018" s="40"/>
      <c r="H1018" s="38"/>
      <c r="I1018" s="38"/>
      <c r="J1018" s="38">
        <f>IFERROR(VLOOKUP(C:C,'[1]S&amp;S'!$B:$F,5,0),)</f>
        <v>0</v>
      </c>
      <c r="K1018" s="38">
        <f>IFERROR(VLOOKUP(A:A,[1]APO!$A:$F,6,0),)</f>
        <v>0</v>
      </c>
      <c r="L1018" s="38">
        <f>IFERROR(VLOOKUP(C:C,'[1]TOTAL APO'!$A:$B,2,0),)</f>
        <v>0</v>
      </c>
      <c r="M1018" s="38">
        <f>IFERROR(VLOOKUP(A:A,[1]Short!$A:$Q,17,0),)</f>
        <v>0</v>
      </c>
      <c r="N1018" s="38">
        <f>IFERROR(VLOOKUP(C:C,[1]GIT!$B:$D,3,0),)</f>
        <v>0</v>
      </c>
      <c r="O1018" s="38">
        <f>IFERROR(VLOOKUP(A:A,[2]Sheet1!$A:$B,2,0),)</f>
        <v>0</v>
      </c>
      <c r="P1018" s="38">
        <f>IFERROR(VLOOKUP(A:A,[2]Sheet1!$A:$B,2,0),)</f>
        <v>0</v>
      </c>
      <c r="Q1018" s="38">
        <f t="shared" si="15"/>
        <v>0</v>
      </c>
      <c r="R1018" s="38"/>
      <c r="S1018" s="38"/>
    </row>
    <row r="1019" spans="1:19" hidden="1" x14ac:dyDescent="0.25">
      <c r="A1019" s="38" t="str">
        <f>F1019&amp;C1019</f>
        <v/>
      </c>
      <c r="B1019" s="38" t="str">
        <f>IF(J1019&gt;=SUMIFS(E:E,C:C,C1019),"Good to go","Short in Qty")</f>
        <v>Good to go</v>
      </c>
      <c r="C1019" s="40"/>
      <c r="D1019" s="40"/>
      <c r="E1019" s="66"/>
      <c r="F1019" s="38"/>
      <c r="G1019" s="40"/>
      <c r="H1019" s="38"/>
      <c r="I1019" s="38"/>
      <c r="J1019" s="38">
        <f>IFERROR(VLOOKUP(C:C,'[1]S&amp;S'!$B:$F,5,0),)</f>
        <v>0</v>
      </c>
      <c r="K1019" s="38">
        <f>IFERROR(VLOOKUP(A:A,[1]APO!$A:$F,6,0),)</f>
        <v>0</v>
      </c>
      <c r="L1019" s="38">
        <f>IFERROR(VLOOKUP(C:C,'[1]TOTAL APO'!$A:$B,2,0),)</f>
        <v>0</v>
      </c>
      <c r="M1019" s="38">
        <f>IFERROR(VLOOKUP(A:A,[1]Short!$A:$Q,17,0),)</f>
        <v>0</v>
      </c>
      <c r="N1019" s="38">
        <f>IFERROR(VLOOKUP(C:C,[1]GIT!$B:$D,3,0),)</f>
        <v>0</v>
      </c>
      <c r="O1019" s="38">
        <f>IFERROR(VLOOKUP(A:A,[2]Sheet1!$A:$B,2,0),)</f>
        <v>0</v>
      </c>
      <c r="P1019" s="38">
        <f>IFERROR(VLOOKUP(A:A,[2]Sheet1!$A:$B,2,0),)</f>
        <v>0</v>
      </c>
      <c r="Q1019" s="38">
        <f t="shared" si="15"/>
        <v>0</v>
      </c>
      <c r="R1019" s="38"/>
      <c r="S1019" s="38"/>
    </row>
    <row r="1020" spans="1:19" hidden="1" x14ac:dyDescent="0.25">
      <c r="A1020" s="38" t="str">
        <f>F1020&amp;C1020</f>
        <v/>
      </c>
      <c r="B1020" s="38" t="str">
        <f>IF(J1020&gt;=SUMIFS(E:E,C:C,C1020),"Good to go","Short in Qty")</f>
        <v>Good to go</v>
      </c>
      <c r="C1020" s="40"/>
      <c r="D1020" s="40"/>
      <c r="E1020" s="66"/>
      <c r="F1020" s="38"/>
      <c r="G1020" s="40"/>
      <c r="H1020" s="38"/>
      <c r="I1020" s="38"/>
      <c r="J1020" s="38">
        <f>IFERROR(VLOOKUP(C:C,'[1]S&amp;S'!$B:$F,5,0),)</f>
        <v>0</v>
      </c>
      <c r="K1020" s="38">
        <f>IFERROR(VLOOKUP(A:A,[1]APO!$A:$F,6,0),)</f>
        <v>0</v>
      </c>
      <c r="L1020" s="38">
        <f>IFERROR(VLOOKUP(C:C,'[1]TOTAL APO'!$A:$B,2,0),)</f>
        <v>0</v>
      </c>
      <c r="M1020" s="38">
        <f>IFERROR(VLOOKUP(A:A,[1]Short!$A:$Q,17,0),)</f>
        <v>0</v>
      </c>
      <c r="N1020" s="38">
        <f>IFERROR(VLOOKUP(C:C,[1]GIT!$B:$D,3,0),)</f>
        <v>0</v>
      </c>
      <c r="O1020" s="38">
        <f>IFERROR(VLOOKUP(A:A,[2]Sheet1!$A:$B,2,0),)</f>
        <v>0</v>
      </c>
      <c r="P1020" s="38">
        <f>IFERROR(VLOOKUP(A:A,[2]Sheet1!$A:$B,2,0),)</f>
        <v>0</v>
      </c>
      <c r="Q1020" s="38">
        <f t="shared" si="15"/>
        <v>0</v>
      </c>
      <c r="R1020" s="38"/>
      <c r="S1020" s="38"/>
    </row>
    <row r="1021" spans="1:19" hidden="1" x14ac:dyDescent="0.25">
      <c r="A1021" s="38" t="str">
        <f>F1021&amp;C1021</f>
        <v/>
      </c>
      <c r="B1021" s="38" t="str">
        <f>IF(J1021&gt;=SUMIFS(E:E,C:C,C1021),"Good to go","Short in Qty")</f>
        <v>Good to go</v>
      </c>
      <c r="C1021" s="40"/>
      <c r="D1021" s="40"/>
      <c r="E1021" s="66"/>
      <c r="F1021" s="38"/>
      <c r="G1021" s="40"/>
      <c r="H1021" s="38"/>
      <c r="I1021" s="38"/>
      <c r="J1021" s="38">
        <f>IFERROR(VLOOKUP(C:C,'[1]S&amp;S'!$B:$F,5,0),)</f>
        <v>0</v>
      </c>
      <c r="K1021" s="38">
        <f>IFERROR(VLOOKUP(A:A,[1]APO!$A:$F,6,0),)</f>
        <v>0</v>
      </c>
      <c r="L1021" s="38">
        <f>IFERROR(VLOOKUP(C:C,'[1]TOTAL APO'!$A:$B,2,0),)</f>
        <v>0</v>
      </c>
      <c r="M1021" s="38">
        <f>IFERROR(VLOOKUP(A:A,[1]Short!$A:$Q,17,0),)</f>
        <v>0</v>
      </c>
      <c r="N1021" s="38">
        <f>IFERROR(VLOOKUP(C:C,[1]GIT!$B:$D,3,0),)</f>
        <v>0</v>
      </c>
      <c r="O1021" s="38">
        <f>IFERROR(VLOOKUP(A:A,[2]Sheet1!$A:$B,2,0),)</f>
        <v>0</v>
      </c>
      <c r="P1021" s="38">
        <f>IFERROR(VLOOKUP(A:A,[2]Sheet1!$A:$B,2,0),)</f>
        <v>0</v>
      </c>
      <c r="Q1021" s="38">
        <f t="shared" si="15"/>
        <v>0</v>
      </c>
      <c r="R1021" s="38"/>
      <c r="S1021" s="38"/>
    </row>
    <row r="1022" spans="1:19" hidden="1" x14ac:dyDescent="0.25">
      <c r="A1022" s="38" t="str">
        <f>F1022&amp;C1022</f>
        <v/>
      </c>
      <c r="B1022" s="38" t="str">
        <f>IF(J1022&gt;=SUMIFS(E:E,C:C,C1022),"Good to go","Short in Qty")</f>
        <v>Good to go</v>
      </c>
      <c r="C1022" s="40"/>
      <c r="D1022" s="40"/>
      <c r="E1022" s="66"/>
      <c r="F1022" s="38"/>
      <c r="G1022" s="40"/>
      <c r="H1022" s="38"/>
      <c r="I1022" s="38"/>
      <c r="J1022" s="38">
        <f>IFERROR(VLOOKUP(C:C,'[1]S&amp;S'!$B:$F,5,0),)</f>
        <v>0</v>
      </c>
      <c r="K1022" s="38">
        <f>IFERROR(VLOOKUP(A:A,[1]APO!$A:$F,6,0),)</f>
        <v>0</v>
      </c>
      <c r="L1022" s="38">
        <f>IFERROR(VLOOKUP(C:C,'[1]TOTAL APO'!$A:$B,2,0),)</f>
        <v>0</v>
      </c>
      <c r="M1022" s="38">
        <f>IFERROR(VLOOKUP(A:A,[1]Short!$A:$Q,17,0),)</f>
        <v>0</v>
      </c>
      <c r="N1022" s="38">
        <f>IFERROR(VLOOKUP(C:C,[1]GIT!$B:$D,3,0),)</f>
        <v>0</v>
      </c>
      <c r="O1022" s="38">
        <f>IFERROR(VLOOKUP(A:A,[2]Sheet1!$A:$B,2,0),)</f>
        <v>0</v>
      </c>
      <c r="P1022" s="38">
        <f>IFERROR(VLOOKUP(A:A,[2]Sheet1!$A:$B,2,0),)</f>
        <v>0</v>
      </c>
      <c r="Q1022" s="38">
        <f t="shared" si="15"/>
        <v>0</v>
      </c>
      <c r="R1022" s="38"/>
      <c r="S1022" s="38"/>
    </row>
    <row r="1023" spans="1:19" hidden="1" x14ac:dyDescent="0.25">
      <c r="A1023" s="38" t="str">
        <f>F1023&amp;C1023</f>
        <v/>
      </c>
      <c r="B1023" s="38" t="str">
        <f>IF(J1023&gt;=SUMIFS(E:E,C:C,C1023),"Good to go","Short in Qty")</f>
        <v>Good to go</v>
      </c>
      <c r="C1023" s="40"/>
      <c r="D1023" s="40"/>
      <c r="E1023" s="66"/>
      <c r="F1023" s="38"/>
      <c r="G1023" s="40"/>
      <c r="H1023" s="38"/>
      <c r="I1023" s="38"/>
      <c r="J1023" s="38">
        <f>IFERROR(VLOOKUP(C:C,'[1]S&amp;S'!$B:$F,5,0),)</f>
        <v>0</v>
      </c>
      <c r="K1023" s="38">
        <f>IFERROR(VLOOKUP(A:A,[1]APO!$A:$F,6,0),)</f>
        <v>0</v>
      </c>
      <c r="L1023" s="38">
        <f>IFERROR(VLOOKUP(C:C,'[1]TOTAL APO'!$A:$B,2,0),)</f>
        <v>0</v>
      </c>
      <c r="M1023" s="38">
        <f>IFERROR(VLOOKUP(A:A,[1]Short!$A:$Q,17,0),)</f>
        <v>0</v>
      </c>
      <c r="N1023" s="38">
        <f>IFERROR(VLOOKUP(C:C,[1]GIT!$B:$D,3,0),)</f>
        <v>0</v>
      </c>
      <c r="O1023" s="38">
        <f>IFERROR(VLOOKUP(A:A,[2]Sheet1!$A:$B,2,0),)</f>
        <v>0</v>
      </c>
      <c r="P1023" s="38">
        <f>IFERROR(VLOOKUP(A:A,[2]Sheet1!$A:$B,2,0),)</f>
        <v>0</v>
      </c>
      <c r="Q1023" s="38">
        <f t="shared" si="15"/>
        <v>0</v>
      </c>
      <c r="R1023" s="38"/>
      <c r="S1023" s="38"/>
    </row>
    <row r="1024" spans="1:19" hidden="1" x14ac:dyDescent="0.25">
      <c r="A1024" s="38" t="str">
        <f>F1024&amp;C1024</f>
        <v/>
      </c>
      <c r="B1024" s="38" t="str">
        <f>IF(J1024&gt;=SUMIFS(E:E,C:C,C1024),"Good to go","Short in Qty")</f>
        <v>Good to go</v>
      </c>
      <c r="C1024" s="40"/>
      <c r="D1024" s="40"/>
      <c r="E1024" s="66"/>
      <c r="F1024" s="38"/>
      <c r="G1024" s="40"/>
      <c r="H1024" s="38"/>
      <c r="I1024" s="38"/>
      <c r="J1024" s="38">
        <f>IFERROR(VLOOKUP(C:C,'[1]S&amp;S'!$B:$F,5,0),)</f>
        <v>0</v>
      </c>
      <c r="K1024" s="38">
        <f>IFERROR(VLOOKUP(A:A,[1]APO!$A:$F,6,0),)</f>
        <v>0</v>
      </c>
      <c r="L1024" s="38">
        <f>IFERROR(VLOOKUP(C:C,'[1]TOTAL APO'!$A:$B,2,0),)</f>
        <v>0</v>
      </c>
      <c r="M1024" s="38">
        <f>IFERROR(VLOOKUP(A:A,[1]Short!$A:$Q,17,0),)</f>
        <v>0</v>
      </c>
      <c r="N1024" s="38">
        <f>IFERROR(VLOOKUP(C:C,[1]GIT!$B:$D,3,0),)</f>
        <v>0</v>
      </c>
      <c r="O1024" s="38">
        <f>IFERROR(VLOOKUP(A:A,[2]Sheet1!$A:$B,2,0),)</f>
        <v>0</v>
      </c>
      <c r="P1024" s="38">
        <f>IFERROR(VLOOKUP(A:A,[2]Sheet1!$A:$B,2,0),)</f>
        <v>0</v>
      </c>
      <c r="Q1024" s="38">
        <f t="shared" si="15"/>
        <v>0</v>
      </c>
      <c r="R1024" s="38"/>
      <c r="S1024" s="38"/>
    </row>
    <row r="1025" spans="1:19" hidden="1" x14ac:dyDescent="0.25">
      <c r="A1025" s="38" t="str">
        <f>F1025&amp;C1025</f>
        <v/>
      </c>
      <c r="B1025" s="38" t="str">
        <f>IF(J1025&gt;=SUMIFS(E:E,C:C,C1025),"Good to go","Short in Qty")</f>
        <v>Good to go</v>
      </c>
      <c r="C1025" s="40"/>
      <c r="D1025" s="40"/>
      <c r="E1025" s="66"/>
      <c r="F1025" s="38"/>
      <c r="G1025" s="40"/>
      <c r="H1025" s="38"/>
      <c r="I1025" s="38"/>
      <c r="J1025" s="38">
        <f>IFERROR(VLOOKUP(C:C,'[1]S&amp;S'!$B:$F,5,0),)</f>
        <v>0</v>
      </c>
      <c r="K1025" s="38">
        <f>IFERROR(VLOOKUP(A:A,[1]APO!$A:$F,6,0),)</f>
        <v>0</v>
      </c>
      <c r="L1025" s="38">
        <f>IFERROR(VLOOKUP(C:C,'[1]TOTAL APO'!$A:$B,2,0),)</f>
        <v>0</v>
      </c>
      <c r="M1025" s="38">
        <f>IFERROR(VLOOKUP(A:A,[1]Short!$A:$Q,17,0),)</f>
        <v>0</v>
      </c>
      <c r="N1025" s="38">
        <f>IFERROR(VLOOKUP(C:C,[1]GIT!$B:$D,3,0),)</f>
        <v>0</v>
      </c>
      <c r="O1025" s="38">
        <f>IFERROR(VLOOKUP(A:A,[2]Sheet1!$A:$B,2,0),)</f>
        <v>0</v>
      </c>
      <c r="P1025" s="38">
        <f>IFERROR(VLOOKUP(A:A,[2]Sheet1!$A:$B,2,0),)</f>
        <v>0</v>
      </c>
      <c r="Q1025" s="38">
        <f t="shared" si="15"/>
        <v>0</v>
      </c>
      <c r="R1025" s="38"/>
      <c r="S1025" s="38"/>
    </row>
    <row r="1026" spans="1:19" hidden="1" x14ac:dyDescent="0.25">
      <c r="A1026" s="38" t="str">
        <f>F1026&amp;C1026</f>
        <v/>
      </c>
      <c r="B1026" s="38" t="str">
        <f>IF(J1026&gt;=SUMIFS(E:E,C:C,C1026),"Good to go","Short in Qty")</f>
        <v>Good to go</v>
      </c>
      <c r="C1026" s="40"/>
      <c r="D1026" s="40"/>
      <c r="E1026" s="66"/>
      <c r="F1026" s="38"/>
      <c r="G1026" s="40"/>
      <c r="H1026" s="38"/>
      <c r="I1026" s="38"/>
      <c r="J1026" s="38">
        <f>IFERROR(VLOOKUP(C:C,'[1]S&amp;S'!$B:$F,5,0),)</f>
        <v>0</v>
      </c>
      <c r="K1026" s="38">
        <f>IFERROR(VLOOKUP(A:A,[1]APO!$A:$F,6,0),)</f>
        <v>0</v>
      </c>
      <c r="L1026" s="38">
        <f>IFERROR(VLOOKUP(C:C,'[1]TOTAL APO'!$A:$B,2,0),)</f>
        <v>0</v>
      </c>
      <c r="M1026" s="38">
        <f>IFERROR(VLOOKUP(A:A,[1]Short!$A:$Q,17,0),)</f>
        <v>0</v>
      </c>
      <c r="N1026" s="38">
        <f>IFERROR(VLOOKUP(C:C,[1]GIT!$B:$D,3,0),)</f>
        <v>0</v>
      </c>
      <c r="O1026" s="38">
        <f>IFERROR(VLOOKUP(A:A,[2]Sheet1!$A:$B,2,0),)</f>
        <v>0</v>
      </c>
      <c r="P1026" s="38">
        <f>IFERROR(VLOOKUP(A:A,[2]Sheet1!$A:$B,2,0),)</f>
        <v>0</v>
      </c>
      <c r="Q1026" s="38">
        <f t="shared" si="15"/>
        <v>0</v>
      </c>
      <c r="R1026" s="38"/>
      <c r="S1026" s="38"/>
    </row>
    <row r="1027" spans="1:19" hidden="1" x14ac:dyDescent="0.25">
      <c r="A1027" s="38" t="str">
        <f>F1027&amp;C1027</f>
        <v/>
      </c>
      <c r="B1027" s="38" t="str">
        <f>IF(J1027&gt;=SUMIFS(E:E,C:C,C1027),"Good to go","Short in Qty")</f>
        <v>Good to go</v>
      </c>
      <c r="C1027" s="40"/>
      <c r="D1027" s="40"/>
      <c r="E1027" s="66"/>
      <c r="F1027" s="38"/>
      <c r="G1027" s="40"/>
      <c r="H1027" s="38"/>
      <c r="I1027" s="38"/>
      <c r="J1027" s="38">
        <f>IFERROR(VLOOKUP(C:C,'[1]S&amp;S'!$B:$F,5,0),)</f>
        <v>0</v>
      </c>
      <c r="K1027" s="38">
        <f>IFERROR(VLOOKUP(A:A,[1]APO!$A:$F,6,0),)</f>
        <v>0</v>
      </c>
      <c r="L1027" s="38">
        <f>IFERROR(VLOOKUP(C:C,'[1]TOTAL APO'!$A:$B,2,0),)</f>
        <v>0</v>
      </c>
      <c r="M1027" s="38">
        <f>IFERROR(VLOOKUP(A:A,[1]Short!$A:$Q,17,0),)</f>
        <v>0</v>
      </c>
      <c r="N1027" s="38">
        <f>IFERROR(VLOOKUP(C:C,[1]GIT!$B:$D,3,0),)</f>
        <v>0</v>
      </c>
      <c r="O1027" s="38">
        <f>IFERROR(VLOOKUP(A:A,[2]Sheet1!$A:$B,2,0),)</f>
        <v>0</v>
      </c>
      <c r="P1027" s="38">
        <f>IFERROR(VLOOKUP(A:A,[2]Sheet1!$A:$B,2,0),)</f>
        <v>0</v>
      </c>
      <c r="Q1027" s="38">
        <f t="shared" ref="Q1027:Q1090" si="16">+E1027-P1027</f>
        <v>0</v>
      </c>
      <c r="R1027" s="38"/>
      <c r="S1027" s="38"/>
    </row>
    <row r="1028" spans="1:19" hidden="1" x14ac:dyDescent="0.25">
      <c r="A1028" s="38" t="str">
        <f>F1028&amp;C1028</f>
        <v/>
      </c>
      <c r="B1028" s="38" t="str">
        <f>IF(J1028&gt;=SUMIFS(E:E,C:C,C1028),"Good to go","Short in Qty")</f>
        <v>Good to go</v>
      </c>
      <c r="C1028" s="40"/>
      <c r="D1028" s="40"/>
      <c r="E1028" s="66"/>
      <c r="F1028" s="38"/>
      <c r="G1028" s="40"/>
      <c r="H1028" s="38"/>
      <c r="I1028" s="38"/>
      <c r="J1028" s="38">
        <f>IFERROR(VLOOKUP(C:C,'[1]S&amp;S'!$B:$F,5,0),)</f>
        <v>0</v>
      </c>
      <c r="K1028" s="38">
        <f>IFERROR(VLOOKUP(A:A,[1]APO!$A:$F,6,0),)</f>
        <v>0</v>
      </c>
      <c r="L1028" s="38">
        <f>IFERROR(VLOOKUP(C:C,'[1]TOTAL APO'!$A:$B,2,0),)</f>
        <v>0</v>
      </c>
      <c r="M1028" s="38">
        <f>IFERROR(VLOOKUP(A:A,[1]Short!$A:$Q,17,0),)</f>
        <v>0</v>
      </c>
      <c r="N1028" s="38">
        <f>IFERROR(VLOOKUP(C:C,[1]GIT!$B:$D,3,0),)</f>
        <v>0</v>
      </c>
      <c r="O1028" s="38">
        <f>IFERROR(VLOOKUP(A:A,[2]Sheet1!$A:$B,2,0),)</f>
        <v>0</v>
      </c>
      <c r="P1028" s="38">
        <f>IFERROR(VLOOKUP(A:A,[2]Sheet1!$A:$B,2,0),)</f>
        <v>0</v>
      </c>
      <c r="Q1028" s="38">
        <f t="shared" si="16"/>
        <v>0</v>
      </c>
      <c r="R1028" s="38"/>
      <c r="S1028" s="38"/>
    </row>
    <row r="1029" spans="1:19" hidden="1" x14ac:dyDescent="0.25">
      <c r="A1029" s="38" t="str">
        <f>F1029&amp;C1029</f>
        <v/>
      </c>
      <c r="B1029" s="38" t="str">
        <f>IF(J1029&gt;=SUMIFS(E:E,C:C,C1029),"Good to go","Short in Qty")</f>
        <v>Good to go</v>
      </c>
      <c r="C1029" s="40"/>
      <c r="D1029" s="40"/>
      <c r="E1029" s="66"/>
      <c r="F1029" s="38"/>
      <c r="G1029" s="40"/>
      <c r="H1029" s="38"/>
      <c r="I1029" s="38"/>
      <c r="J1029" s="38">
        <f>IFERROR(VLOOKUP(C:C,'[1]S&amp;S'!$B:$F,5,0),)</f>
        <v>0</v>
      </c>
      <c r="K1029" s="38">
        <f>IFERROR(VLOOKUP(A:A,[1]APO!$A:$F,6,0),)</f>
        <v>0</v>
      </c>
      <c r="L1029" s="38">
        <f>IFERROR(VLOOKUP(C:C,'[1]TOTAL APO'!$A:$B,2,0),)</f>
        <v>0</v>
      </c>
      <c r="M1029" s="38">
        <f>IFERROR(VLOOKUP(A:A,[1]Short!$A:$Q,17,0),)</f>
        <v>0</v>
      </c>
      <c r="N1029" s="38">
        <f>IFERROR(VLOOKUP(C:C,[1]GIT!$B:$D,3,0),)</f>
        <v>0</v>
      </c>
      <c r="O1029" s="38">
        <f>IFERROR(VLOOKUP(A:A,[2]Sheet1!$A:$B,2,0),)</f>
        <v>0</v>
      </c>
      <c r="P1029" s="38">
        <f>IFERROR(VLOOKUP(A:A,[2]Sheet1!$A:$B,2,0),)</f>
        <v>0</v>
      </c>
      <c r="Q1029" s="38">
        <f t="shared" si="16"/>
        <v>0</v>
      </c>
      <c r="R1029" s="38"/>
      <c r="S1029" s="38"/>
    </row>
    <row r="1030" spans="1:19" hidden="1" x14ac:dyDescent="0.25">
      <c r="A1030" s="38" t="str">
        <f>F1030&amp;C1030</f>
        <v/>
      </c>
      <c r="B1030" s="38" t="str">
        <f>IF(J1030&gt;=SUMIFS(E:E,C:C,C1030),"Good to go","Short in Qty")</f>
        <v>Good to go</v>
      </c>
      <c r="C1030" s="40"/>
      <c r="D1030" s="40"/>
      <c r="E1030" s="66"/>
      <c r="F1030" s="38"/>
      <c r="G1030" s="40"/>
      <c r="H1030" s="38"/>
      <c r="I1030" s="38"/>
      <c r="J1030" s="38">
        <f>IFERROR(VLOOKUP(C:C,'[1]S&amp;S'!$B:$F,5,0),)</f>
        <v>0</v>
      </c>
      <c r="K1030" s="38">
        <f>IFERROR(VLOOKUP(A:A,[1]APO!$A:$F,6,0),)</f>
        <v>0</v>
      </c>
      <c r="L1030" s="38">
        <f>IFERROR(VLOOKUP(C:C,'[1]TOTAL APO'!$A:$B,2,0),)</f>
        <v>0</v>
      </c>
      <c r="M1030" s="38">
        <f>IFERROR(VLOOKUP(A:A,[1]Short!$A:$Q,17,0),)</f>
        <v>0</v>
      </c>
      <c r="N1030" s="38">
        <f>IFERROR(VLOOKUP(C:C,[1]GIT!$B:$D,3,0),)</f>
        <v>0</v>
      </c>
      <c r="O1030" s="38">
        <f>IFERROR(VLOOKUP(A:A,[2]Sheet1!$A:$B,2,0),)</f>
        <v>0</v>
      </c>
      <c r="P1030" s="38">
        <f>IFERROR(VLOOKUP(A:A,[2]Sheet1!$A:$B,2,0),)</f>
        <v>0</v>
      </c>
      <c r="Q1030" s="38">
        <f t="shared" si="16"/>
        <v>0</v>
      </c>
      <c r="R1030" s="38"/>
      <c r="S1030" s="38"/>
    </row>
    <row r="1031" spans="1:19" hidden="1" x14ac:dyDescent="0.25">
      <c r="A1031" s="38" t="str">
        <f>F1031&amp;C1031</f>
        <v/>
      </c>
      <c r="B1031" s="38" t="str">
        <f>IF(J1031&gt;=SUMIFS(E:E,C:C,C1031),"Good to go","Short in Qty")</f>
        <v>Good to go</v>
      </c>
      <c r="C1031" s="40"/>
      <c r="D1031" s="40"/>
      <c r="E1031" s="66"/>
      <c r="F1031" s="38"/>
      <c r="G1031" s="40"/>
      <c r="H1031" s="38"/>
      <c r="I1031" s="38"/>
      <c r="J1031" s="38">
        <f>IFERROR(VLOOKUP(C:C,'[1]S&amp;S'!$B:$F,5,0),)</f>
        <v>0</v>
      </c>
      <c r="K1031" s="38">
        <f>IFERROR(VLOOKUP(A:A,[1]APO!$A:$F,6,0),)</f>
        <v>0</v>
      </c>
      <c r="L1031" s="38">
        <f>IFERROR(VLOOKUP(C:C,'[1]TOTAL APO'!$A:$B,2,0),)</f>
        <v>0</v>
      </c>
      <c r="M1031" s="38">
        <f>IFERROR(VLOOKUP(A:A,[1]Short!$A:$Q,17,0),)</f>
        <v>0</v>
      </c>
      <c r="N1031" s="38">
        <f>IFERROR(VLOOKUP(C:C,[1]GIT!$B:$D,3,0),)</f>
        <v>0</v>
      </c>
      <c r="O1031" s="38">
        <f>IFERROR(VLOOKUP(A:A,[2]Sheet1!$A:$B,2,0),)</f>
        <v>0</v>
      </c>
      <c r="P1031" s="38">
        <f>IFERROR(VLOOKUP(A:A,[2]Sheet1!$A:$B,2,0),)</f>
        <v>0</v>
      </c>
      <c r="Q1031" s="38">
        <f t="shared" si="16"/>
        <v>0</v>
      </c>
      <c r="R1031" s="38"/>
      <c r="S1031" s="38"/>
    </row>
    <row r="1032" spans="1:19" hidden="1" x14ac:dyDescent="0.25">
      <c r="A1032" s="38" t="str">
        <f>F1032&amp;C1032</f>
        <v/>
      </c>
      <c r="B1032" s="38" t="str">
        <f>IF(J1032&gt;=SUMIFS(E:E,C:C,C1032),"Good to go","Short in Qty")</f>
        <v>Good to go</v>
      </c>
      <c r="C1032" s="40"/>
      <c r="D1032" s="40"/>
      <c r="E1032" s="66"/>
      <c r="F1032" s="38"/>
      <c r="G1032" s="40"/>
      <c r="H1032" s="38"/>
      <c r="I1032" s="38"/>
      <c r="J1032" s="38">
        <f>IFERROR(VLOOKUP(C:C,'[1]S&amp;S'!$B:$F,5,0),)</f>
        <v>0</v>
      </c>
      <c r="K1032" s="38">
        <f>IFERROR(VLOOKUP(A:A,[1]APO!$A:$F,6,0),)</f>
        <v>0</v>
      </c>
      <c r="L1032" s="38">
        <f>IFERROR(VLOOKUP(C:C,'[1]TOTAL APO'!$A:$B,2,0),)</f>
        <v>0</v>
      </c>
      <c r="M1032" s="38">
        <f>IFERROR(VLOOKUP(A:A,[1]Short!$A:$Q,17,0),)</f>
        <v>0</v>
      </c>
      <c r="N1032" s="38">
        <f>IFERROR(VLOOKUP(C:C,[1]GIT!$B:$D,3,0),)</f>
        <v>0</v>
      </c>
      <c r="O1032" s="38">
        <f>IFERROR(VLOOKUP(A:A,[2]Sheet1!$A:$B,2,0),)</f>
        <v>0</v>
      </c>
      <c r="P1032" s="38">
        <f>IFERROR(VLOOKUP(A:A,[2]Sheet1!$A:$B,2,0),)</f>
        <v>0</v>
      </c>
      <c r="Q1032" s="38">
        <f t="shared" si="16"/>
        <v>0</v>
      </c>
      <c r="R1032" s="38"/>
      <c r="S1032" s="38"/>
    </row>
    <row r="1033" spans="1:19" hidden="1" x14ac:dyDescent="0.25">
      <c r="A1033" s="38" t="str">
        <f>F1033&amp;C1033</f>
        <v/>
      </c>
      <c r="B1033" s="38" t="str">
        <f>IF(J1033&gt;=SUMIFS(E:E,C:C,C1033),"Good to go","Short in Qty")</f>
        <v>Good to go</v>
      </c>
      <c r="C1033" s="40"/>
      <c r="D1033" s="40"/>
      <c r="E1033" s="66"/>
      <c r="F1033" s="38"/>
      <c r="G1033" s="40"/>
      <c r="H1033" s="38"/>
      <c r="I1033" s="38"/>
      <c r="J1033" s="38">
        <f>IFERROR(VLOOKUP(C:C,'[1]S&amp;S'!$B:$F,5,0),)</f>
        <v>0</v>
      </c>
      <c r="K1033" s="38">
        <f>IFERROR(VLOOKUP(A:A,[1]APO!$A:$F,6,0),)</f>
        <v>0</v>
      </c>
      <c r="L1033" s="38">
        <f>IFERROR(VLOOKUP(C:C,'[1]TOTAL APO'!$A:$B,2,0),)</f>
        <v>0</v>
      </c>
      <c r="M1033" s="38">
        <f>IFERROR(VLOOKUP(A:A,[1]Short!$A:$Q,17,0),)</f>
        <v>0</v>
      </c>
      <c r="N1033" s="38">
        <f>IFERROR(VLOOKUP(C:C,[1]GIT!$B:$D,3,0),)</f>
        <v>0</v>
      </c>
      <c r="O1033" s="38">
        <f>IFERROR(VLOOKUP(A:A,[2]Sheet1!$A:$B,2,0),)</f>
        <v>0</v>
      </c>
      <c r="P1033" s="38">
        <f>IFERROR(VLOOKUP(A:A,[2]Sheet1!$A:$B,2,0),)</f>
        <v>0</v>
      </c>
      <c r="Q1033" s="38">
        <f t="shared" si="16"/>
        <v>0</v>
      </c>
      <c r="R1033" s="38"/>
      <c r="S1033" s="38"/>
    </row>
    <row r="1034" spans="1:19" hidden="1" x14ac:dyDescent="0.25">
      <c r="A1034" s="38" t="str">
        <f>F1034&amp;C1034</f>
        <v/>
      </c>
      <c r="B1034" s="38" t="str">
        <f>IF(J1034&gt;=SUMIFS(E:E,C:C,C1034),"Good to go","Short in Qty")</f>
        <v>Good to go</v>
      </c>
      <c r="C1034" s="40"/>
      <c r="D1034" s="40"/>
      <c r="E1034" s="66"/>
      <c r="F1034" s="38"/>
      <c r="G1034" s="40"/>
      <c r="H1034" s="38"/>
      <c r="I1034" s="38"/>
      <c r="J1034" s="38">
        <f>IFERROR(VLOOKUP(C:C,'[1]S&amp;S'!$B:$F,5,0),)</f>
        <v>0</v>
      </c>
      <c r="K1034" s="38">
        <f>IFERROR(VLOOKUP(A:A,[1]APO!$A:$F,6,0),)</f>
        <v>0</v>
      </c>
      <c r="L1034" s="38">
        <f>IFERROR(VLOOKUP(C:C,'[1]TOTAL APO'!$A:$B,2,0),)</f>
        <v>0</v>
      </c>
      <c r="M1034" s="38">
        <f>IFERROR(VLOOKUP(A:A,[1]Short!$A:$Q,17,0),)</f>
        <v>0</v>
      </c>
      <c r="N1034" s="38">
        <f>IFERROR(VLOOKUP(C:C,[1]GIT!$B:$D,3,0),)</f>
        <v>0</v>
      </c>
      <c r="O1034" s="38">
        <f>IFERROR(VLOOKUP(A:A,[2]Sheet1!$A:$B,2,0),)</f>
        <v>0</v>
      </c>
      <c r="P1034" s="38">
        <f>IFERROR(VLOOKUP(A:A,[2]Sheet1!$A:$B,2,0),)</f>
        <v>0</v>
      </c>
      <c r="Q1034" s="38">
        <f t="shared" si="16"/>
        <v>0</v>
      </c>
      <c r="R1034" s="38"/>
      <c r="S1034" s="38"/>
    </row>
    <row r="1035" spans="1:19" hidden="1" x14ac:dyDescent="0.25">
      <c r="A1035" s="38" t="str">
        <f>F1035&amp;C1035</f>
        <v/>
      </c>
      <c r="B1035" s="38" t="str">
        <f>IF(J1035&gt;=SUMIFS(E:E,C:C,C1035),"Good to go","Short in Qty")</f>
        <v>Good to go</v>
      </c>
      <c r="C1035" s="40"/>
      <c r="D1035" s="40"/>
      <c r="E1035" s="66"/>
      <c r="F1035" s="38"/>
      <c r="G1035" s="40"/>
      <c r="H1035" s="38"/>
      <c r="I1035" s="38"/>
      <c r="J1035" s="38">
        <f>IFERROR(VLOOKUP(C:C,'[1]S&amp;S'!$B:$F,5,0),)</f>
        <v>0</v>
      </c>
      <c r="K1035" s="38">
        <f>IFERROR(VLOOKUP(A:A,[1]APO!$A:$F,6,0),)</f>
        <v>0</v>
      </c>
      <c r="L1035" s="38">
        <f>IFERROR(VLOOKUP(C:C,'[1]TOTAL APO'!$A:$B,2,0),)</f>
        <v>0</v>
      </c>
      <c r="M1035" s="38">
        <f>IFERROR(VLOOKUP(A:A,[1]Short!$A:$Q,17,0),)</f>
        <v>0</v>
      </c>
      <c r="N1035" s="38">
        <f>IFERROR(VLOOKUP(C:C,[1]GIT!$B:$D,3,0),)</f>
        <v>0</v>
      </c>
      <c r="O1035" s="38">
        <f>IFERROR(VLOOKUP(A:A,[2]Sheet1!$A:$B,2,0),)</f>
        <v>0</v>
      </c>
      <c r="P1035" s="38">
        <f>IFERROR(VLOOKUP(A:A,[2]Sheet1!$A:$B,2,0),)</f>
        <v>0</v>
      </c>
      <c r="Q1035" s="38">
        <f t="shared" si="16"/>
        <v>0</v>
      </c>
      <c r="R1035" s="38"/>
      <c r="S1035" s="38"/>
    </row>
    <row r="1036" spans="1:19" hidden="1" x14ac:dyDescent="0.25">
      <c r="A1036" s="38" t="str">
        <f>F1036&amp;C1036</f>
        <v/>
      </c>
      <c r="B1036" s="38" t="str">
        <f>IF(J1036&gt;=SUMIFS(E:E,C:C,C1036),"Good to go","Short in Qty")</f>
        <v>Good to go</v>
      </c>
      <c r="C1036" s="40"/>
      <c r="D1036" s="40"/>
      <c r="E1036" s="66"/>
      <c r="F1036" s="38"/>
      <c r="G1036" s="40"/>
      <c r="H1036" s="38"/>
      <c r="I1036" s="38"/>
      <c r="J1036" s="38">
        <f>IFERROR(VLOOKUP(C:C,'[1]S&amp;S'!$B:$F,5,0),)</f>
        <v>0</v>
      </c>
      <c r="K1036" s="38">
        <f>IFERROR(VLOOKUP(A:A,[1]APO!$A:$F,6,0),)</f>
        <v>0</v>
      </c>
      <c r="L1036" s="38">
        <f>IFERROR(VLOOKUP(C:C,'[1]TOTAL APO'!$A:$B,2,0),)</f>
        <v>0</v>
      </c>
      <c r="M1036" s="38">
        <f>IFERROR(VLOOKUP(A:A,[1]Short!$A:$Q,17,0),)</f>
        <v>0</v>
      </c>
      <c r="N1036" s="38">
        <f>IFERROR(VLOOKUP(C:C,[1]GIT!$B:$D,3,0),)</f>
        <v>0</v>
      </c>
      <c r="O1036" s="38">
        <f>IFERROR(VLOOKUP(A:A,[2]Sheet1!$A:$B,2,0),)</f>
        <v>0</v>
      </c>
      <c r="P1036" s="38">
        <f>IFERROR(VLOOKUP(A:A,[2]Sheet1!$A:$B,2,0),)</f>
        <v>0</v>
      </c>
      <c r="Q1036" s="38">
        <f t="shared" si="16"/>
        <v>0</v>
      </c>
      <c r="R1036" s="38"/>
      <c r="S1036" s="38"/>
    </row>
    <row r="1037" spans="1:19" hidden="1" x14ac:dyDescent="0.25">
      <c r="A1037" s="38" t="str">
        <f>F1037&amp;C1037</f>
        <v/>
      </c>
      <c r="B1037" s="38" t="str">
        <f>IF(J1037&gt;=SUMIFS(E:E,C:C,C1037),"Good to go","Short in Qty")</f>
        <v>Good to go</v>
      </c>
      <c r="C1037" s="40"/>
      <c r="D1037" s="40"/>
      <c r="E1037" s="66"/>
      <c r="F1037" s="38"/>
      <c r="G1037" s="40"/>
      <c r="H1037" s="38"/>
      <c r="I1037" s="38"/>
      <c r="J1037" s="38">
        <f>IFERROR(VLOOKUP(C:C,'[1]S&amp;S'!$B:$F,5,0),)</f>
        <v>0</v>
      </c>
      <c r="K1037" s="38">
        <f>IFERROR(VLOOKUP(A:A,[1]APO!$A:$F,6,0),)</f>
        <v>0</v>
      </c>
      <c r="L1037" s="38">
        <f>IFERROR(VLOOKUP(C:C,'[1]TOTAL APO'!$A:$B,2,0),)</f>
        <v>0</v>
      </c>
      <c r="M1037" s="38">
        <f>IFERROR(VLOOKUP(A:A,[1]Short!$A:$Q,17,0),)</f>
        <v>0</v>
      </c>
      <c r="N1037" s="38">
        <f>IFERROR(VLOOKUP(C:C,[1]GIT!$B:$D,3,0),)</f>
        <v>0</v>
      </c>
      <c r="O1037" s="38">
        <f>IFERROR(VLOOKUP(A:A,[2]Sheet1!$A:$B,2,0),)</f>
        <v>0</v>
      </c>
      <c r="P1037" s="38">
        <f>IFERROR(VLOOKUP(A:A,[2]Sheet1!$A:$B,2,0),)</f>
        <v>0</v>
      </c>
      <c r="Q1037" s="38">
        <f t="shared" si="16"/>
        <v>0</v>
      </c>
      <c r="R1037" s="38"/>
      <c r="S1037" s="38"/>
    </row>
    <row r="1038" spans="1:19" hidden="1" x14ac:dyDescent="0.25">
      <c r="A1038" s="38" t="str">
        <f>F1038&amp;C1038</f>
        <v/>
      </c>
      <c r="B1038" s="38" t="str">
        <f>IF(J1038&gt;=SUMIFS(E:E,C:C,C1038),"Good to go","Short in Qty")</f>
        <v>Good to go</v>
      </c>
      <c r="C1038" s="40"/>
      <c r="D1038" s="40"/>
      <c r="E1038" s="66"/>
      <c r="F1038" s="38"/>
      <c r="G1038" s="40"/>
      <c r="H1038" s="38"/>
      <c r="I1038" s="38"/>
      <c r="J1038" s="38">
        <f>IFERROR(VLOOKUP(C:C,'[1]S&amp;S'!$B:$F,5,0),)</f>
        <v>0</v>
      </c>
      <c r="K1038" s="38">
        <f>IFERROR(VLOOKUP(A:A,[1]APO!$A:$F,6,0),)</f>
        <v>0</v>
      </c>
      <c r="L1038" s="38">
        <f>IFERROR(VLOOKUP(C:C,'[1]TOTAL APO'!$A:$B,2,0),)</f>
        <v>0</v>
      </c>
      <c r="M1038" s="38">
        <f>IFERROR(VLOOKUP(A:A,[1]Short!$A:$Q,17,0),)</f>
        <v>0</v>
      </c>
      <c r="N1038" s="38">
        <f>IFERROR(VLOOKUP(C:C,[1]GIT!$B:$D,3,0),)</f>
        <v>0</v>
      </c>
      <c r="O1038" s="38">
        <f>IFERROR(VLOOKUP(A:A,[2]Sheet1!$A:$B,2,0),)</f>
        <v>0</v>
      </c>
      <c r="P1038" s="38">
        <f>IFERROR(VLOOKUP(A:A,[2]Sheet1!$A:$B,2,0),)</f>
        <v>0</v>
      </c>
      <c r="Q1038" s="38">
        <f t="shared" si="16"/>
        <v>0</v>
      </c>
      <c r="R1038" s="38"/>
      <c r="S1038" s="38"/>
    </row>
    <row r="1039" spans="1:19" hidden="1" x14ac:dyDescent="0.25">
      <c r="A1039" s="38" t="str">
        <f>F1039&amp;C1039</f>
        <v/>
      </c>
      <c r="B1039" s="38" t="str">
        <f>IF(J1039&gt;=SUMIFS(E:E,C:C,C1039),"Good to go","Short in Qty")</f>
        <v>Good to go</v>
      </c>
      <c r="C1039" s="40"/>
      <c r="D1039" s="40"/>
      <c r="E1039" s="66"/>
      <c r="F1039" s="38"/>
      <c r="G1039" s="40"/>
      <c r="H1039" s="38"/>
      <c r="I1039" s="38"/>
      <c r="J1039" s="38">
        <f>IFERROR(VLOOKUP(C:C,'[1]S&amp;S'!$B:$F,5,0),)</f>
        <v>0</v>
      </c>
      <c r="K1039" s="38">
        <f>IFERROR(VLOOKUP(A:A,[1]APO!$A:$F,6,0),)</f>
        <v>0</v>
      </c>
      <c r="L1039" s="38">
        <f>IFERROR(VLOOKUP(C:C,'[1]TOTAL APO'!$A:$B,2,0),)</f>
        <v>0</v>
      </c>
      <c r="M1039" s="38">
        <f>IFERROR(VLOOKUP(A:A,[1]Short!$A:$Q,17,0),)</f>
        <v>0</v>
      </c>
      <c r="N1039" s="38">
        <f>IFERROR(VLOOKUP(C:C,[1]GIT!$B:$D,3,0),)</f>
        <v>0</v>
      </c>
      <c r="O1039" s="38">
        <f>IFERROR(VLOOKUP(A:A,[2]Sheet1!$A:$B,2,0),)</f>
        <v>0</v>
      </c>
      <c r="P1039" s="38">
        <f>IFERROR(VLOOKUP(A:A,[2]Sheet1!$A:$B,2,0),)</f>
        <v>0</v>
      </c>
      <c r="Q1039" s="38">
        <f t="shared" si="16"/>
        <v>0</v>
      </c>
      <c r="R1039" s="38"/>
      <c r="S1039" s="38"/>
    </row>
    <row r="1040" spans="1:19" hidden="1" x14ac:dyDescent="0.25">
      <c r="A1040" s="38" t="str">
        <f>F1040&amp;C1040</f>
        <v/>
      </c>
      <c r="B1040" s="38" t="str">
        <f>IF(J1040&gt;=SUMIFS(E:E,C:C,C1040),"Good to go","Short in Qty")</f>
        <v>Good to go</v>
      </c>
      <c r="C1040" s="40"/>
      <c r="D1040" s="40"/>
      <c r="E1040" s="66"/>
      <c r="F1040" s="38"/>
      <c r="G1040" s="40"/>
      <c r="H1040" s="38"/>
      <c r="I1040" s="38"/>
      <c r="J1040" s="38">
        <f>IFERROR(VLOOKUP(C:C,'[1]S&amp;S'!$B:$F,5,0),)</f>
        <v>0</v>
      </c>
      <c r="K1040" s="38">
        <f>IFERROR(VLOOKUP(A:A,[1]APO!$A:$F,6,0),)</f>
        <v>0</v>
      </c>
      <c r="L1040" s="38">
        <f>IFERROR(VLOOKUP(C:C,'[1]TOTAL APO'!$A:$B,2,0),)</f>
        <v>0</v>
      </c>
      <c r="M1040" s="38">
        <f>IFERROR(VLOOKUP(A:A,[1]Short!$A:$Q,17,0),)</f>
        <v>0</v>
      </c>
      <c r="N1040" s="38">
        <f>IFERROR(VLOOKUP(C:C,[1]GIT!$B:$D,3,0),)</f>
        <v>0</v>
      </c>
      <c r="O1040" s="38">
        <f>IFERROR(VLOOKUP(A:A,[2]Sheet1!$A:$B,2,0),)</f>
        <v>0</v>
      </c>
      <c r="P1040" s="38">
        <f>IFERROR(VLOOKUP(A:A,[2]Sheet1!$A:$B,2,0),)</f>
        <v>0</v>
      </c>
      <c r="Q1040" s="38">
        <f t="shared" si="16"/>
        <v>0</v>
      </c>
      <c r="R1040" s="38"/>
      <c r="S1040" s="38"/>
    </row>
    <row r="1041" spans="1:19" hidden="1" x14ac:dyDescent="0.25">
      <c r="A1041" s="38" t="str">
        <f>F1041&amp;C1041</f>
        <v/>
      </c>
      <c r="B1041" s="38" t="str">
        <f>IF(J1041&gt;=SUMIFS(E:E,C:C,C1041),"Good to go","Short in Qty")</f>
        <v>Good to go</v>
      </c>
      <c r="C1041" s="40"/>
      <c r="D1041" s="40"/>
      <c r="E1041" s="66"/>
      <c r="F1041" s="38"/>
      <c r="G1041" s="40"/>
      <c r="H1041" s="38"/>
      <c r="I1041" s="38"/>
      <c r="J1041" s="38">
        <f>IFERROR(VLOOKUP(C:C,'[1]S&amp;S'!$B:$F,5,0),)</f>
        <v>0</v>
      </c>
      <c r="K1041" s="38">
        <f>IFERROR(VLOOKUP(A:A,[1]APO!$A:$F,6,0),)</f>
        <v>0</v>
      </c>
      <c r="L1041" s="38">
        <f>IFERROR(VLOOKUP(C:C,'[1]TOTAL APO'!$A:$B,2,0),)</f>
        <v>0</v>
      </c>
      <c r="M1041" s="38">
        <f>IFERROR(VLOOKUP(A:A,[1]Short!$A:$Q,17,0),)</f>
        <v>0</v>
      </c>
      <c r="N1041" s="38">
        <f>IFERROR(VLOOKUP(C:C,[1]GIT!$B:$D,3,0),)</f>
        <v>0</v>
      </c>
      <c r="O1041" s="38">
        <f>IFERROR(VLOOKUP(A:A,[2]Sheet1!$A:$B,2,0),)</f>
        <v>0</v>
      </c>
      <c r="P1041" s="38">
        <f>IFERROR(VLOOKUP(A:A,[2]Sheet1!$A:$B,2,0),)</f>
        <v>0</v>
      </c>
      <c r="Q1041" s="38">
        <f t="shared" si="16"/>
        <v>0</v>
      </c>
      <c r="R1041" s="38"/>
      <c r="S1041" s="38"/>
    </row>
    <row r="1042" spans="1:19" hidden="1" x14ac:dyDescent="0.25">
      <c r="A1042" s="38" t="str">
        <f>F1042&amp;C1042</f>
        <v/>
      </c>
      <c r="B1042" s="38" t="str">
        <f>IF(J1042&gt;=SUMIFS(E:E,C:C,C1042),"Good to go","Short in Qty")</f>
        <v>Good to go</v>
      </c>
      <c r="C1042" s="40"/>
      <c r="D1042" s="40"/>
      <c r="E1042" s="66"/>
      <c r="F1042" s="38"/>
      <c r="G1042" s="40"/>
      <c r="H1042" s="38"/>
      <c r="I1042" s="38"/>
      <c r="J1042" s="38">
        <f>IFERROR(VLOOKUP(C:C,'[1]S&amp;S'!$B:$F,5,0),)</f>
        <v>0</v>
      </c>
      <c r="K1042" s="38">
        <f>IFERROR(VLOOKUP(A:A,[1]APO!$A:$F,6,0),)</f>
        <v>0</v>
      </c>
      <c r="L1042" s="38">
        <f>IFERROR(VLOOKUP(C:C,'[1]TOTAL APO'!$A:$B,2,0),)</f>
        <v>0</v>
      </c>
      <c r="M1042" s="38">
        <f>IFERROR(VLOOKUP(A:A,[1]Short!$A:$Q,17,0),)</f>
        <v>0</v>
      </c>
      <c r="N1042" s="38">
        <f>IFERROR(VLOOKUP(C:C,[1]GIT!$B:$D,3,0),)</f>
        <v>0</v>
      </c>
      <c r="O1042" s="38">
        <f>IFERROR(VLOOKUP(A:A,[2]Sheet1!$A:$B,2,0),)</f>
        <v>0</v>
      </c>
      <c r="P1042" s="38">
        <f>IFERROR(VLOOKUP(A:A,[2]Sheet1!$A:$B,2,0),)</f>
        <v>0</v>
      </c>
      <c r="Q1042" s="38">
        <f t="shared" si="16"/>
        <v>0</v>
      </c>
      <c r="R1042" s="38"/>
      <c r="S1042" s="38"/>
    </row>
    <row r="1043" spans="1:19" hidden="1" x14ac:dyDescent="0.25">
      <c r="A1043" s="38" t="str">
        <f>F1043&amp;C1043</f>
        <v/>
      </c>
      <c r="B1043" s="38" t="str">
        <f>IF(J1043&gt;=SUMIFS(E:E,C:C,C1043),"Good to go","Short in Qty")</f>
        <v>Good to go</v>
      </c>
      <c r="C1043" s="40"/>
      <c r="D1043" s="40"/>
      <c r="E1043" s="66"/>
      <c r="F1043" s="38"/>
      <c r="G1043" s="40"/>
      <c r="H1043" s="38"/>
      <c r="I1043" s="38"/>
      <c r="J1043" s="38">
        <f>IFERROR(VLOOKUP(C:C,'[1]S&amp;S'!$B:$F,5,0),)</f>
        <v>0</v>
      </c>
      <c r="K1043" s="38">
        <f>IFERROR(VLOOKUP(A:A,[1]APO!$A:$F,6,0),)</f>
        <v>0</v>
      </c>
      <c r="L1043" s="38">
        <f>IFERROR(VLOOKUP(C:C,'[1]TOTAL APO'!$A:$B,2,0),)</f>
        <v>0</v>
      </c>
      <c r="M1043" s="38">
        <f>IFERROR(VLOOKUP(A:A,[1]Short!$A:$Q,17,0),)</f>
        <v>0</v>
      </c>
      <c r="N1043" s="38">
        <f>IFERROR(VLOOKUP(C:C,[1]GIT!$B:$D,3,0),)</f>
        <v>0</v>
      </c>
      <c r="O1043" s="38">
        <f>IFERROR(VLOOKUP(A:A,[2]Sheet1!$A:$B,2,0),)</f>
        <v>0</v>
      </c>
      <c r="P1043" s="38">
        <f>IFERROR(VLOOKUP(A:A,[2]Sheet1!$A:$B,2,0),)</f>
        <v>0</v>
      </c>
      <c r="Q1043" s="38">
        <f t="shared" si="16"/>
        <v>0</v>
      </c>
      <c r="R1043" s="38"/>
      <c r="S1043" s="38"/>
    </row>
    <row r="1044" spans="1:19" hidden="1" x14ac:dyDescent="0.25">
      <c r="A1044" s="38" t="str">
        <f>F1044&amp;C1044</f>
        <v/>
      </c>
      <c r="B1044" s="38" t="str">
        <f>IF(J1044&gt;=SUMIFS(E:E,C:C,C1044),"Good to go","Short in Qty")</f>
        <v>Good to go</v>
      </c>
      <c r="C1044" s="40"/>
      <c r="D1044" s="40"/>
      <c r="E1044" s="66"/>
      <c r="F1044" s="38"/>
      <c r="G1044" s="40"/>
      <c r="H1044" s="38"/>
      <c r="I1044" s="38"/>
      <c r="J1044" s="38">
        <f>IFERROR(VLOOKUP(C:C,'[1]S&amp;S'!$B:$F,5,0),)</f>
        <v>0</v>
      </c>
      <c r="K1044" s="38">
        <f>IFERROR(VLOOKUP(A:A,[1]APO!$A:$F,6,0),)</f>
        <v>0</v>
      </c>
      <c r="L1044" s="38">
        <f>IFERROR(VLOOKUP(C:C,'[1]TOTAL APO'!$A:$B,2,0),)</f>
        <v>0</v>
      </c>
      <c r="M1044" s="38">
        <f>IFERROR(VLOOKUP(A:A,[1]Short!$A:$Q,17,0),)</f>
        <v>0</v>
      </c>
      <c r="N1044" s="38">
        <f>IFERROR(VLOOKUP(C:C,[1]GIT!$B:$D,3,0),)</f>
        <v>0</v>
      </c>
      <c r="O1044" s="38">
        <f>IFERROR(VLOOKUP(A:A,[2]Sheet1!$A:$B,2,0),)</f>
        <v>0</v>
      </c>
      <c r="P1044" s="38">
        <f>IFERROR(VLOOKUP(A:A,[2]Sheet1!$A:$B,2,0),)</f>
        <v>0</v>
      </c>
      <c r="Q1044" s="38">
        <f t="shared" si="16"/>
        <v>0</v>
      </c>
      <c r="R1044" s="38"/>
      <c r="S1044" s="38"/>
    </row>
    <row r="1045" spans="1:19" hidden="1" x14ac:dyDescent="0.25">
      <c r="A1045" s="38" t="str">
        <f>F1045&amp;C1045</f>
        <v/>
      </c>
      <c r="B1045" s="38" t="str">
        <f>IF(J1045&gt;=SUMIFS(E:E,C:C,C1045),"Good to go","Short in Qty")</f>
        <v>Good to go</v>
      </c>
      <c r="C1045" s="40"/>
      <c r="D1045" s="40"/>
      <c r="E1045" s="66"/>
      <c r="F1045" s="38"/>
      <c r="G1045" s="40"/>
      <c r="H1045" s="38"/>
      <c r="I1045" s="38"/>
      <c r="J1045" s="38">
        <f>IFERROR(VLOOKUP(C:C,'[1]S&amp;S'!$B:$F,5,0),)</f>
        <v>0</v>
      </c>
      <c r="K1045" s="38">
        <f>IFERROR(VLOOKUP(A:A,[1]APO!$A:$F,6,0),)</f>
        <v>0</v>
      </c>
      <c r="L1045" s="38">
        <f>IFERROR(VLOOKUP(C:C,'[1]TOTAL APO'!$A:$B,2,0),)</f>
        <v>0</v>
      </c>
      <c r="M1045" s="38">
        <f>IFERROR(VLOOKUP(A:A,[1]Short!$A:$Q,17,0),)</f>
        <v>0</v>
      </c>
      <c r="N1045" s="38">
        <f>IFERROR(VLOOKUP(C:C,[1]GIT!$B:$D,3,0),)</f>
        <v>0</v>
      </c>
      <c r="O1045" s="38">
        <f>IFERROR(VLOOKUP(A:A,[2]Sheet1!$A:$B,2,0),)</f>
        <v>0</v>
      </c>
      <c r="P1045" s="38">
        <f>IFERROR(VLOOKUP(A:A,[2]Sheet1!$A:$B,2,0),)</f>
        <v>0</v>
      </c>
      <c r="Q1045" s="38">
        <f t="shared" si="16"/>
        <v>0</v>
      </c>
      <c r="R1045" s="38"/>
      <c r="S1045" s="38"/>
    </row>
    <row r="1046" spans="1:19" hidden="1" x14ac:dyDescent="0.25">
      <c r="A1046" s="38" t="str">
        <f>F1046&amp;C1046</f>
        <v/>
      </c>
      <c r="B1046" s="38" t="str">
        <f>IF(J1046&gt;=SUMIFS(E:E,C:C,C1046),"Good to go","Short in Qty")</f>
        <v>Good to go</v>
      </c>
      <c r="C1046" s="40"/>
      <c r="D1046" s="40"/>
      <c r="E1046" s="66"/>
      <c r="F1046" s="38"/>
      <c r="G1046" s="40"/>
      <c r="H1046" s="38"/>
      <c r="I1046" s="38"/>
      <c r="J1046" s="38">
        <f>IFERROR(VLOOKUP(C:C,'[1]S&amp;S'!$B:$F,5,0),)</f>
        <v>0</v>
      </c>
      <c r="K1046" s="38">
        <f>IFERROR(VLOOKUP(A:A,[1]APO!$A:$F,6,0),)</f>
        <v>0</v>
      </c>
      <c r="L1046" s="38">
        <f>IFERROR(VLOOKUP(C:C,'[1]TOTAL APO'!$A:$B,2,0),)</f>
        <v>0</v>
      </c>
      <c r="M1046" s="38">
        <f>IFERROR(VLOOKUP(A:A,[1]Short!$A:$Q,17,0),)</f>
        <v>0</v>
      </c>
      <c r="N1046" s="38">
        <f>IFERROR(VLOOKUP(C:C,[1]GIT!$B:$D,3,0),)</f>
        <v>0</v>
      </c>
      <c r="O1046" s="38">
        <f>IFERROR(VLOOKUP(A:A,[2]Sheet1!$A:$B,2,0),)</f>
        <v>0</v>
      </c>
      <c r="P1046" s="38">
        <f>IFERROR(VLOOKUP(A:A,[2]Sheet1!$A:$B,2,0),)</f>
        <v>0</v>
      </c>
      <c r="Q1046" s="38">
        <f t="shared" si="16"/>
        <v>0</v>
      </c>
      <c r="R1046" s="38"/>
      <c r="S1046" s="38"/>
    </row>
    <row r="1047" spans="1:19" hidden="1" x14ac:dyDescent="0.25">
      <c r="A1047" s="38" t="str">
        <f>F1047&amp;C1047</f>
        <v/>
      </c>
      <c r="B1047" s="38" t="str">
        <f>IF(J1047&gt;=SUMIFS(E:E,C:C,C1047),"Good to go","Short in Qty")</f>
        <v>Good to go</v>
      </c>
      <c r="C1047" s="40"/>
      <c r="D1047" s="40"/>
      <c r="E1047" s="66"/>
      <c r="F1047" s="38"/>
      <c r="G1047" s="40"/>
      <c r="H1047" s="38"/>
      <c r="I1047" s="38"/>
      <c r="J1047" s="38">
        <f>IFERROR(VLOOKUP(C:C,'[1]S&amp;S'!$B:$F,5,0),)</f>
        <v>0</v>
      </c>
      <c r="K1047" s="38">
        <f>IFERROR(VLOOKUP(A:A,[1]APO!$A:$F,6,0),)</f>
        <v>0</v>
      </c>
      <c r="L1047" s="38">
        <f>IFERROR(VLOOKUP(C:C,'[1]TOTAL APO'!$A:$B,2,0),)</f>
        <v>0</v>
      </c>
      <c r="M1047" s="38">
        <f>IFERROR(VLOOKUP(A:A,[1]Short!$A:$Q,17,0),)</f>
        <v>0</v>
      </c>
      <c r="N1047" s="38">
        <f>IFERROR(VLOOKUP(C:C,[1]GIT!$B:$D,3,0),)</f>
        <v>0</v>
      </c>
      <c r="O1047" s="38">
        <f>IFERROR(VLOOKUP(A:A,[2]Sheet1!$A:$B,2,0),)</f>
        <v>0</v>
      </c>
      <c r="P1047" s="38">
        <f>IFERROR(VLOOKUP(A:A,[2]Sheet1!$A:$B,2,0),)</f>
        <v>0</v>
      </c>
      <c r="Q1047" s="38">
        <f t="shared" si="16"/>
        <v>0</v>
      </c>
      <c r="R1047" s="38"/>
      <c r="S1047" s="38"/>
    </row>
    <row r="1048" spans="1:19" hidden="1" x14ac:dyDescent="0.25">
      <c r="A1048" s="38" t="str">
        <f>F1048&amp;C1048</f>
        <v/>
      </c>
      <c r="B1048" s="38" t="str">
        <f>IF(J1048&gt;=SUMIFS(E:E,C:C,C1048),"Good to go","Short in Qty")</f>
        <v>Good to go</v>
      </c>
      <c r="C1048" s="40"/>
      <c r="D1048" s="40"/>
      <c r="E1048" s="66"/>
      <c r="F1048" s="38"/>
      <c r="G1048" s="40"/>
      <c r="H1048" s="38"/>
      <c r="I1048" s="38"/>
      <c r="J1048" s="38">
        <f>IFERROR(VLOOKUP(C:C,'[1]S&amp;S'!$B:$F,5,0),)</f>
        <v>0</v>
      </c>
      <c r="K1048" s="38">
        <f>IFERROR(VLOOKUP(A:A,[1]APO!$A:$F,6,0),)</f>
        <v>0</v>
      </c>
      <c r="L1048" s="38">
        <f>IFERROR(VLOOKUP(C:C,'[1]TOTAL APO'!$A:$B,2,0),)</f>
        <v>0</v>
      </c>
      <c r="M1048" s="38">
        <f>IFERROR(VLOOKUP(A:A,[1]Short!$A:$Q,17,0),)</f>
        <v>0</v>
      </c>
      <c r="N1048" s="38">
        <f>IFERROR(VLOOKUP(C:C,[1]GIT!$B:$D,3,0),)</f>
        <v>0</v>
      </c>
      <c r="O1048" s="38">
        <f>IFERROR(VLOOKUP(A:A,[2]Sheet1!$A:$B,2,0),)</f>
        <v>0</v>
      </c>
      <c r="P1048" s="38">
        <f>IFERROR(VLOOKUP(A:A,[2]Sheet1!$A:$B,2,0),)</f>
        <v>0</v>
      </c>
      <c r="Q1048" s="38">
        <f t="shared" si="16"/>
        <v>0</v>
      </c>
      <c r="R1048" s="38"/>
      <c r="S1048" s="38"/>
    </row>
    <row r="1049" spans="1:19" hidden="1" x14ac:dyDescent="0.25">
      <c r="A1049" s="38" t="str">
        <f>F1049&amp;C1049</f>
        <v/>
      </c>
      <c r="B1049" s="38" t="str">
        <f>IF(J1049&gt;=SUMIFS(E:E,C:C,C1049),"Good to go","Short in Qty")</f>
        <v>Good to go</v>
      </c>
      <c r="C1049" s="40"/>
      <c r="D1049" s="40"/>
      <c r="E1049" s="66"/>
      <c r="F1049" s="38"/>
      <c r="G1049" s="40"/>
      <c r="H1049" s="38"/>
      <c r="I1049" s="38"/>
      <c r="J1049" s="38">
        <f>IFERROR(VLOOKUP(C:C,'[1]S&amp;S'!$B:$F,5,0),)</f>
        <v>0</v>
      </c>
      <c r="K1049" s="38">
        <f>IFERROR(VLOOKUP(A:A,[1]APO!$A:$F,6,0),)</f>
        <v>0</v>
      </c>
      <c r="L1049" s="38">
        <f>IFERROR(VLOOKUP(C:C,'[1]TOTAL APO'!$A:$B,2,0),)</f>
        <v>0</v>
      </c>
      <c r="M1049" s="38">
        <f>IFERROR(VLOOKUP(A:A,[1]Short!$A:$Q,17,0),)</f>
        <v>0</v>
      </c>
      <c r="N1049" s="38">
        <f>IFERROR(VLOOKUP(C:C,[1]GIT!$B:$D,3,0),)</f>
        <v>0</v>
      </c>
      <c r="O1049" s="38">
        <f>IFERROR(VLOOKUP(A:A,[2]Sheet1!$A:$B,2,0),)</f>
        <v>0</v>
      </c>
      <c r="P1049" s="38">
        <f>IFERROR(VLOOKUP(A:A,[2]Sheet1!$A:$B,2,0),)</f>
        <v>0</v>
      </c>
      <c r="Q1049" s="38">
        <f t="shared" si="16"/>
        <v>0</v>
      </c>
      <c r="R1049" s="38"/>
      <c r="S1049" s="38"/>
    </row>
    <row r="1050" spans="1:19" hidden="1" x14ac:dyDescent="0.25">
      <c r="A1050" s="38" t="str">
        <f>F1050&amp;C1050</f>
        <v/>
      </c>
      <c r="B1050" s="38" t="str">
        <f>IF(J1050&gt;=SUMIFS(E:E,C:C,C1050),"Good to go","Short in Qty")</f>
        <v>Good to go</v>
      </c>
      <c r="C1050" s="40"/>
      <c r="D1050" s="40"/>
      <c r="E1050" s="66"/>
      <c r="F1050" s="38"/>
      <c r="G1050" s="40"/>
      <c r="H1050" s="38"/>
      <c r="I1050" s="38"/>
      <c r="J1050" s="38">
        <f>IFERROR(VLOOKUP(C:C,'[1]S&amp;S'!$B:$F,5,0),)</f>
        <v>0</v>
      </c>
      <c r="K1050" s="38">
        <f>IFERROR(VLOOKUP(A:A,[1]APO!$A:$F,6,0),)</f>
        <v>0</v>
      </c>
      <c r="L1050" s="38">
        <f>IFERROR(VLOOKUP(C:C,'[1]TOTAL APO'!$A:$B,2,0),)</f>
        <v>0</v>
      </c>
      <c r="M1050" s="38">
        <f>IFERROR(VLOOKUP(A:A,[1]Short!$A:$Q,17,0),)</f>
        <v>0</v>
      </c>
      <c r="N1050" s="38">
        <f>IFERROR(VLOOKUP(C:C,[1]GIT!$B:$D,3,0),)</f>
        <v>0</v>
      </c>
      <c r="O1050" s="38">
        <f>IFERROR(VLOOKUP(A:A,[2]Sheet1!$A:$B,2,0),)</f>
        <v>0</v>
      </c>
      <c r="P1050" s="38">
        <f>IFERROR(VLOOKUP(A:A,[2]Sheet1!$A:$B,2,0),)</f>
        <v>0</v>
      </c>
      <c r="Q1050" s="38">
        <f t="shared" si="16"/>
        <v>0</v>
      </c>
      <c r="R1050" s="38"/>
      <c r="S1050" s="38"/>
    </row>
    <row r="1051" spans="1:19" hidden="1" x14ac:dyDescent="0.25">
      <c r="A1051" s="38" t="str">
        <f>F1051&amp;C1051</f>
        <v/>
      </c>
      <c r="B1051" s="38" t="str">
        <f>IF(J1051&gt;=SUMIFS(E:E,C:C,C1051),"Good to go","Short in Qty")</f>
        <v>Good to go</v>
      </c>
      <c r="C1051" s="40"/>
      <c r="D1051" s="40"/>
      <c r="E1051" s="66"/>
      <c r="F1051" s="38"/>
      <c r="G1051" s="40"/>
      <c r="H1051" s="38"/>
      <c r="I1051" s="38"/>
      <c r="J1051" s="38">
        <f>IFERROR(VLOOKUP(C:C,'[1]S&amp;S'!$B:$F,5,0),)</f>
        <v>0</v>
      </c>
      <c r="K1051" s="38">
        <f>IFERROR(VLOOKUP(A:A,[1]APO!$A:$F,6,0),)</f>
        <v>0</v>
      </c>
      <c r="L1051" s="38">
        <f>IFERROR(VLOOKUP(C:C,'[1]TOTAL APO'!$A:$B,2,0),)</f>
        <v>0</v>
      </c>
      <c r="M1051" s="38">
        <f>IFERROR(VLOOKUP(A:A,[1]Short!$A:$Q,17,0),)</f>
        <v>0</v>
      </c>
      <c r="N1051" s="38">
        <f>IFERROR(VLOOKUP(C:C,[1]GIT!$B:$D,3,0),)</f>
        <v>0</v>
      </c>
      <c r="O1051" s="38">
        <f>IFERROR(VLOOKUP(A:A,[2]Sheet1!$A:$B,2,0),)</f>
        <v>0</v>
      </c>
      <c r="P1051" s="38">
        <f>IFERROR(VLOOKUP(A:A,[2]Sheet1!$A:$B,2,0),)</f>
        <v>0</v>
      </c>
      <c r="Q1051" s="38">
        <f t="shared" si="16"/>
        <v>0</v>
      </c>
      <c r="R1051" s="38"/>
      <c r="S1051" s="38"/>
    </row>
    <row r="1052" spans="1:19" hidden="1" x14ac:dyDescent="0.25">
      <c r="A1052" s="38" t="str">
        <f>F1052&amp;C1052</f>
        <v/>
      </c>
      <c r="B1052" s="38" t="str">
        <f>IF(J1052&gt;=SUMIFS(E:E,C:C,C1052),"Good to go","Short in Qty")</f>
        <v>Good to go</v>
      </c>
      <c r="C1052" s="40"/>
      <c r="D1052" s="40"/>
      <c r="E1052" s="66"/>
      <c r="F1052" s="38"/>
      <c r="G1052" s="40"/>
      <c r="H1052" s="38"/>
      <c r="I1052" s="38"/>
      <c r="J1052" s="38">
        <f>IFERROR(VLOOKUP(C:C,'[1]S&amp;S'!$B:$F,5,0),)</f>
        <v>0</v>
      </c>
      <c r="K1052" s="38">
        <f>IFERROR(VLOOKUP(A:A,[1]APO!$A:$F,6,0),)</f>
        <v>0</v>
      </c>
      <c r="L1052" s="38">
        <f>IFERROR(VLOOKUP(C:C,'[1]TOTAL APO'!$A:$B,2,0),)</f>
        <v>0</v>
      </c>
      <c r="M1052" s="38">
        <f>IFERROR(VLOOKUP(A:A,[1]Short!$A:$Q,17,0),)</f>
        <v>0</v>
      </c>
      <c r="N1052" s="38">
        <f>IFERROR(VLOOKUP(C:C,[1]GIT!$B:$D,3,0),)</f>
        <v>0</v>
      </c>
      <c r="O1052" s="38">
        <f>IFERROR(VLOOKUP(A:A,[2]Sheet1!$A:$B,2,0),)</f>
        <v>0</v>
      </c>
      <c r="P1052" s="38">
        <f>IFERROR(VLOOKUP(A:A,[2]Sheet1!$A:$B,2,0),)</f>
        <v>0</v>
      </c>
      <c r="Q1052" s="38">
        <f t="shared" si="16"/>
        <v>0</v>
      </c>
      <c r="R1052" s="38"/>
      <c r="S1052" s="38"/>
    </row>
    <row r="1053" spans="1:19" hidden="1" x14ac:dyDescent="0.25">
      <c r="A1053" s="38" t="str">
        <f>F1053&amp;C1053</f>
        <v/>
      </c>
      <c r="B1053" s="38" t="str">
        <f>IF(J1053&gt;=SUMIFS(E:E,C:C,C1053),"Good to go","Short in Qty")</f>
        <v>Good to go</v>
      </c>
      <c r="C1053" s="40"/>
      <c r="D1053" s="40"/>
      <c r="E1053" s="66"/>
      <c r="F1053" s="38"/>
      <c r="G1053" s="40"/>
      <c r="H1053" s="38"/>
      <c r="I1053" s="38"/>
      <c r="J1053" s="38">
        <f>IFERROR(VLOOKUP(C:C,'[1]S&amp;S'!$B:$F,5,0),)</f>
        <v>0</v>
      </c>
      <c r="K1053" s="38">
        <f>IFERROR(VLOOKUP(A:A,[1]APO!$A:$F,6,0),)</f>
        <v>0</v>
      </c>
      <c r="L1053" s="38">
        <f>IFERROR(VLOOKUP(C:C,'[1]TOTAL APO'!$A:$B,2,0),)</f>
        <v>0</v>
      </c>
      <c r="M1053" s="38">
        <f>IFERROR(VLOOKUP(A:A,[1]Short!$A:$Q,17,0),)</f>
        <v>0</v>
      </c>
      <c r="N1053" s="38">
        <f>IFERROR(VLOOKUP(C:C,[1]GIT!$B:$D,3,0),)</f>
        <v>0</v>
      </c>
      <c r="O1053" s="38">
        <f>IFERROR(VLOOKUP(A:A,[2]Sheet1!$A:$B,2,0),)</f>
        <v>0</v>
      </c>
      <c r="P1053" s="38">
        <f>IFERROR(VLOOKUP(A:A,[2]Sheet1!$A:$B,2,0),)</f>
        <v>0</v>
      </c>
      <c r="Q1053" s="38">
        <f t="shared" si="16"/>
        <v>0</v>
      </c>
      <c r="R1053" s="38"/>
      <c r="S1053" s="38"/>
    </row>
    <row r="1054" spans="1:19" hidden="1" x14ac:dyDescent="0.25">
      <c r="A1054" s="38" t="str">
        <f>F1054&amp;C1054</f>
        <v/>
      </c>
      <c r="B1054" s="38" t="str">
        <f>IF(J1054&gt;=SUMIFS(E:E,C:C,C1054),"Good to go","Short in Qty")</f>
        <v>Good to go</v>
      </c>
      <c r="C1054" s="40"/>
      <c r="D1054" s="40"/>
      <c r="E1054" s="66"/>
      <c r="F1054" s="38"/>
      <c r="G1054" s="40"/>
      <c r="H1054" s="38"/>
      <c r="I1054" s="38"/>
      <c r="J1054" s="38">
        <f>IFERROR(VLOOKUP(C:C,'[1]S&amp;S'!$B:$F,5,0),)</f>
        <v>0</v>
      </c>
      <c r="K1054" s="38">
        <f>IFERROR(VLOOKUP(A:A,[1]APO!$A:$F,6,0),)</f>
        <v>0</v>
      </c>
      <c r="L1054" s="38">
        <f>IFERROR(VLOOKUP(C:C,'[1]TOTAL APO'!$A:$B,2,0),)</f>
        <v>0</v>
      </c>
      <c r="M1054" s="38">
        <f>IFERROR(VLOOKUP(A:A,[1]Short!$A:$Q,17,0),)</f>
        <v>0</v>
      </c>
      <c r="N1054" s="38">
        <f>IFERROR(VLOOKUP(C:C,[1]GIT!$B:$D,3,0),)</f>
        <v>0</v>
      </c>
      <c r="O1054" s="38">
        <f>IFERROR(VLOOKUP(A:A,[2]Sheet1!$A:$B,2,0),)</f>
        <v>0</v>
      </c>
      <c r="P1054" s="38">
        <f>IFERROR(VLOOKUP(A:A,[2]Sheet1!$A:$B,2,0),)</f>
        <v>0</v>
      </c>
      <c r="Q1054" s="38">
        <f t="shared" si="16"/>
        <v>0</v>
      </c>
      <c r="R1054" s="38"/>
      <c r="S1054" s="38"/>
    </row>
    <row r="1055" spans="1:19" hidden="1" x14ac:dyDescent="0.25">
      <c r="A1055" s="38" t="str">
        <f>F1055&amp;C1055</f>
        <v/>
      </c>
      <c r="B1055" s="38" t="str">
        <f>IF(J1055&gt;=SUMIFS(E:E,C:C,C1055),"Good to go","Short in Qty")</f>
        <v>Good to go</v>
      </c>
      <c r="C1055" s="40"/>
      <c r="D1055" s="40"/>
      <c r="E1055" s="66"/>
      <c r="F1055" s="38"/>
      <c r="G1055" s="40"/>
      <c r="H1055" s="38"/>
      <c r="I1055" s="38"/>
      <c r="J1055" s="38">
        <f>IFERROR(VLOOKUP(C:C,'[1]S&amp;S'!$B:$F,5,0),)</f>
        <v>0</v>
      </c>
      <c r="K1055" s="38">
        <f>IFERROR(VLOOKUP(A:A,[1]APO!$A:$F,6,0),)</f>
        <v>0</v>
      </c>
      <c r="L1055" s="38">
        <f>IFERROR(VLOOKUP(C:C,'[1]TOTAL APO'!$A:$B,2,0),)</f>
        <v>0</v>
      </c>
      <c r="M1055" s="38">
        <f>IFERROR(VLOOKUP(A:A,[1]Short!$A:$Q,17,0),)</f>
        <v>0</v>
      </c>
      <c r="N1055" s="38">
        <f>IFERROR(VLOOKUP(C:C,[1]GIT!$B:$D,3,0),)</f>
        <v>0</v>
      </c>
      <c r="O1055" s="38">
        <f>IFERROR(VLOOKUP(A:A,[2]Sheet1!$A:$B,2,0),)</f>
        <v>0</v>
      </c>
      <c r="P1055" s="38">
        <f>IFERROR(VLOOKUP(A:A,[2]Sheet1!$A:$B,2,0),)</f>
        <v>0</v>
      </c>
      <c r="Q1055" s="38">
        <f t="shared" si="16"/>
        <v>0</v>
      </c>
      <c r="R1055" s="38"/>
      <c r="S1055" s="38"/>
    </row>
    <row r="1056" spans="1:19" hidden="1" x14ac:dyDescent="0.25">
      <c r="A1056" s="38" t="str">
        <f>F1056&amp;C1056</f>
        <v/>
      </c>
      <c r="B1056" s="38" t="str">
        <f>IF(J1056&gt;=SUMIFS(E:E,C:C,C1056),"Good to go","Short in Qty")</f>
        <v>Good to go</v>
      </c>
      <c r="C1056" s="40"/>
      <c r="D1056" s="40"/>
      <c r="E1056" s="66"/>
      <c r="F1056" s="38"/>
      <c r="G1056" s="40"/>
      <c r="H1056" s="38"/>
      <c r="I1056" s="38"/>
      <c r="J1056" s="38">
        <f>IFERROR(VLOOKUP(C:C,'[1]S&amp;S'!$B:$F,5,0),)</f>
        <v>0</v>
      </c>
      <c r="K1056" s="38">
        <f>IFERROR(VLOOKUP(A:A,[1]APO!$A:$F,6,0),)</f>
        <v>0</v>
      </c>
      <c r="L1056" s="38">
        <f>IFERROR(VLOOKUP(C:C,'[1]TOTAL APO'!$A:$B,2,0),)</f>
        <v>0</v>
      </c>
      <c r="M1056" s="38">
        <f>IFERROR(VLOOKUP(A:A,[1]Short!$A:$Q,17,0),)</f>
        <v>0</v>
      </c>
      <c r="N1056" s="38">
        <f>IFERROR(VLOOKUP(C:C,[1]GIT!$B:$D,3,0),)</f>
        <v>0</v>
      </c>
      <c r="O1056" s="38">
        <f>IFERROR(VLOOKUP(A:A,[2]Sheet1!$A:$B,2,0),)</f>
        <v>0</v>
      </c>
      <c r="P1056" s="38">
        <f>IFERROR(VLOOKUP(A:A,[2]Sheet1!$A:$B,2,0),)</f>
        <v>0</v>
      </c>
      <c r="Q1056" s="38">
        <f t="shared" si="16"/>
        <v>0</v>
      </c>
      <c r="R1056" s="38"/>
      <c r="S1056" s="38"/>
    </row>
    <row r="1057" spans="1:19" hidden="1" x14ac:dyDescent="0.25">
      <c r="A1057" s="38" t="str">
        <f>F1057&amp;C1057</f>
        <v/>
      </c>
      <c r="B1057" s="38" t="str">
        <f>IF(J1057&gt;=SUMIFS(E:E,C:C,C1057),"Good to go","Short in Qty")</f>
        <v>Good to go</v>
      </c>
      <c r="C1057" s="40"/>
      <c r="D1057" s="40"/>
      <c r="E1057" s="66"/>
      <c r="F1057" s="38"/>
      <c r="G1057" s="40"/>
      <c r="H1057" s="38"/>
      <c r="I1057" s="38"/>
      <c r="J1057" s="38">
        <f>IFERROR(VLOOKUP(C:C,'[1]S&amp;S'!$B:$F,5,0),)</f>
        <v>0</v>
      </c>
      <c r="K1057" s="38">
        <f>IFERROR(VLOOKUP(A:A,[1]APO!$A:$F,6,0),)</f>
        <v>0</v>
      </c>
      <c r="L1057" s="38">
        <f>IFERROR(VLOOKUP(C:C,'[1]TOTAL APO'!$A:$B,2,0),)</f>
        <v>0</v>
      </c>
      <c r="M1057" s="38">
        <f>IFERROR(VLOOKUP(A:A,[1]Short!$A:$Q,17,0),)</f>
        <v>0</v>
      </c>
      <c r="N1057" s="38">
        <f>IFERROR(VLOOKUP(C:C,[1]GIT!$B:$D,3,0),)</f>
        <v>0</v>
      </c>
      <c r="O1057" s="38">
        <f>IFERROR(VLOOKUP(A:A,[2]Sheet1!$A:$B,2,0),)</f>
        <v>0</v>
      </c>
      <c r="P1057" s="38">
        <f>IFERROR(VLOOKUP(A:A,[2]Sheet1!$A:$B,2,0),)</f>
        <v>0</v>
      </c>
      <c r="Q1057" s="38">
        <f t="shared" si="16"/>
        <v>0</v>
      </c>
      <c r="R1057" s="38"/>
      <c r="S1057" s="38"/>
    </row>
    <row r="1058" spans="1:19" hidden="1" x14ac:dyDescent="0.25">
      <c r="A1058" s="38" t="str">
        <f>F1058&amp;C1058</f>
        <v/>
      </c>
      <c r="B1058" s="38" t="str">
        <f>IF(J1058&gt;=SUMIFS(E:E,C:C,C1058),"Good to go","Short in Qty")</f>
        <v>Good to go</v>
      </c>
      <c r="C1058" s="40"/>
      <c r="D1058" s="40"/>
      <c r="E1058" s="66"/>
      <c r="F1058" s="38"/>
      <c r="G1058" s="40"/>
      <c r="H1058" s="38"/>
      <c r="I1058" s="38"/>
      <c r="J1058" s="38">
        <f>IFERROR(VLOOKUP(C:C,'[1]S&amp;S'!$B:$F,5,0),)</f>
        <v>0</v>
      </c>
      <c r="K1058" s="38">
        <f>IFERROR(VLOOKUP(A:A,[1]APO!$A:$F,6,0),)</f>
        <v>0</v>
      </c>
      <c r="L1058" s="38">
        <f>IFERROR(VLOOKUP(C:C,'[1]TOTAL APO'!$A:$B,2,0),)</f>
        <v>0</v>
      </c>
      <c r="M1058" s="38">
        <f>IFERROR(VLOOKUP(A:A,[1]Short!$A:$Q,17,0),)</f>
        <v>0</v>
      </c>
      <c r="N1058" s="38">
        <f>IFERROR(VLOOKUP(C:C,[1]GIT!$B:$D,3,0),)</f>
        <v>0</v>
      </c>
      <c r="O1058" s="38">
        <f>IFERROR(VLOOKUP(A:A,[2]Sheet1!$A:$B,2,0),)</f>
        <v>0</v>
      </c>
      <c r="P1058" s="38">
        <f>IFERROR(VLOOKUP(A:A,[2]Sheet1!$A:$B,2,0),)</f>
        <v>0</v>
      </c>
      <c r="Q1058" s="38">
        <f t="shared" si="16"/>
        <v>0</v>
      </c>
      <c r="R1058" s="38"/>
      <c r="S1058" s="38"/>
    </row>
    <row r="1059" spans="1:19" hidden="1" x14ac:dyDescent="0.25">
      <c r="A1059" s="38" t="str">
        <f>F1059&amp;C1059</f>
        <v/>
      </c>
      <c r="B1059" s="38" t="str">
        <f>IF(J1059&gt;=SUMIFS(E:E,C:C,C1059),"Good to go","Short in Qty")</f>
        <v>Good to go</v>
      </c>
      <c r="C1059" s="40"/>
      <c r="D1059" s="40"/>
      <c r="E1059" s="66"/>
      <c r="F1059" s="38"/>
      <c r="G1059" s="40"/>
      <c r="H1059" s="38"/>
      <c r="I1059" s="38"/>
      <c r="J1059" s="38">
        <f>IFERROR(VLOOKUP(C:C,'[1]S&amp;S'!$B:$F,5,0),)</f>
        <v>0</v>
      </c>
      <c r="K1059" s="38">
        <f>IFERROR(VLOOKUP(A:A,[1]APO!$A:$F,6,0),)</f>
        <v>0</v>
      </c>
      <c r="L1059" s="38">
        <f>IFERROR(VLOOKUP(C:C,'[1]TOTAL APO'!$A:$B,2,0),)</f>
        <v>0</v>
      </c>
      <c r="M1059" s="38">
        <f>IFERROR(VLOOKUP(A:A,[1]Short!$A:$Q,17,0),)</f>
        <v>0</v>
      </c>
      <c r="N1059" s="38">
        <f>IFERROR(VLOOKUP(C:C,[1]GIT!$B:$D,3,0),)</f>
        <v>0</v>
      </c>
      <c r="O1059" s="38">
        <f>IFERROR(VLOOKUP(A:A,[2]Sheet1!$A:$B,2,0),)</f>
        <v>0</v>
      </c>
      <c r="P1059" s="38">
        <f>IFERROR(VLOOKUP(A:A,[2]Sheet1!$A:$B,2,0),)</f>
        <v>0</v>
      </c>
      <c r="Q1059" s="38">
        <f t="shared" si="16"/>
        <v>0</v>
      </c>
      <c r="R1059" s="38"/>
      <c r="S1059" s="38"/>
    </row>
    <row r="1060" spans="1:19" hidden="1" x14ac:dyDescent="0.25">
      <c r="A1060" s="38" t="str">
        <f>F1060&amp;C1060</f>
        <v/>
      </c>
      <c r="B1060" s="38" t="str">
        <f>IF(J1060&gt;=SUMIFS(E:E,C:C,C1060),"Good to go","Short in Qty")</f>
        <v>Good to go</v>
      </c>
      <c r="C1060" s="40"/>
      <c r="D1060" s="40"/>
      <c r="E1060" s="66"/>
      <c r="F1060" s="38"/>
      <c r="G1060" s="40"/>
      <c r="H1060" s="38"/>
      <c r="I1060" s="38"/>
      <c r="J1060" s="38">
        <f>IFERROR(VLOOKUP(C:C,'[1]S&amp;S'!$B:$F,5,0),)</f>
        <v>0</v>
      </c>
      <c r="K1060" s="38">
        <f>IFERROR(VLOOKUP(A:A,[1]APO!$A:$F,6,0),)</f>
        <v>0</v>
      </c>
      <c r="L1060" s="38">
        <f>IFERROR(VLOOKUP(C:C,'[1]TOTAL APO'!$A:$B,2,0),)</f>
        <v>0</v>
      </c>
      <c r="M1060" s="38">
        <f>IFERROR(VLOOKUP(A:A,[1]Short!$A:$Q,17,0),)</f>
        <v>0</v>
      </c>
      <c r="N1060" s="38">
        <f>IFERROR(VLOOKUP(C:C,[1]GIT!$B:$D,3,0),)</f>
        <v>0</v>
      </c>
      <c r="O1060" s="38">
        <f>IFERROR(VLOOKUP(A:A,[2]Sheet1!$A:$B,2,0),)</f>
        <v>0</v>
      </c>
      <c r="P1060" s="38">
        <f>IFERROR(VLOOKUP(A:A,[2]Sheet1!$A:$B,2,0),)</f>
        <v>0</v>
      </c>
      <c r="Q1060" s="38">
        <f t="shared" si="16"/>
        <v>0</v>
      </c>
      <c r="R1060" s="38"/>
      <c r="S1060" s="38"/>
    </row>
    <row r="1061" spans="1:19" hidden="1" x14ac:dyDescent="0.25">
      <c r="A1061" s="38" t="str">
        <f>F1061&amp;C1061</f>
        <v/>
      </c>
      <c r="B1061" s="38" t="str">
        <f>IF(J1061&gt;=SUMIFS(E:E,C:C,C1061),"Good to go","Short in Qty")</f>
        <v>Good to go</v>
      </c>
      <c r="C1061" s="40"/>
      <c r="D1061" s="40"/>
      <c r="E1061" s="66"/>
      <c r="F1061" s="38"/>
      <c r="G1061" s="40"/>
      <c r="H1061" s="38"/>
      <c r="I1061" s="38"/>
      <c r="J1061" s="38">
        <f>IFERROR(VLOOKUP(C:C,'[1]S&amp;S'!$B:$F,5,0),)</f>
        <v>0</v>
      </c>
      <c r="K1061" s="38">
        <f>IFERROR(VLOOKUP(A:A,[1]APO!$A:$F,6,0),)</f>
        <v>0</v>
      </c>
      <c r="L1061" s="38">
        <f>IFERROR(VLOOKUP(C:C,'[1]TOTAL APO'!$A:$B,2,0),)</f>
        <v>0</v>
      </c>
      <c r="M1061" s="38">
        <f>IFERROR(VLOOKUP(A:A,[1]Short!$A:$Q,17,0),)</f>
        <v>0</v>
      </c>
      <c r="N1061" s="38">
        <f>IFERROR(VLOOKUP(C:C,[1]GIT!$B:$D,3,0),)</f>
        <v>0</v>
      </c>
      <c r="O1061" s="38">
        <f>IFERROR(VLOOKUP(A:A,[2]Sheet1!$A:$B,2,0),)</f>
        <v>0</v>
      </c>
      <c r="P1061" s="38">
        <f>IFERROR(VLOOKUP(A:A,[2]Sheet1!$A:$B,2,0),)</f>
        <v>0</v>
      </c>
      <c r="Q1061" s="38">
        <f t="shared" si="16"/>
        <v>0</v>
      </c>
      <c r="R1061" s="38"/>
      <c r="S1061" s="38"/>
    </row>
    <row r="1062" spans="1:19" hidden="1" x14ac:dyDescent="0.25">
      <c r="A1062" s="38" t="str">
        <f>F1062&amp;C1062</f>
        <v/>
      </c>
      <c r="B1062" s="38" t="str">
        <f>IF(J1062&gt;=SUMIFS(E:E,C:C,C1062),"Good to go","Short in Qty")</f>
        <v>Good to go</v>
      </c>
      <c r="C1062" s="40"/>
      <c r="D1062" s="40"/>
      <c r="E1062" s="66"/>
      <c r="F1062" s="38"/>
      <c r="G1062" s="40"/>
      <c r="H1062" s="38"/>
      <c r="I1062" s="38"/>
      <c r="J1062" s="38">
        <f>IFERROR(VLOOKUP(C:C,'[1]S&amp;S'!$B:$F,5,0),)</f>
        <v>0</v>
      </c>
      <c r="K1062" s="38">
        <f>IFERROR(VLOOKUP(A:A,[1]APO!$A:$F,6,0),)</f>
        <v>0</v>
      </c>
      <c r="L1062" s="38">
        <f>IFERROR(VLOOKUP(C:C,'[1]TOTAL APO'!$A:$B,2,0),)</f>
        <v>0</v>
      </c>
      <c r="M1062" s="38">
        <f>IFERROR(VLOOKUP(A:A,[1]Short!$A:$Q,17,0),)</f>
        <v>0</v>
      </c>
      <c r="N1062" s="38">
        <f>IFERROR(VLOOKUP(C:C,[1]GIT!$B:$D,3,0),)</f>
        <v>0</v>
      </c>
      <c r="O1062" s="38">
        <f>IFERROR(VLOOKUP(A:A,[2]Sheet1!$A:$B,2,0),)</f>
        <v>0</v>
      </c>
      <c r="P1062" s="38">
        <f>IFERROR(VLOOKUP(A:A,[2]Sheet1!$A:$B,2,0),)</f>
        <v>0</v>
      </c>
      <c r="Q1062" s="38">
        <f t="shared" si="16"/>
        <v>0</v>
      </c>
      <c r="R1062" s="38"/>
      <c r="S1062" s="38"/>
    </row>
    <row r="1063" spans="1:19" hidden="1" x14ac:dyDescent="0.25">
      <c r="A1063" s="38" t="str">
        <f>F1063&amp;C1063</f>
        <v/>
      </c>
      <c r="B1063" s="38" t="str">
        <f>IF(J1063&gt;=SUMIFS(E:E,C:C,C1063),"Good to go","Short in Qty")</f>
        <v>Good to go</v>
      </c>
      <c r="C1063" s="40"/>
      <c r="D1063" s="40"/>
      <c r="E1063" s="66"/>
      <c r="F1063" s="38"/>
      <c r="G1063" s="40"/>
      <c r="H1063" s="38"/>
      <c r="I1063" s="38"/>
      <c r="J1063" s="38">
        <f>IFERROR(VLOOKUP(C:C,'[1]S&amp;S'!$B:$F,5,0),)</f>
        <v>0</v>
      </c>
      <c r="K1063" s="38">
        <f>IFERROR(VLOOKUP(A:A,[1]APO!$A:$F,6,0),)</f>
        <v>0</v>
      </c>
      <c r="L1063" s="38">
        <f>IFERROR(VLOOKUP(C:C,'[1]TOTAL APO'!$A:$B,2,0),)</f>
        <v>0</v>
      </c>
      <c r="M1063" s="38">
        <f>IFERROR(VLOOKUP(A:A,[1]Short!$A:$Q,17,0),)</f>
        <v>0</v>
      </c>
      <c r="N1063" s="38">
        <f>IFERROR(VLOOKUP(C:C,[1]GIT!$B:$D,3,0),)</f>
        <v>0</v>
      </c>
      <c r="O1063" s="38">
        <f>IFERROR(VLOOKUP(A:A,[2]Sheet1!$A:$B,2,0),)</f>
        <v>0</v>
      </c>
      <c r="P1063" s="38">
        <f>IFERROR(VLOOKUP(A:A,[2]Sheet1!$A:$B,2,0),)</f>
        <v>0</v>
      </c>
      <c r="Q1063" s="38">
        <f t="shared" si="16"/>
        <v>0</v>
      </c>
      <c r="R1063" s="38"/>
      <c r="S1063" s="38"/>
    </row>
    <row r="1064" spans="1:19" hidden="1" x14ac:dyDescent="0.25">
      <c r="A1064" s="38" t="str">
        <f>F1064&amp;C1064</f>
        <v/>
      </c>
      <c r="B1064" s="38" t="str">
        <f>IF(J1064&gt;=SUMIFS(E:E,C:C,C1064),"Good to go","Short in Qty")</f>
        <v>Good to go</v>
      </c>
      <c r="C1064" s="40"/>
      <c r="D1064" s="40"/>
      <c r="E1064" s="66"/>
      <c r="F1064" s="38"/>
      <c r="G1064" s="40"/>
      <c r="H1064" s="38"/>
      <c r="I1064" s="38"/>
      <c r="J1064" s="38">
        <f>IFERROR(VLOOKUP(C:C,'[1]S&amp;S'!$B:$F,5,0),)</f>
        <v>0</v>
      </c>
      <c r="K1064" s="38">
        <f>IFERROR(VLOOKUP(A:A,[1]APO!$A:$F,6,0),)</f>
        <v>0</v>
      </c>
      <c r="L1064" s="38">
        <f>IFERROR(VLOOKUP(C:C,'[1]TOTAL APO'!$A:$B,2,0),)</f>
        <v>0</v>
      </c>
      <c r="M1064" s="38">
        <f>IFERROR(VLOOKUP(A:A,[1]Short!$A:$Q,17,0),)</f>
        <v>0</v>
      </c>
      <c r="N1064" s="38">
        <f>IFERROR(VLOOKUP(C:C,[1]GIT!$B:$D,3,0),)</f>
        <v>0</v>
      </c>
      <c r="O1064" s="38">
        <f>IFERROR(VLOOKUP(A:A,[2]Sheet1!$A:$B,2,0),)</f>
        <v>0</v>
      </c>
      <c r="P1064" s="38">
        <f>IFERROR(VLOOKUP(A:A,[2]Sheet1!$A:$B,2,0),)</f>
        <v>0</v>
      </c>
      <c r="Q1064" s="38">
        <f t="shared" si="16"/>
        <v>0</v>
      </c>
      <c r="R1064" s="38"/>
      <c r="S1064" s="38"/>
    </row>
    <row r="1065" spans="1:19" hidden="1" x14ac:dyDescent="0.25">
      <c r="A1065" s="38" t="str">
        <f>F1065&amp;C1065</f>
        <v/>
      </c>
      <c r="B1065" s="38" t="str">
        <f>IF(J1065&gt;=SUMIFS(E:E,C:C,C1065),"Good to go","Short in Qty")</f>
        <v>Good to go</v>
      </c>
      <c r="C1065" s="40"/>
      <c r="D1065" s="40"/>
      <c r="E1065" s="66"/>
      <c r="F1065" s="38"/>
      <c r="G1065" s="40"/>
      <c r="H1065" s="38"/>
      <c r="I1065" s="38"/>
      <c r="J1065" s="38">
        <f>IFERROR(VLOOKUP(C:C,'[1]S&amp;S'!$B:$F,5,0),)</f>
        <v>0</v>
      </c>
      <c r="K1065" s="38">
        <f>IFERROR(VLOOKUP(A:A,[1]APO!$A:$F,6,0),)</f>
        <v>0</v>
      </c>
      <c r="L1065" s="38">
        <f>IFERROR(VLOOKUP(C:C,'[1]TOTAL APO'!$A:$B,2,0),)</f>
        <v>0</v>
      </c>
      <c r="M1065" s="38">
        <f>IFERROR(VLOOKUP(A:A,[1]Short!$A:$Q,17,0),)</f>
        <v>0</v>
      </c>
      <c r="N1065" s="38">
        <f>IFERROR(VLOOKUP(C:C,[1]GIT!$B:$D,3,0),)</f>
        <v>0</v>
      </c>
      <c r="O1065" s="38">
        <f>IFERROR(VLOOKUP(A:A,[2]Sheet1!$A:$B,2,0),)</f>
        <v>0</v>
      </c>
      <c r="P1065" s="38">
        <f>IFERROR(VLOOKUP(A:A,[2]Sheet1!$A:$B,2,0),)</f>
        <v>0</v>
      </c>
      <c r="Q1065" s="38">
        <f t="shared" si="16"/>
        <v>0</v>
      </c>
      <c r="R1065" s="38"/>
      <c r="S1065" s="38"/>
    </row>
    <row r="1066" spans="1:19" hidden="1" x14ac:dyDescent="0.25">
      <c r="A1066" s="38" t="str">
        <f>F1066&amp;C1066</f>
        <v/>
      </c>
      <c r="B1066" s="38" t="str">
        <f>IF(J1066&gt;=SUMIFS(E:E,C:C,C1066),"Good to go","Short in Qty")</f>
        <v>Good to go</v>
      </c>
      <c r="C1066" s="40"/>
      <c r="D1066" s="40"/>
      <c r="E1066" s="66"/>
      <c r="F1066" s="38"/>
      <c r="G1066" s="40"/>
      <c r="H1066" s="38"/>
      <c r="I1066" s="38"/>
      <c r="J1066" s="38">
        <f>IFERROR(VLOOKUP(C:C,'[1]S&amp;S'!$B:$F,5,0),)</f>
        <v>0</v>
      </c>
      <c r="K1066" s="38">
        <f>IFERROR(VLOOKUP(A:A,[1]APO!$A:$F,6,0),)</f>
        <v>0</v>
      </c>
      <c r="L1066" s="38">
        <f>IFERROR(VLOOKUP(C:C,'[1]TOTAL APO'!$A:$B,2,0),)</f>
        <v>0</v>
      </c>
      <c r="M1066" s="38">
        <f>IFERROR(VLOOKUP(A:A,[1]Short!$A:$Q,17,0),)</f>
        <v>0</v>
      </c>
      <c r="N1066" s="38">
        <f>IFERROR(VLOOKUP(C:C,[1]GIT!$B:$D,3,0),)</f>
        <v>0</v>
      </c>
      <c r="O1066" s="38">
        <f>IFERROR(VLOOKUP(A:A,[2]Sheet1!$A:$B,2,0),)</f>
        <v>0</v>
      </c>
      <c r="P1066" s="38">
        <f>IFERROR(VLOOKUP(A:A,[2]Sheet1!$A:$B,2,0),)</f>
        <v>0</v>
      </c>
      <c r="Q1066" s="38">
        <f t="shared" si="16"/>
        <v>0</v>
      </c>
      <c r="R1066" s="38"/>
      <c r="S1066" s="38"/>
    </row>
    <row r="1067" spans="1:19" hidden="1" x14ac:dyDescent="0.25">
      <c r="A1067" s="38" t="str">
        <f>F1067&amp;C1067</f>
        <v/>
      </c>
      <c r="B1067" s="38" t="str">
        <f>IF(J1067&gt;=SUMIFS(E:E,C:C,C1067),"Good to go","Short in Qty")</f>
        <v>Good to go</v>
      </c>
      <c r="C1067" s="40"/>
      <c r="D1067" s="40"/>
      <c r="E1067" s="66"/>
      <c r="F1067" s="38"/>
      <c r="G1067" s="40"/>
      <c r="H1067" s="38"/>
      <c r="I1067" s="38"/>
      <c r="J1067" s="38">
        <f>IFERROR(VLOOKUP(C:C,'[1]S&amp;S'!$B:$F,5,0),)</f>
        <v>0</v>
      </c>
      <c r="K1067" s="38">
        <f>IFERROR(VLOOKUP(A:A,[1]APO!$A:$F,6,0),)</f>
        <v>0</v>
      </c>
      <c r="L1067" s="38">
        <f>IFERROR(VLOOKUP(C:C,'[1]TOTAL APO'!$A:$B,2,0),)</f>
        <v>0</v>
      </c>
      <c r="M1067" s="38">
        <f>IFERROR(VLOOKUP(A:A,[1]Short!$A:$Q,17,0),)</f>
        <v>0</v>
      </c>
      <c r="N1067" s="38">
        <f>IFERROR(VLOOKUP(C:C,[1]GIT!$B:$D,3,0),)</f>
        <v>0</v>
      </c>
      <c r="O1067" s="38">
        <f>IFERROR(VLOOKUP(A:A,[2]Sheet1!$A:$B,2,0),)</f>
        <v>0</v>
      </c>
      <c r="P1067" s="38">
        <f>IFERROR(VLOOKUP(A:A,[2]Sheet1!$A:$B,2,0),)</f>
        <v>0</v>
      </c>
      <c r="Q1067" s="38">
        <f t="shared" si="16"/>
        <v>0</v>
      </c>
      <c r="R1067" s="38"/>
      <c r="S1067" s="38"/>
    </row>
    <row r="1068" spans="1:19" hidden="1" x14ac:dyDescent="0.25">
      <c r="A1068" s="38" t="str">
        <f>F1068&amp;C1068</f>
        <v/>
      </c>
      <c r="B1068" s="38" t="str">
        <f>IF(J1068&gt;=SUMIFS(E:E,C:C,C1068),"Good to go","Short in Qty")</f>
        <v>Good to go</v>
      </c>
      <c r="C1068" s="40"/>
      <c r="D1068" s="40"/>
      <c r="E1068" s="66"/>
      <c r="F1068" s="38"/>
      <c r="G1068" s="40"/>
      <c r="H1068" s="38"/>
      <c r="I1068" s="38"/>
      <c r="J1068" s="38">
        <f>IFERROR(VLOOKUP(C:C,'[1]S&amp;S'!$B:$F,5,0),)</f>
        <v>0</v>
      </c>
      <c r="K1068" s="38">
        <f>IFERROR(VLOOKUP(A:A,[1]APO!$A:$F,6,0),)</f>
        <v>0</v>
      </c>
      <c r="L1068" s="38">
        <f>IFERROR(VLOOKUP(C:C,'[1]TOTAL APO'!$A:$B,2,0),)</f>
        <v>0</v>
      </c>
      <c r="M1068" s="38">
        <f>IFERROR(VLOOKUP(A:A,[1]Short!$A:$Q,17,0),)</f>
        <v>0</v>
      </c>
      <c r="N1068" s="38">
        <f>IFERROR(VLOOKUP(C:C,[1]GIT!$B:$D,3,0),)</f>
        <v>0</v>
      </c>
      <c r="O1068" s="38">
        <f>IFERROR(VLOOKUP(A:A,[2]Sheet1!$A:$B,2,0),)</f>
        <v>0</v>
      </c>
      <c r="P1068" s="38">
        <f>IFERROR(VLOOKUP(A:A,[2]Sheet1!$A:$B,2,0),)</f>
        <v>0</v>
      </c>
      <c r="Q1068" s="38">
        <f t="shared" si="16"/>
        <v>0</v>
      </c>
      <c r="R1068" s="38"/>
      <c r="S1068" s="38"/>
    </row>
    <row r="1069" spans="1:19" hidden="1" x14ac:dyDescent="0.25">
      <c r="A1069" s="38" t="str">
        <f>F1069&amp;C1069</f>
        <v/>
      </c>
      <c r="B1069" s="38" t="str">
        <f>IF(J1069&gt;=SUMIFS(E:E,C:C,C1069),"Good to go","Short in Qty")</f>
        <v>Good to go</v>
      </c>
      <c r="C1069" s="40"/>
      <c r="D1069" s="40"/>
      <c r="E1069" s="66"/>
      <c r="F1069" s="38"/>
      <c r="G1069" s="40"/>
      <c r="H1069" s="38"/>
      <c r="I1069" s="38"/>
      <c r="J1069" s="38">
        <f>IFERROR(VLOOKUP(C:C,'[1]S&amp;S'!$B:$F,5,0),)</f>
        <v>0</v>
      </c>
      <c r="K1069" s="38">
        <f>IFERROR(VLOOKUP(A:A,[1]APO!$A:$F,6,0),)</f>
        <v>0</v>
      </c>
      <c r="L1069" s="38">
        <f>IFERROR(VLOOKUP(C:C,'[1]TOTAL APO'!$A:$B,2,0),)</f>
        <v>0</v>
      </c>
      <c r="M1069" s="38">
        <f>IFERROR(VLOOKUP(A:A,[1]Short!$A:$Q,17,0),)</f>
        <v>0</v>
      </c>
      <c r="N1069" s="38">
        <f>IFERROR(VLOOKUP(C:C,[1]GIT!$B:$D,3,0),)</f>
        <v>0</v>
      </c>
      <c r="O1069" s="38">
        <f>IFERROR(VLOOKUP(A:A,[2]Sheet1!$A:$B,2,0),)</f>
        <v>0</v>
      </c>
      <c r="P1069" s="38">
        <f>IFERROR(VLOOKUP(A:A,[2]Sheet1!$A:$B,2,0),)</f>
        <v>0</v>
      </c>
      <c r="Q1069" s="38">
        <f t="shared" si="16"/>
        <v>0</v>
      </c>
      <c r="R1069" s="38"/>
      <c r="S1069" s="38"/>
    </row>
    <row r="1070" spans="1:19" hidden="1" x14ac:dyDescent="0.25">
      <c r="A1070" s="38" t="str">
        <f>F1070&amp;C1070</f>
        <v/>
      </c>
      <c r="B1070" s="38" t="str">
        <f>IF(J1070&gt;=SUMIFS(E:E,C:C,C1070),"Good to go","Short in Qty")</f>
        <v>Good to go</v>
      </c>
      <c r="C1070" s="40"/>
      <c r="D1070" s="40"/>
      <c r="E1070" s="66"/>
      <c r="F1070" s="38"/>
      <c r="G1070" s="40"/>
      <c r="H1070" s="38"/>
      <c r="I1070" s="38"/>
      <c r="J1070" s="38">
        <f>IFERROR(VLOOKUP(C:C,'[1]S&amp;S'!$B:$F,5,0),)</f>
        <v>0</v>
      </c>
      <c r="K1070" s="38">
        <f>IFERROR(VLOOKUP(A:A,[1]APO!$A:$F,6,0),)</f>
        <v>0</v>
      </c>
      <c r="L1070" s="38">
        <f>IFERROR(VLOOKUP(C:C,'[1]TOTAL APO'!$A:$B,2,0),)</f>
        <v>0</v>
      </c>
      <c r="M1070" s="38">
        <f>IFERROR(VLOOKUP(A:A,[1]Short!$A:$Q,17,0),)</f>
        <v>0</v>
      </c>
      <c r="N1070" s="38">
        <f>IFERROR(VLOOKUP(C:C,[1]GIT!$B:$D,3,0),)</f>
        <v>0</v>
      </c>
      <c r="O1070" s="38">
        <f>IFERROR(VLOOKUP(A:A,[2]Sheet1!$A:$B,2,0),)</f>
        <v>0</v>
      </c>
      <c r="P1070" s="38">
        <f>IFERROR(VLOOKUP(A:A,[2]Sheet1!$A:$B,2,0),)</f>
        <v>0</v>
      </c>
      <c r="Q1070" s="38">
        <f t="shared" si="16"/>
        <v>0</v>
      </c>
      <c r="R1070" s="38"/>
      <c r="S1070" s="38"/>
    </row>
    <row r="1071" spans="1:19" hidden="1" x14ac:dyDescent="0.25">
      <c r="A1071" s="38" t="str">
        <f>F1071&amp;C1071</f>
        <v/>
      </c>
      <c r="B1071" s="38" t="str">
        <f>IF(J1071&gt;=SUMIFS(E:E,C:C,C1071),"Good to go","Short in Qty")</f>
        <v>Good to go</v>
      </c>
      <c r="C1071" s="40"/>
      <c r="D1071" s="40"/>
      <c r="E1071" s="66"/>
      <c r="F1071" s="38"/>
      <c r="G1071" s="40"/>
      <c r="H1071" s="38"/>
      <c r="I1071" s="38"/>
      <c r="J1071" s="38">
        <f>IFERROR(VLOOKUP(C:C,'[1]S&amp;S'!$B:$F,5,0),)</f>
        <v>0</v>
      </c>
      <c r="K1071" s="38">
        <f>IFERROR(VLOOKUP(A:A,[1]APO!$A:$F,6,0),)</f>
        <v>0</v>
      </c>
      <c r="L1071" s="38">
        <f>IFERROR(VLOOKUP(C:C,'[1]TOTAL APO'!$A:$B,2,0),)</f>
        <v>0</v>
      </c>
      <c r="M1071" s="38">
        <f>IFERROR(VLOOKUP(A:A,[1]Short!$A:$Q,17,0),)</f>
        <v>0</v>
      </c>
      <c r="N1071" s="38">
        <f>IFERROR(VLOOKUP(C:C,[1]GIT!$B:$D,3,0),)</f>
        <v>0</v>
      </c>
      <c r="O1071" s="38">
        <f>IFERROR(VLOOKUP(A:A,[2]Sheet1!$A:$B,2,0),)</f>
        <v>0</v>
      </c>
      <c r="P1071" s="38">
        <f>IFERROR(VLOOKUP(A:A,[2]Sheet1!$A:$B,2,0),)</f>
        <v>0</v>
      </c>
      <c r="Q1071" s="38">
        <f t="shared" si="16"/>
        <v>0</v>
      </c>
      <c r="R1071" s="38"/>
      <c r="S1071" s="38"/>
    </row>
    <row r="1072" spans="1:19" hidden="1" x14ac:dyDescent="0.25">
      <c r="A1072" s="38" t="str">
        <f>F1072&amp;C1072</f>
        <v/>
      </c>
      <c r="B1072" s="38" t="str">
        <f>IF(J1072&gt;=SUMIFS(E:E,C:C,C1072),"Good to go","Short in Qty")</f>
        <v>Good to go</v>
      </c>
      <c r="C1072" s="40"/>
      <c r="D1072" s="40"/>
      <c r="E1072" s="66"/>
      <c r="F1072" s="38"/>
      <c r="G1072" s="40"/>
      <c r="H1072" s="38"/>
      <c r="I1072" s="38"/>
      <c r="J1072" s="38">
        <f>IFERROR(VLOOKUP(C:C,'[1]S&amp;S'!$B:$F,5,0),)</f>
        <v>0</v>
      </c>
      <c r="K1072" s="38">
        <f>IFERROR(VLOOKUP(A:A,[1]APO!$A:$F,6,0),)</f>
        <v>0</v>
      </c>
      <c r="L1072" s="38">
        <f>IFERROR(VLOOKUP(C:C,'[1]TOTAL APO'!$A:$B,2,0),)</f>
        <v>0</v>
      </c>
      <c r="M1072" s="38">
        <f>IFERROR(VLOOKUP(A:A,[1]Short!$A:$Q,17,0),)</f>
        <v>0</v>
      </c>
      <c r="N1072" s="38">
        <f>IFERROR(VLOOKUP(C:C,[1]GIT!$B:$D,3,0),)</f>
        <v>0</v>
      </c>
      <c r="O1072" s="38">
        <f>IFERROR(VLOOKUP(A:A,[2]Sheet1!$A:$B,2,0),)</f>
        <v>0</v>
      </c>
      <c r="P1072" s="38">
        <f>IFERROR(VLOOKUP(A:A,[2]Sheet1!$A:$B,2,0),)</f>
        <v>0</v>
      </c>
      <c r="Q1072" s="38">
        <f t="shared" si="16"/>
        <v>0</v>
      </c>
      <c r="R1072" s="38"/>
      <c r="S1072" s="38"/>
    </row>
    <row r="1073" spans="1:19" hidden="1" x14ac:dyDescent="0.25">
      <c r="A1073" s="38" t="str">
        <f>F1073&amp;C1073</f>
        <v/>
      </c>
      <c r="B1073" s="38" t="str">
        <f>IF(J1073&gt;=SUMIFS(E:E,C:C,C1073),"Good to go","Short in Qty")</f>
        <v>Good to go</v>
      </c>
      <c r="C1073" s="40"/>
      <c r="D1073" s="40"/>
      <c r="E1073" s="66"/>
      <c r="F1073" s="38"/>
      <c r="G1073" s="40"/>
      <c r="H1073" s="38"/>
      <c r="I1073" s="38"/>
      <c r="J1073" s="38">
        <f>IFERROR(VLOOKUP(C:C,'[1]S&amp;S'!$B:$F,5,0),)</f>
        <v>0</v>
      </c>
      <c r="K1073" s="38">
        <f>IFERROR(VLOOKUP(A:A,[1]APO!$A:$F,6,0),)</f>
        <v>0</v>
      </c>
      <c r="L1073" s="38">
        <f>IFERROR(VLOOKUP(C:C,'[1]TOTAL APO'!$A:$B,2,0),)</f>
        <v>0</v>
      </c>
      <c r="M1073" s="38">
        <f>IFERROR(VLOOKUP(A:A,[1]Short!$A:$Q,17,0),)</f>
        <v>0</v>
      </c>
      <c r="N1073" s="38">
        <f>IFERROR(VLOOKUP(C:C,[1]GIT!$B:$D,3,0),)</f>
        <v>0</v>
      </c>
      <c r="O1073" s="38">
        <f>IFERROR(VLOOKUP(A:A,[2]Sheet1!$A:$B,2,0),)</f>
        <v>0</v>
      </c>
      <c r="P1073" s="38">
        <f>IFERROR(VLOOKUP(A:A,[2]Sheet1!$A:$B,2,0),)</f>
        <v>0</v>
      </c>
      <c r="Q1073" s="38">
        <f t="shared" si="16"/>
        <v>0</v>
      </c>
      <c r="R1073" s="38"/>
      <c r="S1073" s="38"/>
    </row>
    <row r="1074" spans="1:19" hidden="1" x14ac:dyDescent="0.25">
      <c r="A1074" s="38" t="str">
        <f>F1074&amp;C1074</f>
        <v/>
      </c>
      <c r="B1074" s="38" t="str">
        <f>IF(J1074&gt;=SUMIFS(E:E,C:C,C1074),"Good to go","Short in Qty")</f>
        <v>Good to go</v>
      </c>
      <c r="C1074" s="40"/>
      <c r="D1074" s="40"/>
      <c r="E1074" s="66"/>
      <c r="F1074" s="38"/>
      <c r="G1074" s="40"/>
      <c r="H1074" s="38"/>
      <c r="I1074" s="38"/>
      <c r="J1074" s="38">
        <f>IFERROR(VLOOKUP(C:C,'[1]S&amp;S'!$B:$F,5,0),)</f>
        <v>0</v>
      </c>
      <c r="K1074" s="38">
        <f>IFERROR(VLOOKUP(A:A,[1]APO!$A:$F,6,0),)</f>
        <v>0</v>
      </c>
      <c r="L1074" s="38">
        <f>IFERROR(VLOOKUP(C:C,'[1]TOTAL APO'!$A:$B,2,0),)</f>
        <v>0</v>
      </c>
      <c r="M1074" s="38">
        <f>IFERROR(VLOOKUP(A:A,[1]Short!$A:$Q,17,0),)</f>
        <v>0</v>
      </c>
      <c r="N1074" s="38">
        <f>IFERROR(VLOOKUP(C:C,[1]GIT!$B:$D,3,0),)</f>
        <v>0</v>
      </c>
      <c r="O1074" s="38">
        <f>IFERROR(VLOOKUP(A:A,[2]Sheet1!$A:$B,2,0),)</f>
        <v>0</v>
      </c>
      <c r="P1074" s="38">
        <f>IFERROR(VLOOKUP(A:A,[2]Sheet1!$A:$B,2,0),)</f>
        <v>0</v>
      </c>
      <c r="Q1074" s="38">
        <f t="shared" si="16"/>
        <v>0</v>
      </c>
      <c r="R1074" s="38"/>
      <c r="S1074" s="38"/>
    </row>
    <row r="1075" spans="1:19" hidden="1" x14ac:dyDescent="0.25">
      <c r="A1075" s="38" t="str">
        <f>F1075&amp;C1075</f>
        <v/>
      </c>
      <c r="B1075" s="38" t="str">
        <f>IF(J1075&gt;=SUMIFS(E:E,C:C,C1075),"Good to go","Short in Qty")</f>
        <v>Good to go</v>
      </c>
      <c r="C1075" s="40"/>
      <c r="D1075" s="40"/>
      <c r="E1075" s="66"/>
      <c r="F1075" s="38"/>
      <c r="G1075" s="40"/>
      <c r="H1075" s="38"/>
      <c r="I1075" s="38"/>
      <c r="J1075" s="38">
        <f>IFERROR(VLOOKUP(C:C,'[1]S&amp;S'!$B:$F,5,0),)</f>
        <v>0</v>
      </c>
      <c r="K1075" s="38">
        <f>IFERROR(VLOOKUP(A:A,[1]APO!$A:$F,6,0),)</f>
        <v>0</v>
      </c>
      <c r="L1075" s="38">
        <f>IFERROR(VLOOKUP(C:C,'[1]TOTAL APO'!$A:$B,2,0),)</f>
        <v>0</v>
      </c>
      <c r="M1075" s="38">
        <f>IFERROR(VLOOKUP(A:A,[1]Short!$A:$Q,17,0),)</f>
        <v>0</v>
      </c>
      <c r="N1075" s="38">
        <f>IFERROR(VLOOKUP(C:C,[1]GIT!$B:$D,3,0),)</f>
        <v>0</v>
      </c>
      <c r="O1075" s="38">
        <f>IFERROR(VLOOKUP(A:A,[2]Sheet1!$A:$B,2,0),)</f>
        <v>0</v>
      </c>
      <c r="P1075" s="38">
        <f>IFERROR(VLOOKUP(A:A,[2]Sheet1!$A:$B,2,0),)</f>
        <v>0</v>
      </c>
      <c r="Q1075" s="38">
        <f t="shared" si="16"/>
        <v>0</v>
      </c>
      <c r="R1075" s="38"/>
      <c r="S1075" s="38"/>
    </row>
    <row r="1076" spans="1:19" hidden="1" x14ac:dyDescent="0.25">
      <c r="A1076" s="38" t="str">
        <f>F1076&amp;C1076</f>
        <v/>
      </c>
      <c r="B1076" s="38" t="str">
        <f>IF(J1076&gt;=SUMIFS(E:E,C:C,C1076),"Good to go","Short in Qty")</f>
        <v>Good to go</v>
      </c>
      <c r="C1076" s="40"/>
      <c r="D1076" s="40"/>
      <c r="E1076" s="66"/>
      <c r="F1076" s="38"/>
      <c r="G1076" s="40"/>
      <c r="H1076" s="38"/>
      <c r="I1076" s="38"/>
      <c r="J1076" s="38">
        <f>IFERROR(VLOOKUP(C:C,'[1]S&amp;S'!$B:$F,5,0),)</f>
        <v>0</v>
      </c>
      <c r="K1076" s="38">
        <f>IFERROR(VLOOKUP(A:A,[1]APO!$A:$F,6,0),)</f>
        <v>0</v>
      </c>
      <c r="L1076" s="38">
        <f>IFERROR(VLOOKUP(C:C,'[1]TOTAL APO'!$A:$B,2,0),)</f>
        <v>0</v>
      </c>
      <c r="M1076" s="38">
        <f>IFERROR(VLOOKUP(A:A,[1]Short!$A:$Q,17,0),)</f>
        <v>0</v>
      </c>
      <c r="N1076" s="38">
        <f>IFERROR(VLOOKUP(C:C,[1]GIT!$B:$D,3,0),)</f>
        <v>0</v>
      </c>
      <c r="O1076" s="38">
        <f>IFERROR(VLOOKUP(A:A,[2]Sheet1!$A:$B,2,0),)</f>
        <v>0</v>
      </c>
      <c r="P1076" s="38">
        <f>IFERROR(VLOOKUP(A:A,[2]Sheet1!$A:$B,2,0),)</f>
        <v>0</v>
      </c>
      <c r="Q1076" s="38">
        <f t="shared" si="16"/>
        <v>0</v>
      </c>
      <c r="R1076" s="38"/>
      <c r="S1076" s="38"/>
    </row>
    <row r="1077" spans="1:19" hidden="1" x14ac:dyDescent="0.25">
      <c r="A1077" s="38" t="str">
        <f>F1077&amp;C1077</f>
        <v/>
      </c>
      <c r="B1077" s="38" t="str">
        <f>IF(J1077&gt;=SUMIFS(E:E,C:C,C1077),"Good to go","Short in Qty")</f>
        <v>Good to go</v>
      </c>
      <c r="C1077" s="40"/>
      <c r="D1077" s="40"/>
      <c r="E1077" s="66"/>
      <c r="F1077" s="38"/>
      <c r="G1077" s="40"/>
      <c r="H1077" s="38"/>
      <c r="I1077" s="38"/>
      <c r="J1077" s="38">
        <f>IFERROR(VLOOKUP(C:C,'[1]S&amp;S'!$B:$F,5,0),)</f>
        <v>0</v>
      </c>
      <c r="K1077" s="38">
        <f>IFERROR(VLOOKUP(A:A,[1]APO!$A:$F,6,0),)</f>
        <v>0</v>
      </c>
      <c r="L1077" s="38">
        <f>IFERROR(VLOOKUP(C:C,'[1]TOTAL APO'!$A:$B,2,0),)</f>
        <v>0</v>
      </c>
      <c r="M1077" s="38">
        <f>IFERROR(VLOOKUP(A:A,[1]Short!$A:$Q,17,0),)</f>
        <v>0</v>
      </c>
      <c r="N1077" s="38">
        <f>IFERROR(VLOOKUP(C:C,[1]GIT!$B:$D,3,0),)</f>
        <v>0</v>
      </c>
      <c r="O1077" s="38">
        <f>IFERROR(VLOOKUP(A:A,[2]Sheet1!$A:$B,2,0),)</f>
        <v>0</v>
      </c>
      <c r="P1077" s="38">
        <f>IFERROR(VLOOKUP(A:A,[2]Sheet1!$A:$B,2,0),)</f>
        <v>0</v>
      </c>
      <c r="Q1077" s="38">
        <f t="shared" si="16"/>
        <v>0</v>
      </c>
      <c r="R1077" s="38"/>
      <c r="S1077" s="38"/>
    </row>
    <row r="1078" spans="1:19" hidden="1" x14ac:dyDescent="0.25">
      <c r="A1078" s="38" t="str">
        <f>F1078&amp;C1078</f>
        <v/>
      </c>
      <c r="B1078" s="38" t="str">
        <f>IF(J1078&gt;=SUMIFS(E:E,C:C,C1078),"Good to go","Short in Qty")</f>
        <v>Good to go</v>
      </c>
      <c r="C1078" s="40"/>
      <c r="D1078" s="40"/>
      <c r="E1078" s="66"/>
      <c r="F1078" s="38"/>
      <c r="G1078" s="40"/>
      <c r="H1078" s="38"/>
      <c r="I1078" s="38"/>
      <c r="J1078" s="38">
        <f>IFERROR(VLOOKUP(C:C,'[1]S&amp;S'!$B:$F,5,0),)</f>
        <v>0</v>
      </c>
      <c r="K1078" s="38">
        <f>IFERROR(VLOOKUP(A:A,[1]APO!$A:$F,6,0),)</f>
        <v>0</v>
      </c>
      <c r="L1078" s="38">
        <f>IFERROR(VLOOKUP(C:C,'[1]TOTAL APO'!$A:$B,2,0),)</f>
        <v>0</v>
      </c>
      <c r="M1078" s="38">
        <f>IFERROR(VLOOKUP(A:A,[1]Short!$A:$Q,17,0),)</f>
        <v>0</v>
      </c>
      <c r="N1078" s="38">
        <f>IFERROR(VLOOKUP(C:C,[1]GIT!$B:$D,3,0),)</f>
        <v>0</v>
      </c>
      <c r="O1078" s="38">
        <f>IFERROR(VLOOKUP(A:A,[2]Sheet1!$A:$B,2,0),)</f>
        <v>0</v>
      </c>
      <c r="P1078" s="38">
        <f>IFERROR(VLOOKUP(A:A,[2]Sheet1!$A:$B,2,0),)</f>
        <v>0</v>
      </c>
      <c r="Q1078" s="38">
        <f t="shared" si="16"/>
        <v>0</v>
      </c>
      <c r="R1078" s="38"/>
      <c r="S1078" s="38"/>
    </row>
    <row r="1079" spans="1:19" hidden="1" x14ac:dyDescent="0.25">
      <c r="A1079" s="38" t="str">
        <f>F1079&amp;C1079</f>
        <v/>
      </c>
      <c r="B1079" s="38" t="str">
        <f>IF(J1079&gt;=SUMIFS(E:E,C:C,C1079),"Good to go","Short in Qty")</f>
        <v>Good to go</v>
      </c>
      <c r="C1079" s="40"/>
      <c r="D1079" s="40"/>
      <c r="E1079" s="66"/>
      <c r="F1079" s="38"/>
      <c r="G1079" s="40"/>
      <c r="H1079" s="38"/>
      <c r="I1079" s="38"/>
      <c r="J1079" s="38">
        <f>IFERROR(VLOOKUP(C:C,'[1]S&amp;S'!$B:$F,5,0),)</f>
        <v>0</v>
      </c>
      <c r="K1079" s="38">
        <f>IFERROR(VLOOKUP(A:A,[1]APO!$A:$F,6,0),)</f>
        <v>0</v>
      </c>
      <c r="L1079" s="38">
        <f>IFERROR(VLOOKUP(C:C,'[1]TOTAL APO'!$A:$B,2,0),)</f>
        <v>0</v>
      </c>
      <c r="M1079" s="38">
        <f>IFERROR(VLOOKUP(A:A,[1]Short!$A:$Q,17,0),)</f>
        <v>0</v>
      </c>
      <c r="N1079" s="38">
        <f>IFERROR(VLOOKUP(C:C,[1]GIT!$B:$D,3,0),)</f>
        <v>0</v>
      </c>
      <c r="O1079" s="38">
        <f>IFERROR(VLOOKUP(A:A,[2]Sheet1!$A:$B,2,0),)</f>
        <v>0</v>
      </c>
      <c r="P1079" s="38">
        <f>IFERROR(VLOOKUP(A:A,[2]Sheet1!$A:$B,2,0),)</f>
        <v>0</v>
      </c>
      <c r="Q1079" s="38">
        <f t="shared" si="16"/>
        <v>0</v>
      </c>
      <c r="R1079" s="38"/>
      <c r="S1079" s="38"/>
    </row>
    <row r="1080" spans="1:19" hidden="1" x14ac:dyDescent="0.25">
      <c r="A1080" s="38" t="str">
        <f>F1080&amp;C1080</f>
        <v/>
      </c>
      <c r="B1080" s="38" t="str">
        <f>IF(J1080&gt;=SUMIFS(E:E,C:C,C1080),"Good to go","Short in Qty")</f>
        <v>Good to go</v>
      </c>
      <c r="C1080" s="40"/>
      <c r="D1080" s="40"/>
      <c r="E1080" s="66"/>
      <c r="F1080" s="38"/>
      <c r="G1080" s="40"/>
      <c r="H1080" s="38"/>
      <c r="I1080" s="38"/>
      <c r="J1080" s="38">
        <f>IFERROR(VLOOKUP(C:C,'[1]S&amp;S'!$B:$F,5,0),)</f>
        <v>0</v>
      </c>
      <c r="K1080" s="38">
        <f>IFERROR(VLOOKUP(A:A,[1]APO!$A:$F,6,0),)</f>
        <v>0</v>
      </c>
      <c r="L1080" s="38">
        <f>IFERROR(VLOOKUP(C:C,'[1]TOTAL APO'!$A:$B,2,0),)</f>
        <v>0</v>
      </c>
      <c r="M1080" s="38">
        <f>IFERROR(VLOOKUP(A:A,[1]Short!$A:$Q,17,0),)</f>
        <v>0</v>
      </c>
      <c r="N1080" s="38">
        <f>IFERROR(VLOOKUP(C:C,[1]GIT!$B:$D,3,0),)</f>
        <v>0</v>
      </c>
      <c r="O1080" s="38">
        <f>IFERROR(VLOOKUP(A:A,[2]Sheet1!$A:$B,2,0),)</f>
        <v>0</v>
      </c>
      <c r="P1080" s="38">
        <f>IFERROR(VLOOKUP(A:A,[2]Sheet1!$A:$B,2,0),)</f>
        <v>0</v>
      </c>
      <c r="Q1080" s="38">
        <f t="shared" si="16"/>
        <v>0</v>
      </c>
      <c r="R1080" s="38"/>
      <c r="S1080" s="38"/>
    </row>
    <row r="1081" spans="1:19" hidden="1" x14ac:dyDescent="0.25">
      <c r="A1081" s="38" t="str">
        <f>F1081&amp;C1081</f>
        <v/>
      </c>
      <c r="B1081" s="38" t="str">
        <f>IF(J1081&gt;=SUMIFS(E:E,C:C,C1081),"Good to go","Short in Qty")</f>
        <v>Good to go</v>
      </c>
      <c r="C1081" s="40"/>
      <c r="D1081" s="40"/>
      <c r="E1081" s="66"/>
      <c r="F1081" s="38"/>
      <c r="G1081" s="40"/>
      <c r="H1081" s="38"/>
      <c r="I1081" s="38"/>
      <c r="J1081" s="38">
        <f>IFERROR(VLOOKUP(C:C,'[1]S&amp;S'!$B:$F,5,0),)</f>
        <v>0</v>
      </c>
      <c r="K1081" s="38">
        <f>IFERROR(VLOOKUP(A:A,[1]APO!$A:$F,6,0),)</f>
        <v>0</v>
      </c>
      <c r="L1081" s="38">
        <f>IFERROR(VLOOKUP(C:C,'[1]TOTAL APO'!$A:$B,2,0),)</f>
        <v>0</v>
      </c>
      <c r="M1081" s="38">
        <f>IFERROR(VLOOKUP(A:A,[1]Short!$A:$Q,17,0),)</f>
        <v>0</v>
      </c>
      <c r="N1081" s="38">
        <f>IFERROR(VLOOKUP(C:C,[1]GIT!$B:$D,3,0),)</f>
        <v>0</v>
      </c>
      <c r="O1081" s="38">
        <f>IFERROR(VLOOKUP(A:A,[2]Sheet1!$A:$B,2,0),)</f>
        <v>0</v>
      </c>
      <c r="P1081" s="38">
        <f>IFERROR(VLOOKUP(A:A,[2]Sheet1!$A:$B,2,0),)</f>
        <v>0</v>
      </c>
      <c r="Q1081" s="38">
        <f t="shared" si="16"/>
        <v>0</v>
      </c>
      <c r="R1081" s="38"/>
      <c r="S1081" s="38"/>
    </row>
    <row r="1082" spans="1:19" hidden="1" x14ac:dyDescent="0.25">
      <c r="A1082" s="38" t="str">
        <f>F1082&amp;C1082</f>
        <v/>
      </c>
      <c r="B1082" s="38" t="str">
        <f>IF(J1082&gt;=SUMIFS(E:E,C:C,C1082),"Good to go","Short in Qty")</f>
        <v>Good to go</v>
      </c>
      <c r="C1082" s="40"/>
      <c r="D1082" s="40"/>
      <c r="E1082" s="66"/>
      <c r="F1082" s="38"/>
      <c r="G1082" s="40"/>
      <c r="H1082" s="38"/>
      <c r="I1082" s="38"/>
      <c r="J1082" s="38">
        <f>IFERROR(VLOOKUP(C:C,'[1]S&amp;S'!$B:$F,5,0),)</f>
        <v>0</v>
      </c>
      <c r="K1082" s="38">
        <f>IFERROR(VLOOKUP(A:A,[1]APO!$A:$F,6,0),)</f>
        <v>0</v>
      </c>
      <c r="L1082" s="38">
        <f>IFERROR(VLOOKUP(C:C,'[1]TOTAL APO'!$A:$B,2,0),)</f>
        <v>0</v>
      </c>
      <c r="M1082" s="38">
        <f>IFERROR(VLOOKUP(A:A,[1]Short!$A:$Q,17,0),)</f>
        <v>0</v>
      </c>
      <c r="N1082" s="38">
        <f>IFERROR(VLOOKUP(C:C,[1]GIT!$B:$D,3,0),)</f>
        <v>0</v>
      </c>
      <c r="O1082" s="38">
        <f>IFERROR(VLOOKUP(A:A,[2]Sheet1!$A:$B,2,0),)</f>
        <v>0</v>
      </c>
      <c r="P1082" s="38">
        <f>IFERROR(VLOOKUP(A:A,[2]Sheet1!$A:$B,2,0),)</f>
        <v>0</v>
      </c>
      <c r="Q1082" s="38">
        <f t="shared" si="16"/>
        <v>0</v>
      </c>
      <c r="R1082" s="38"/>
      <c r="S1082" s="38"/>
    </row>
    <row r="1083" spans="1:19" hidden="1" x14ac:dyDescent="0.25">
      <c r="A1083" s="38" t="str">
        <f>F1083&amp;C1083</f>
        <v/>
      </c>
      <c r="B1083" s="38" t="str">
        <f>IF(J1083&gt;=SUMIFS(E:E,C:C,C1083),"Good to go","Short in Qty")</f>
        <v>Good to go</v>
      </c>
      <c r="C1083" s="40"/>
      <c r="D1083" s="40"/>
      <c r="E1083" s="66"/>
      <c r="F1083" s="38"/>
      <c r="G1083" s="40"/>
      <c r="H1083" s="38"/>
      <c r="I1083" s="38"/>
      <c r="J1083" s="38">
        <f>IFERROR(VLOOKUP(C:C,'[1]S&amp;S'!$B:$F,5,0),)</f>
        <v>0</v>
      </c>
      <c r="K1083" s="38">
        <f>IFERROR(VLOOKUP(A:A,[1]APO!$A:$F,6,0),)</f>
        <v>0</v>
      </c>
      <c r="L1083" s="38">
        <f>IFERROR(VLOOKUP(C:C,'[1]TOTAL APO'!$A:$B,2,0),)</f>
        <v>0</v>
      </c>
      <c r="M1083" s="38">
        <f>IFERROR(VLOOKUP(A:A,[1]Short!$A:$Q,17,0),)</f>
        <v>0</v>
      </c>
      <c r="N1083" s="38">
        <f>IFERROR(VLOOKUP(C:C,[1]GIT!$B:$D,3,0),)</f>
        <v>0</v>
      </c>
      <c r="O1083" s="38">
        <f>IFERROR(VLOOKUP(A:A,[2]Sheet1!$A:$B,2,0),)</f>
        <v>0</v>
      </c>
      <c r="P1083" s="38">
        <f>IFERROR(VLOOKUP(A:A,[2]Sheet1!$A:$B,2,0),)</f>
        <v>0</v>
      </c>
      <c r="Q1083" s="38">
        <f t="shared" si="16"/>
        <v>0</v>
      </c>
      <c r="R1083" s="38"/>
      <c r="S1083" s="38"/>
    </row>
    <row r="1084" spans="1:19" hidden="1" x14ac:dyDescent="0.25">
      <c r="A1084" s="38" t="str">
        <f>F1084&amp;C1084</f>
        <v/>
      </c>
      <c r="B1084" s="38" t="str">
        <f>IF(J1084&gt;=SUMIFS(E:E,C:C,C1084),"Good to go","Short in Qty")</f>
        <v>Good to go</v>
      </c>
      <c r="C1084" s="40"/>
      <c r="D1084" s="40"/>
      <c r="E1084" s="66"/>
      <c r="F1084" s="38"/>
      <c r="G1084" s="40"/>
      <c r="H1084" s="38"/>
      <c r="I1084" s="38"/>
      <c r="J1084" s="38">
        <f>IFERROR(VLOOKUP(C:C,'[1]S&amp;S'!$B:$F,5,0),)</f>
        <v>0</v>
      </c>
      <c r="K1084" s="38">
        <f>IFERROR(VLOOKUP(A:A,[1]APO!$A:$F,6,0),)</f>
        <v>0</v>
      </c>
      <c r="L1084" s="38">
        <f>IFERROR(VLOOKUP(C:C,'[1]TOTAL APO'!$A:$B,2,0),)</f>
        <v>0</v>
      </c>
      <c r="M1084" s="38">
        <f>IFERROR(VLOOKUP(A:A,[1]Short!$A:$Q,17,0),)</f>
        <v>0</v>
      </c>
      <c r="N1084" s="38">
        <f>IFERROR(VLOOKUP(C:C,[1]GIT!$B:$D,3,0),)</f>
        <v>0</v>
      </c>
      <c r="O1084" s="38">
        <f>IFERROR(VLOOKUP(A:A,[2]Sheet1!$A:$B,2,0),)</f>
        <v>0</v>
      </c>
      <c r="P1084" s="38">
        <f>IFERROR(VLOOKUP(A:A,[2]Sheet1!$A:$B,2,0),)</f>
        <v>0</v>
      </c>
      <c r="Q1084" s="38">
        <f t="shared" si="16"/>
        <v>0</v>
      </c>
      <c r="R1084" s="38"/>
      <c r="S1084" s="38"/>
    </row>
    <row r="1085" spans="1:19" hidden="1" x14ac:dyDescent="0.25">
      <c r="A1085" s="38" t="str">
        <f>F1085&amp;C1085</f>
        <v/>
      </c>
      <c r="B1085" s="38" t="str">
        <f>IF(J1085&gt;=SUMIFS(E:E,C:C,C1085),"Good to go","Short in Qty")</f>
        <v>Good to go</v>
      </c>
      <c r="C1085" s="40"/>
      <c r="D1085" s="40"/>
      <c r="E1085" s="66"/>
      <c r="F1085" s="38"/>
      <c r="G1085" s="40"/>
      <c r="H1085" s="38"/>
      <c r="I1085" s="38"/>
      <c r="J1085" s="38">
        <f>IFERROR(VLOOKUP(C:C,'[1]S&amp;S'!$B:$F,5,0),)</f>
        <v>0</v>
      </c>
      <c r="K1085" s="38">
        <f>IFERROR(VLOOKUP(A:A,[1]APO!$A:$F,6,0),)</f>
        <v>0</v>
      </c>
      <c r="L1085" s="38">
        <f>IFERROR(VLOOKUP(C:C,'[1]TOTAL APO'!$A:$B,2,0),)</f>
        <v>0</v>
      </c>
      <c r="M1085" s="38">
        <f>IFERROR(VLOOKUP(A:A,[1]Short!$A:$Q,17,0),)</f>
        <v>0</v>
      </c>
      <c r="N1085" s="38">
        <f>IFERROR(VLOOKUP(C:C,[1]GIT!$B:$D,3,0),)</f>
        <v>0</v>
      </c>
      <c r="O1085" s="38">
        <f>IFERROR(VLOOKUP(A:A,[2]Sheet1!$A:$B,2,0),)</f>
        <v>0</v>
      </c>
      <c r="P1085" s="38">
        <f>IFERROR(VLOOKUP(A:A,[2]Sheet1!$A:$B,2,0),)</f>
        <v>0</v>
      </c>
      <c r="Q1085" s="38">
        <f t="shared" si="16"/>
        <v>0</v>
      </c>
      <c r="R1085" s="38"/>
      <c r="S1085" s="38"/>
    </row>
    <row r="1086" spans="1:19" hidden="1" x14ac:dyDescent="0.25">
      <c r="A1086" s="38" t="str">
        <f>F1086&amp;C1086</f>
        <v/>
      </c>
      <c r="B1086" s="38" t="str">
        <f>IF(J1086&gt;=SUMIFS(E:E,C:C,C1086),"Good to go","Short in Qty")</f>
        <v>Good to go</v>
      </c>
      <c r="C1086" s="40"/>
      <c r="D1086" s="40"/>
      <c r="E1086" s="66"/>
      <c r="F1086" s="38"/>
      <c r="G1086" s="40"/>
      <c r="H1086" s="38"/>
      <c r="I1086" s="38"/>
      <c r="J1086" s="38">
        <f>IFERROR(VLOOKUP(C:C,'[1]S&amp;S'!$B:$F,5,0),)</f>
        <v>0</v>
      </c>
      <c r="K1086" s="38">
        <f>IFERROR(VLOOKUP(A:A,[1]APO!$A:$F,6,0),)</f>
        <v>0</v>
      </c>
      <c r="L1086" s="38">
        <f>IFERROR(VLOOKUP(C:C,'[1]TOTAL APO'!$A:$B,2,0),)</f>
        <v>0</v>
      </c>
      <c r="M1086" s="38">
        <f>IFERROR(VLOOKUP(A:A,[1]Short!$A:$Q,17,0),)</f>
        <v>0</v>
      </c>
      <c r="N1086" s="38">
        <f>IFERROR(VLOOKUP(C:C,[1]GIT!$B:$D,3,0),)</f>
        <v>0</v>
      </c>
      <c r="O1086" s="38">
        <f>IFERROR(VLOOKUP(A:A,[2]Sheet1!$A:$B,2,0),)</f>
        <v>0</v>
      </c>
      <c r="P1086" s="38">
        <f>IFERROR(VLOOKUP(A:A,[2]Sheet1!$A:$B,2,0),)</f>
        <v>0</v>
      </c>
      <c r="Q1086" s="38">
        <f t="shared" si="16"/>
        <v>0</v>
      </c>
      <c r="R1086" s="38"/>
      <c r="S1086" s="38"/>
    </row>
    <row r="1087" spans="1:19" hidden="1" x14ac:dyDescent="0.25">
      <c r="A1087" s="38" t="str">
        <f>F1087&amp;C1087</f>
        <v/>
      </c>
      <c r="B1087" s="38" t="str">
        <f>IF(J1087&gt;=SUMIFS(E:E,C:C,C1087),"Good to go","Short in Qty")</f>
        <v>Good to go</v>
      </c>
      <c r="C1087" s="40"/>
      <c r="D1087" s="40"/>
      <c r="E1087" s="66"/>
      <c r="F1087" s="38"/>
      <c r="G1087" s="40"/>
      <c r="H1087" s="38"/>
      <c r="I1087" s="38"/>
      <c r="J1087" s="38">
        <f>IFERROR(VLOOKUP(C:C,'[1]S&amp;S'!$B:$F,5,0),)</f>
        <v>0</v>
      </c>
      <c r="K1087" s="38">
        <f>IFERROR(VLOOKUP(A:A,[1]APO!$A:$F,6,0),)</f>
        <v>0</v>
      </c>
      <c r="L1087" s="38">
        <f>IFERROR(VLOOKUP(C:C,'[1]TOTAL APO'!$A:$B,2,0),)</f>
        <v>0</v>
      </c>
      <c r="M1087" s="38">
        <f>IFERROR(VLOOKUP(A:A,[1]Short!$A:$Q,17,0),)</f>
        <v>0</v>
      </c>
      <c r="N1087" s="38">
        <f>IFERROR(VLOOKUP(C:C,[1]GIT!$B:$D,3,0),)</f>
        <v>0</v>
      </c>
      <c r="O1087" s="38">
        <f>IFERROR(VLOOKUP(A:A,[2]Sheet1!$A:$B,2,0),)</f>
        <v>0</v>
      </c>
      <c r="P1087" s="38">
        <f>IFERROR(VLOOKUP(A:A,[2]Sheet1!$A:$B,2,0),)</f>
        <v>0</v>
      </c>
      <c r="Q1087" s="38">
        <f t="shared" si="16"/>
        <v>0</v>
      </c>
      <c r="R1087" s="38"/>
      <c r="S1087" s="38"/>
    </row>
    <row r="1088" spans="1:19" hidden="1" x14ac:dyDescent="0.25">
      <c r="A1088" s="38" t="str">
        <f>F1088&amp;C1088</f>
        <v/>
      </c>
      <c r="B1088" s="38" t="str">
        <f>IF(J1088&gt;=SUMIFS(E:E,C:C,C1088),"Good to go","Short in Qty")</f>
        <v>Good to go</v>
      </c>
      <c r="C1088" s="40"/>
      <c r="D1088" s="40"/>
      <c r="E1088" s="66"/>
      <c r="F1088" s="38"/>
      <c r="G1088" s="40"/>
      <c r="H1088" s="38"/>
      <c r="I1088" s="38"/>
      <c r="J1088" s="38">
        <f>IFERROR(VLOOKUP(C:C,'[1]S&amp;S'!$B:$F,5,0),)</f>
        <v>0</v>
      </c>
      <c r="K1088" s="38">
        <f>IFERROR(VLOOKUP(A:A,[1]APO!$A:$F,6,0),)</f>
        <v>0</v>
      </c>
      <c r="L1088" s="38">
        <f>IFERROR(VLOOKUP(C:C,'[1]TOTAL APO'!$A:$B,2,0),)</f>
        <v>0</v>
      </c>
      <c r="M1088" s="38">
        <f>IFERROR(VLOOKUP(A:A,[1]Short!$A:$Q,17,0),)</f>
        <v>0</v>
      </c>
      <c r="N1088" s="38">
        <f>IFERROR(VLOOKUP(C:C,[1]GIT!$B:$D,3,0),)</f>
        <v>0</v>
      </c>
      <c r="O1088" s="38">
        <f>IFERROR(VLOOKUP(A:A,[2]Sheet1!$A:$B,2,0),)</f>
        <v>0</v>
      </c>
      <c r="P1088" s="38">
        <f>IFERROR(VLOOKUP(A:A,[2]Sheet1!$A:$B,2,0),)</f>
        <v>0</v>
      </c>
      <c r="Q1088" s="38">
        <f t="shared" si="16"/>
        <v>0</v>
      </c>
      <c r="R1088" s="38"/>
      <c r="S1088" s="38"/>
    </row>
    <row r="1089" spans="1:19" hidden="1" x14ac:dyDescent="0.25">
      <c r="A1089" s="38" t="str">
        <f>F1089&amp;C1089</f>
        <v/>
      </c>
      <c r="B1089" s="38" t="str">
        <f>IF(J1089&gt;=SUMIFS(E:E,C:C,C1089),"Good to go","Short in Qty")</f>
        <v>Good to go</v>
      </c>
      <c r="C1089" s="40"/>
      <c r="D1089" s="40"/>
      <c r="E1089" s="66"/>
      <c r="F1089" s="38"/>
      <c r="G1089" s="40"/>
      <c r="H1089" s="38"/>
      <c r="I1089" s="38"/>
      <c r="J1089" s="38">
        <f>IFERROR(VLOOKUP(C:C,'[1]S&amp;S'!$B:$F,5,0),)</f>
        <v>0</v>
      </c>
      <c r="K1089" s="38">
        <f>IFERROR(VLOOKUP(A:A,[1]APO!$A:$F,6,0),)</f>
        <v>0</v>
      </c>
      <c r="L1089" s="38">
        <f>IFERROR(VLOOKUP(C:C,'[1]TOTAL APO'!$A:$B,2,0),)</f>
        <v>0</v>
      </c>
      <c r="M1089" s="38">
        <f>IFERROR(VLOOKUP(A:A,[1]Short!$A:$Q,17,0),)</f>
        <v>0</v>
      </c>
      <c r="N1089" s="38">
        <f>IFERROR(VLOOKUP(C:C,[1]GIT!$B:$D,3,0),)</f>
        <v>0</v>
      </c>
      <c r="O1089" s="38">
        <f>IFERROR(VLOOKUP(A:A,[2]Sheet1!$A:$B,2,0),)</f>
        <v>0</v>
      </c>
      <c r="P1089" s="38">
        <f>IFERROR(VLOOKUP(A:A,[2]Sheet1!$A:$B,2,0),)</f>
        <v>0</v>
      </c>
      <c r="Q1089" s="38">
        <f t="shared" si="16"/>
        <v>0</v>
      </c>
      <c r="R1089" s="38"/>
      <c r="S1089" s="38"/>
    </row>
    <row r="1090" spans="1:19" hidden="1" x14ac:dyDescent="0.25">
      <c r="A1090" s="38" t="str">
        <f>F1090&amp;C1090</f>
        <v/>
      </c>
      <c r="B1090" s="38" t="str">
        <f>IF(J1090&gt;=SUMIFS(E:E,C:C,C1090),"Good to go","Short in Qty")</f>
        <v>Good to go</v>
      </c>
      <c r="C1090" s="40"/>
      <c r="D1090" s="40"/>
      <c r="E1090" s="66"/>
      <c r="F1090" s="38"/>
      <c r="G1090" s="40"/>
      <c r="H1090" s="38"/>
      <c r="I1090" s="38"/>
      <c r="J1090" s="38">
        <f>IFERROR(VLOOKUP(C:C,'[1]S&amp;S'!$B:$F,5,0),)</f>
        <v>0</v>
      </c>
      <c r="K1090" s="38">
        <f>IFERROR(VLOOKUP(A:A,[1]APO!$A:$F,6,0),)</f>
        <v>0</v>
      </c>
      <c r="L1090" s="38">
        <f>IFERROR(VLOOKUP(C:C,'[1]TOTAL APO'!$A:$B,2,0),)</f>
        <v>0</v>
      </c>
      <c r="M1090" s="38">
        <f>IFERROR(VLOOKUP(A:A,[1]Short!$A:$Q,17,0),)</f>
        <v>0</v>
      </c>
      <c r="N1090" s="38">
        <f>IFERROR(VLOOKUP(C:C,[1]GIT!$B:$D,3,0),)</f>
        <v>0</v>
      </c>
      <c r="O1090" s="38">
        <f>IFERROR(VLOOKUP(A:A,[2]Sheet1!$A:$B,2,0),)</f>
        <v>0</v>
      </c>
      <c r="P1090" s="38">
        <f>IFERROR(VLOOKUP(A:A,[2]Sheet1!$A:$B,2,0),)</f>
        <v>0</v>
      </c>
      <c r="Q1090" s="38">
        <f t="shared" si="16"/>
        <v>0</v>
      </c>
      <c r="R1090" s="38"/>
      <c r="S1090" s="38"/>
    </row>
    <row r="1091" spans="1:19" hidden="1" x14ac:dyDescent="0.25">
      <c r="A1091" s="38" t="str">
        <f>F1091&amp;C1091</f>
        <v/>
      </c>
      <c r="B1091" s="38" t="str">
        <f>IF(J1091&gt;=SUMIFS(E:E,C:C,C1091),"Good to go","Short in Qty")</f>
        <v>Good to go</v>
      </c>
      <c r="C1091" s="40"/>
      <c r="D1091" s="40"/>
      <c r="E1091" s="66"/>
      <c r="F1091" s="38"/>
      <c r="G1091" s="40"/>
      <c r="H1091" s="38"/>
      <c r="I1091" s="38"/>
      <c r="J1091" s="38">
        <f>IFERROR(VLOOKUP(C:C,'[1]S&amp;S'!$B:$F,5,0),)</f>
        <v>0</v>
      </c>
      <c r="K1091" s="38">
        <f>IFERROR(VLOOKUP(A:A,[1]APO!$A:$F,6,0),)</f>
        <v>0</v>
      </c>
      <c r="L1091" s="38">
        <f>IFERROR(VLOOKUP(C:C,'[1]TOTAL APO'!$A:$B,2,0),)</f>
        <v>0</v>
      </c>
      <c r="M1091" s="38">
        <f>IFERROR(VLOOKUP(A:A,[1]Short!$A:$Q,17,0),)</f>
        <v>0</v>
      </c>
      <c r="N1091" s="38">
        <f>IFERROR(VLOOKUP(C:C,[1]GIT!$B:$D,3,0),)</f>
        <v>0</v>
      </c>
      <c r="O1091" s="38">
        <f>IFERROR(VLOOKUP(A:A,[2]Sheet1!$A:$B,2,0),)</f>
        <v>0</v>
      </c>
      <c r="P1091" s="38">
        <f>IFERROR(VLOOKUP(A:A,[2]Sheet1!$A:$B,2,0),)</f>
        <v>0</v>
      </c>
      <c r="Q1091" s="38">
        <f t="shared" ref="Q1091:Q1130" si="17">+E1091-P1091</f>
        <v>0</v>
      </c>
      <c r="R1091" s="38"/>
      <c r="S1091" s="38"/>
    </row>
    <row r="1092" spans="1:19" hidden="1" x14ac:dyDescent="0.25">
      <c r="A1092" s="38" t="str">
        <f>F1092&amp;C1092</f>
        <v/>
      </c>
      <c r="B1092" s="38" t="str">
        <f>IF(J1092&gt;=SUMIFS(E:E,C:C,C1092),"Good to go","Short in Qty")</f>
        <v>Good to go</v>
      </c>
      <c r="C1092" s="40"/>
      <c r="D1092" s="40"/>
      <c r="E1092" s="66"/>
      <c r="F1092" s="38"/>
      <c r="G1092" s="40"/>
      <c r="H1092" s="38"/>
      <c r="I1092" s="38"/>
      <c r="J1092" s="38">
        <f>IFERROR(VLOOKUP(C:C,'[1]S&amp;S'!$B:$F,5,0),)</f>
        <v>0</v>
      </c>
      <c r="K1092" s="38">
        <f>IFERROR(VLOOKUP(A:A,[1]APO!$A:$F,6,0),)</f>
        <v>0</v>
      </c>
      <c r="L1092" s="38">
        <f>IFERROR(VLOOKUP(C:C,'[1]TOTAL APO'!$A:$B,2,0),)</f>
        <v>0</v>
      </c>
      <c r="M1092" s="38">
        <f>IFERROR(VLOOKUP(A:A,[1]Short!$A:$Q,17,0),)</f>
        <v>0</v>
      </c>
      <c r="N1092" s="38">
        <f>IFERROR(VLOOKUP(C:C,[1]GIT!$B:$D,3,0),)</f>
        <v>0</v>
      </c>
      <c r="O1092" s="38">
        <f>IFERROR(VLOOKUP(A:A,[2]Sheet1!$A:$B,2,0),)</f>
        <v>0</v>
      </c>
      <c r="P1092" s="38">
        <f>IFERROR(VLOOKUP(A:A,[2]Sheet1!$A:$B,2,0),)</f>
        <v>0</v>
      </c>
      <c r="Q1092" s="38">
        <f t="shared" si="17"/>
        <v>0</v>
      </c>
      <c r="R1092" s="38"/>
      <c r="S1092" s="38"/>
    </row>
    <row r="1093" spans="1:19" hidden="1" x14ac:dyDescent="0.25">
      <c r="A1093" s="38" t="str">
        <f>F1093&amp;C1093</f>
        <v/>
      </c>
      <c r="B1093" s="38" t="str">
        <f>IF(J1093&gt;=SUMIFS(E:E,C:C,C1093),"Good to go","Short in Qty")</f>
        <v>Good to go</v>
      </c>
      <c r="C1093" s="40"/>
      <c r="D1093" s="40"/>
      <c r="E1093" s="66"/>
      <c r="F1093" s="38"/>
      <c r="G1093" s="40"/>
      <c r="H1093" s="38"/>
      <c r="I1093" s="38"/>
      <c r="J1093" s="38">
        <f>IFERROR(VLOOKUP(C:C,'[1]S&amp;S'!$B:$F,5,0),)</f>
        <v>0</v>
      </c>
      <c r="K1093" s="38">
        <f>IFERROR(VLOOKUP(A:A,[1]APO!$A:$F,6,0),)</f>
        <v>0</v>
      </c>
      <c r="L1093" s="38">
        <f>IFERROR(VLOOKUP(C:C,'[1]TOTAL APO'!$A:$B,2,0),)</f>
        <v>0</v>
      </c>
      <c r="M1093" s="38">
        <f>IFERROR(VLOOKUP(A:A,[1]Short!$A:$Q,17,0),)</f>
        <v>0</v>
      </c>
      <c r="N1093" s="38">
        <f>IFERROR(VLOOKUP(C:C,[1]GIT!$B:$D,3,0),)</f>
        <v>0</v>
      </c>
      <c r="O1093" s="38">
        <f>IFERROR(VLOOKUP(A:A,[2]Sheet1!$A:$B,2,0),)</f>
        <v>0</v>
      </c>
      <c r="P1093" s="38">
        <f>IFERROR(VLOOKUP(A:A,[2]Sheet1!$A:$B,2,0),)</f>
        <v>0</v>
      </c>
      <c r="Q1093" s="38">
        <f t="shared" si="17"/>
        <v>0</v>
      </c>
      <c r="R1093" s="38"/>
      <c r="S1093" s="38"/>
    </row>
    <row r="1094" spans="1:19" hidden="1" x14ac:dyDescent="0.25">
      <c r="A1094" s="38" t="str">
        <f>F1094&amp;C1094</f>
        <v/>
      </c>
      <c r="B1094" s="38" t="str">
        <f>IF(J1094&gt;=SUMIFS(E:E,C:C,C1094),"Good to go","Short in Qty")</f>
        <v>Good to go</v>
      </c>
      <c r="C1094" s="40"/>
      <c r="D1094" s="40"/>
      <c r="E1094" s="66"/>
      <c r="F1094" s="38"/>
      <c r="G1094" s="40"/>
      <c r="H1094" s="38"/>
      <c r="I1094" s="38"/>
      <c r="J1094" s="38">
        <f>IFERROR(VLOOKUP(C:C,'[1]S&amp;S'!$B:$F,5,0),)</f>
        <v>0</v>
      </c>
      <c r="K1094" s="38">
        <f>IFERROR(VLOOKUP(A:A,[1]APO!$A:$F,6,0),)</f>
        <v>0</v>
      </c>
      <c r="L1094" s="38">
        <f>IFERROR(VLOOKUP(C:C,'[1]TOTAL APO'!$A:$B,2,0),)</f>
        <v>0</v>
      </c>
      <c r="M1094" s="38">
        <f>IFERROR(VLOOKUP(A:A,[1]Short!$A:$Q,17,0),)</f>
        <v>0</v>
      </c>
      <c r="N1094" s="38">
        <f>IFERROR(VLOOKUP(C:C,[1]GIT!$B:$D,3,0),)</f>
        <v>0</v>
      </c>
      <c r="O1094" s="38">
        <f>IFERROR(VLOOKUP(A:A,[2]Sheet1!$A:$B,2,0),)</f>
        <v>0</v>
      </c>
      <c r="P1094" s="38">
        <f>IFERROR(VLOOKUP(A:A,[2]Sheet1!$A:$B,2,0),)</f>
        <v>0</v>
      </c>
      <c r="Q1094" s="38">
        <f t="shared" si="17"/>
        <v>0</v>
      </c>
      <c r="R1094" s="38"/>
      <c r="S1094" s="38"/>
    </row>
    <row r="1095" spans="1:19" hidden="1" x14ac:dyDescent="0.25">
      <c r="A1095" s="38" t="str">
        <f>F1095&amp;C1095</f>
        <v/>
      </c>
      <c r="B1095" s="38" t="str">
        <f>IF(J1095&gt;=SUMIFS(E:E,C:C,C1095),"Good to go","Short in Qty")</f>
        <v>Good to go</v>
      </c>
      <c r="C1095" s="40"/>
      <c r="D1095" s="40"/>
      <c r="E1095" s="66"/>
      <c r="F1095" s="38"/>
      <c r="G1095" s="40"/>
      <c r="H1095" s="38"/>
      <c r="I1095" s="38"/>
      <c r="J1095" s="38">
        <f>IFERROR(VLOOKUP(C:C,'[1]S&amp;S'!$B:$F,5,0),)</f>
        <v>0</v>
      </c>
      <c r="K1095" s="38">
        <f>IFERROR(VLOOKUP(A:A,[1]APO!$A:$F,6,0),)</f>
        <v>0</v>
      </c>
      <c r="L1095" s="38">
        <f>IFERROR(VLOOKUP(C:C,'[1]TOTAL APO'!$A:$B,2,0),)</f>
        <v>0</v>
      </c>
      <c r="M1095" s="38">
        <f>IFERROR(VLOOKUP(A:A,[1]Short!$A:$Q,17,0),)</f>
        <v>0</v>
      </c>
      <c r="N1095" s="38">
        <f>IFERROR(VLOOKUP(C:C,[1]GIT!$B:$D,3,0),)</f>
        <v>0</v>
      </c>
      <c r="O1095" s="38">
        <f>IFERROR(VLOOKUP(A:A,[2]Sheet1!$A:$B,2,0),)</f>
        <v>0</v>
      </c>
      <c r="P1095" s="38">
        <f>IFERROR(VLOOKUP(A:A,[2]Sheet1!$A:$B,2,0),)</f>
        <v>0</v>
      </c>
      <c r="Q1095" s="38">
        <f t="shared" si="17"/>
        <v>0</v>
      </c>
      <c r="R1095" s="38"/>
      <c r="S1095" s="38"/>
    </row>
    <row r="1096" spans="1:19" hidden="1" x14ac:dyDescent="0.25">
      <c r="A1096" s="38" t="str">
        <f>F1096&amp;C1096</f>
        <v/>
      </c>
      <c r="B1096" s="38" t="str">
        <f>IF(J1096&gt;=SUMIFS(E:E,C:C,C1096),"Good to go","Short in Qty")</f>
        <v>Good to go</v>
      </c>
      <c r="C1096" s="40"/>
      <c r="D1096" s="40"/>
      <c r="E1096" s="66"/>
      <c r="F1096" s="38"/>
      <c r="G1096" s="40"/>
      <c r="H1096" s="38"/>
      <c r="I1096" s="38"/>
      <c r="J1096" s="38">
        <f>IFERROR(VLOOKUP(C:C,'[1]S&amp;S'!$B:$F,5,0),)</f>
        <v>0</v>
      </c>
      <c r="K1096" s="38">
        <f>IFERROR(VLOOKUP(A:A,[1]APO!$A:$F,6,0),)</f>
        <v>0</v>
      </c>
      <c r="L1096" s="38">
        <f>IFERROR(VLOOKUP(C:C,'[1]TOTAL APO'!$A:$B,2,0),)</f>
        <v>0</v>
      </c>
      <c r="M1096" s="38">
        <f>IFERROR(VLOOKUP(A:A,[1]Short!$A:$Q,17,0),)</f>
        <v>0</v>
      </c>
      <c r="N1096" s="38">
        <f>IFERROR(VLOOKUP(C:C,[1]GIT!$B:$D,3,0),)</f>
        <v>0</v>
      </c>
      <c r="O1096" s="38">
        <f>IFERROR(VLOOKUP(A:A,[2]Sheet1!$A:$B,2,0),)</f>
        <v>0</v>
      </c>
      <c r="P1096" s="38">
        <f>IFERROR(VLOOKUP(A:A,[2]Sheet1!$A:$B,2,0),)</f>
        <v>0</v>
      </c>
      <c r="Q1096" s="38">
        <f t="shared" si="17"/>
        <v>0</v>
      </c>
      <c r="R1096" s="38"/>
      <c r="S1096" s="38"/>
    </row>
    <row r="1097" spans="1:19" hidden="1" x14ac:dyDescent="0.25">
      <c r="A1097" s="38" t="str">
        <f>F1097&amp;C1097</f>
        <v/>
      </c>
      <c r="B1097" s="38" t="str">
        <f>IF(J1097&gt;=SUMIFS(E:E,C:C,C1097),"Good to go","Short in Qty")</f>
        <v>Good to go</v>
      </c>
      <c r="C1097" s="40"/>
      <c r="D1097" s="40"/>
      <c r="E1097" s="66"/>
      <c r="F1097" s="38"/>
      <c r="G1097" s="40"/>
      <c r="H1097" s="38"/>
      <c r="I1097" s="38"/>
      <c r="J1097" s="38">
        <f>IFERROR(VLOOKUP(C:C,'[1]S&amp;S'!$B:$F,5,0),)</f>
        <v>0</v>
      </c>
      <c r="K1097" s="38">
        <f>IFERROR(VLOOKUP(A:A,[1]APO!$A:$F,6,0),)</f>
        <v>0</v>
      </c>
      <c r="L1097" s="38">
        <f>IFERROR(VLOOKUP(C:C,'[1]TOTAL APO'!$A:$B,2,0),)</f>
        <v>0</v>
      </c>
      <c r="M1097" s="38">
        <f>IFERROR(VLOOKUP(A:A,[1]Short!$A:$Q,17,0),)</f>
        <v>0</v>
      </c>
      <c r="N1097" s="38">
        <f>IFERROR(VLOOKUP(C:C,[1]GIT!$B:$D,3,0),)</f>
        <v>0</v>
      </c>
      <c r="O1097" s="38">
        <f>IFERROR(VLOOKUP(A:A,[2]Sheet1!$A:$B,2,0),)</f>
        <v>0</v>
      </c>
      <c r="P1097" s="38">
        <f>IFERROR(VLOOKUP(A:A,[2]Sheet1!$A:$B,2,0),)</f>
        <v>0</v>
      </c>
      <c r="Q1097" s="38">
        <f t="shared" si="17"/>
        <v>0</v>
      </c>
      <c r="R1097" s="38"/>
      <c r="S1097" s="38"/>
    </row>
    <row r="1098" spans="1:19" hidden="1" x14ac:dyDescent="0.25">
      <c r="A1098" s="38" t="str">
        <f>F1098&amp;C1098</f>
        <v/>
      </c>
      <c r="B1098" s="38" t="str">
        <f>IF(J1098&gt;=SUMIFS(E:E,C:C,C1098),"Good to go","Short in Qty")</f>
        <v>Good to go</v>
      </c>
      <c r="C1098" s="40"/>
      <c r="D1098" s="40"/>
      <c r="E1098" s="66"/>
      <c r="F1098" s="38"/>
      <c r="G1098" s="40"/>
      <c r="H1098" s="38"/>
      <c r="I1098" s="38"/>
      <c r="J1098" s="38">
        <f>IFERROR(VLOOKUP(C:C,'[1]S&amp;S'!$B:$F,5,0),)</f>
        <v>0</v>
      </c>
      <c r="K1098" s="38">
        <f>IFERROR(VLOOKUP(A:A,[1]APO!$A:$F,6,0),)</f>
        <v>0</v>
      </c>
      <c r="L1098" s="38">
        <f>IFERROR(VLOOKUP(C:C,'[1]TOTAL APO'!$A:$B,2,0),)</f>
        <v>0</v>
      </c>
      <c r="M1098" s="38">
        <f>IFERROR(VLOOKUP(A:A,[1]Short!$A:$Q,17,0),)</f>
        <v>0</v>
      </c>
      <c r="N1098" s="38">
        <f>IFERROR(VLOOKUP(C:C,[1]GIT!$B:$D,3,0),)</f>
        <v>0</v>
      </c>
      <c r="O1098" s="38">
        <f>IFERROR(VLOOKUP(A:A,[2]Sheet1!$A:$B,2,0),)</f>
        <v>0</v>
      </c>
      <c r="P1098" s="38">
        <f>IFERROR(VLOOKUP(A:A,[2]Sheet1!$A:$B,2,0),)</f>
        <v>0</v>
      </c>
      <c r="Q1098" s="38">
        <f t="shared" si="17"/>
        <v>0</v>
      </c>
      <c r="R1098" s="38"/>
      <c r="S1098" s="38"/>
    </row>
    <row r="1099" spans="1:19" hidden="1" x14ac:dyDescent="0.25">
      <c r="A1099" s="38" t="str">
        <f>F1099&amp;C1099</f>
        <v/>
      </c>
      <c r="B1099" s="38" t="str">
        <f>IF(J1099&gt;=SUMIFS(E:E,C:C,C1099),"Good to go","Short in Qty")</f>
        <v>Good to go</v>
      </c>
      <c r="C1099" s="40"/>
      <c r="D1099" s="40"/>
      <c r="E1099" s="66"/>
      <c r="F1099" s="38"/>
      <c r="G1099" s="40"/>
      <c r="H1099" s="38"/>
      <c r="I1099" s="38"/>
      <c r="J1099" s="38">
        <f>IFERROR(VLOOKUP(C:C,'[1]S&amp;S'!$B:$F,5,0),)</f>
        <v>0</v>
      </c>
      <c r="K1099" s="38">
        <f>IFERROR(VLOOKUP(A:A,[1]APO!$A:$F,6,0),)</f>
        <v>0</v>
      </c>
      <c r="L1099" s="38">
        <f>IFERROR(VLOOKUP(C:C,'[1]TOTAL APO'!$A:$B,2,0),)</f>
        <v>0</v>
      </c>
      <c r="M1099" s="38">
        <f>IFERROR(VLOOKUP(A:A,[1]Short!$A:$Q,17,0),)</f>
        <v>0</v>
      </c>
      <c r="N1099" s="38">
        <f>IFERROR(VLOOKUP(C:C,[1]GIT!$B:$D,3,0),)</f>
        <v>0</v>
      </c>
      <c r="O1099" s="38">
        <f>IFERROR(VLOOKUP(A:A,[2]Sheet1!$A:$B,2,0),)</f>
        <v>0</v>
      </c>
      <c r="P1099" s="38">
        <f>IFERROR(VLOOKUP(A:A,[2]Sheet1!$A:$B,2,0),)</f>
        <v>0</v>
      </c>
      <c r="Q1099" s="38">
        <f t="shared" si="17"/>
        <v>0</v>
      </c>
      <c r="R1099" s="38"/>
      <c r="S1099" s="38"/>
    </row>
    <row r="1100" spans="1:19" hidden="1" x14ac:dyDescent="0.25">
      <c r="A1100" s="38" t="str">
        <f>F1100&amp;C1100</f>
        <v/>
      </c>
      <c r="B1100" s="38" t="str">
        <f>IF(J1100&gt;=SUMIFS(E:E,C:C,C1100),"Good to go","Short in Qty")</f>
        <v>Good to go</v>
      </c>
      <c r="C1100" s="40"/>
      <c r="D1100" s="40"/>
      <c r="E1100" s="66"/>
      <c r="F1100" s="38"/>
      <c r="G1100" s="40"/>
      <c r="H1100" s="38"/>
      <c r="I1100" s="38"/>
      <c r="J1100" s="38">
        <f>IFERROR(VLOOKUP(C:C,'[1]S&amp;S'!$B:$F,5,0),)</f>
        <v>0</v>
      </c>
      <c r="K1100" s="38">
        <f>IFERROR(VLOOKUP(A:A,[1]APO!$A:$F,6,0),)</f>
        <v>0</v>
      </c>
      <c r="L1100" s="38">
        <f>IFERROR(VLOOKUP(C:C,'[1]TOTAL APO'!$A:$B,2,0),)</f>
        <v>0</v>
      </c>
      <c r="M1100" s="38">
        <f>IFERROR(VLOOKUP(A:A,[1]Short!$A:$Q,17,0),)</f>
        <v>0</v>
      </c>
      <c r="N1100" s="38">
        <f>IFERROR(VLOOKUP(C:C,[1]GIT!$B:$D,3,0),)</f>
        <v>0</v>
      </c>
      <c r="O1100" s="38">
        <f>IFERROR(VLOOKUP(A:A,[2]Sheet1!$A:$B,2,0),)</f>
        <v>0</v>
      </c>
      <c r="P1100" s="38">
        <f>IFERROR(VLOOKUP(A:A,[2]Sheet1!$A:$B,2,0),)</f>
        <v>0</v>
      </c>
      <c r="Q1100" s="38">
        <f t="shared" si="17"/>
        <v>0</v>
      </c>
      <c r="R1100" s="38"/>
      <c r="S1100" s="38"/>
    </row>
    <row r="1101" spans="1:19" hidden="1" x14ac:dyDescent="0.25">
      <c r="A1101" s="38" t="str">
        <f>F1101&amp;C1101</f>
        <v/>
      </c>
      <c r="B1101" s="38" t="str">
        <f>IF(J1101&gt;=SUMIFS(E:E,C:C,C1101),"Good to go","Short in Qty")</f>
        <v>Good to go</v>
      </c>
      <c r="C1101" s="40"/>
      <c r="D1101" s="40"/>
      <c r="E1101" s="66"/>
      <c r="F1101" s="38"/>
      <c r="G1101" s="40"/>
      <c r="H1101" s="38"/>
      <c r="I1101" s="38"/>
      <c r="J1101" s="38">
        <f>IFERROR(VLOOKUP(C:C,'[1]S&amp;S'!$B:$F,5,0),)</f>
        <v>0</v>
      </c>
      <c r="K1101" s="38">
        <f>IFERROR(VLOOKUP(A:A,[1]APO!$A:$F,6,0),)</f>
        <v>0</v>
      </c>
      <c r="L1101" s="38">
        <f>IFERROR(VLOOKUP(C:C,'[1]TOTAL APO'!$A:$B,2,0),)</f>
        <v>0</v>
      </c>
      <c r="M1101" s="38">
        <f>IFERROR(VLOOKUP(A:A,[1]Short!$A:$Q,17,0),)</f>
        <v>0</v>
      </c>
      <c r="N1101" s="38">
        <f>IFERROR(VLOOKUP(C:C,[1]GIT!$B:$D,3,0),)</f>
        <v>0</v>
      </c>
      <c r="O1101" s="38">
        <f>IFERROR(VLOOKUP(A:A,[2]Sheet1!$A:$B,2,0),)</f>
        <v>0</v>
      </c>
      <c r="P1101" s="38">
        <f>IFERROR(VLOOKUP(A:A,[2]Sheet1!$A:$B,2,0),)</f>
        <v>0</v>
      </c>
      <c r="Q1101" s="38">
        <f t="shared" si="17"/>
        <v>0</v>
      </c>
      <c r="R1101" s="38"/>
      <c r="S1101" s="38"/>
    </row>
    <row r="1102" spans="1:19" hidden="1" x14ac:dyDescent="0.25">
      <c r="A1102" s="38" t="str">
        <f>F1102&amp;C1102</f>
        <v/>
      </c>
      <c r="B1102" s="38" t="str">
        <f>IF(J1102&gt;=SUMIFS(E:E,C:C,C1102),"Good to go","Short in Qty")</f>
        <v>Good to go</v>
      </c>
      <c r="C1102" s="40"/>
      <c r="D1102" s="40"/>
      <c r="E1102" s="66"/>
      <c r="F1102" s="38"/>
      <c r="G1102" s="40"/>
      <c r="H1102" s="38"/>
      <c r="I1102" s="38"/>
      <c r="J1102" s="38">
        <f>IFERROR(VLOOKUP(C:C,'[1]S&amp;S'!$B:$F,5,0),)</f>
        <v>0</v>
      </c>
      <c r="K1102" s="38">
        <f>IFERROR(VLOOKUP(A:A,[1]APO!$A:$F,6,0),)</f>
        <v>0</v>
      </c>
      <c r="L1102" s="38">
        <f>IFERROR(VLOOKUP(C:C,'[1]TOTAL APO'!$A:$B,2,0),)</f>
        <v>0</v>
      </c>
      <c r="M1102" s="38">
        <f>IFERROR(VLOOKUP(A:A,[1]Short!$A:$Q,17,0),)</f>
        <v>0</v>
      </c>
      <c r="N1102" s="38">
        <f>IFERROR(VLOOKUP(C:C,[1]GIT!$B:$D,3,0),)</f>
        <v>0</v>
      </c>
      <c r="O1102" s="38">
        <f>IFERROR(VLOOKUP(A:A,[2]Sheet1!$A:$B,2,0),)</f>
        <v>0</v>
      </c>
      <c r="P1102" s="38">
        <f>IFERROR(VLOOKUP(A:A,[2]Sheet1!$A:$B,2,0),)</f>
        <v>0</v>
      </c>
      <c r="Q1102" s="38">
        <f t="shared" si="17"/>
        <v>0</v>
      </c>
      <c r="R1102" s="38"/>
      <c r="S1102" s="38"/>
    </row>
    <row r="1103" spans="1:19" hidden="1" x14ac:dyDescent="0.25">
      <c r="A1103" s="38" t="str">
        <f>F1103&amp;C1103</f>
        <v/>
      </c>
      <c r="B1103" s="38" t="str">
        <f>IF(J1103&gt;=SUMIFS(E:E,C:C,C1103),"Good to go","Short in Qty")</f>
        <v>Good to go</v>
      </c>
      <c r="C1103" s="40"/>
      <c r="D1103" s="40"/>
      <c r="E1103" s="66"/>
      <c r="F1103" s="38"/>
      <c r="G1103" s="40"/>
      <c r="H1103" s="38"/>
      <c r="I1103" s="38"/>
      <c r="J1103" s="38">
        <f>IFERROR(VLOOKUP(C:C,'[1]S&amp;S'!$B:$F,5,0),)</f>
        <v>0</v>
      </c>
      <c r="K1103" s="38">
        <f>IFERROR(VLOOKUP(A:A,[1]APO!$A:$F,6,0),)</f>
        <v>0</v>
      </c>
      <c r="L1103" s="38">
        <f>IFERROR(VLOOKUP(C:C,'[1]TOTAL APO'!$A:$B,2,0),)</f>
        <v>0</v>
      </c>
      <c r="M1103" s="38">
        <f>IFERROR(VLOOKUP(A:A,[1]Short!$A:$Q,17,0),)</f>
        <v>0</v>
      </c>
      <c r="N1103" s="38">
        <f>IFERROR(VLOOKUP(C:C,[1]GIT!$B:$D,3,0),)</f>
        <v>0</v>
      </c>
      <c r="O1103" s="38">
        <f>IFERROR(VLOOKUP(A:A,[2]Sheet1!$A:$B,2,0),)</f>
        <v>0</v>
      </c>
      <c r="P1103" s="38">
        <f>IFERROR(VLOOKUP(A:A,[2]Sheet1!$A:$B,2,0),)</f>
        <v>0</v>
      </c>
      <c r="Q1103" s="38">
        <f t="shared" si="17"/>
        <v>0</v>
      </c>
      <c r="R1103" s="38"/>
      <c r="S1103" s="38"/>
    </row>
    <row r="1104" spans="1:19" hidden="1" x14ac:dyDescent="0.25">
      <c r="A1104" s="38" t="str">
        <f>F1104&amp;C1104</f>
        <v/>
      </c>
      <c r="B1104" s="38" t="str">
        <f>IF(J1104&gt;=SUMIFS(E:E,C:C,C1104),"Good to go","Short in Qty")</f>
        <v>Good to go</v>
      </c>
      <c r="C1104" s="40"/>
      <c r="D1104" s="40"/>
      <c r="E1104" s="66"/>
      <c r="F1104" s="38"/>
      <c r="G1104" s="40"/>
      <c r="H1104" s="38"/>
      <c r="I1104" s="38"/>
      <c r="J1104" s="38">
        <f>IFERROR(VLOOKUP(C:C,'[1]S&amp;S'!$B:$F,5,0),)</f>
        <v>0</v>
      </c>
      <c r="K1104" s="38">
        <f>IFERROR(VLOOKUP(A:A,[1]APO!$A:$F,6,0),)</f>
        <v>0</v>
      </c>
      <c r="L1104" s="38">
        <f>IFERROR(VLOOKUP(C:C,'[1]TOTAL APO'!$A:$B,2,0),)</f>
        <v>0</v>
      </c>
      <c r="M1104" s="38">
        <f>IFERROR(VLOOKUP(A:A,[1]Short!$A:$Q,17,0),)</f>
        <v>0</v>
      </c>
      <c r="N1104" s="38">
        <f>IFERROR(VLOOKUP(C:C,[1]GIT!$B:$D,3,0),)</f>
        <v>0</v>
      </c>
      <c r="O1104" s="38">
        <f>IFERROR(VLOOKUP(A:A,[2]Sheet1!$A:$B,2,0),)</f>
        <v>0</v>
      </c>
      <c r="P1104" s="38">
        <f>IFERROR(VLOOKUP(A:A,[2]Sheet1!$A:$B,2,0),)</f>
        <v>0</v>
      </c>
      <c r="Q1104" s="38">
        <f t="shared" si="17"/>
        <v>0</v>
      </c>
      <c r="R1104" s="38"/>
      <c r="S1104" s="38"/>
    </row>
    <row r="1105" spans="1:19" hidden="1" x14ac:dyDescent="0.25">
      <c r="A1105" s="38" t="str">
        <f>F1105&amp;C1105</f>
        <v/>
      </c>
      <c r="B1105" s="38" t="str">
        <f>IF(J1105&gt;=SUMIFS(E:E,C:C,C1105),"Good to go","Short in Qty")</f>
        <v>Good to go</v>
      </c>
      <c r="C1105" s="40"/>
      <c r="D1105" s="40"/>
      <c r="E1105" s="66"/>
      <c r="F1105" s="38"/>
      <c r="G1105" s="40"/>
      <c r="H1105" s="38"/>
      <c r="I1105" s="38"/>
      <c r="J1105" s="38">
        <f>IFERROR(VLOOKUP(C:C,'[1]S&amp;S'!$B:$F,5,0),)</f>
        <v>0</v>
      </c>
      <c r="K1105" s="38">
        <f>IFERROR(VLOOKUP(A:A,[1]APO!$A:$F,6,0),)</f>
        <v>0</v>
      </c>
      <c r="L1105" s="38">
        <f>IFERROR(VLOOKUP(C:C,'[1]TOTAL APO'!$A:$B,2,0),)</f>
        <v>0</v>
      </c>
      <c r="M1105" s="38">
        <f>IFERROR(VLOOKUP(A:A,[1]Short!$A:$Q,17,0),)</f>
        <v>0</v>
      </c>
      <c r="N1105" s="38">
        <f>IFERROR(VLOOKUP(C:C,[1]GIT!$B:$D,3,0),)</f>
        <v>0</v>
      </c>
      <c r="O1105" s="38">
        <f>IFERROR(VLOOKUP(A:A,[2]Sheet1!$A:$B,2,0),)</f>
        <v>0</v>
      </c>
      <c r="P1105" s="38">
        <f>IFERROR(VLOOKUP(A:A,[2]Sheet1!$A:$B,2,0),)</f>
        <v>0</v>
      </c>
      <c r="Q1105" s="38">
        <f t="shared" si="17"/>
        <v>0</v>
      </c>
      <c r="R1105" s="38"/>
      <c r="S1105" s="38"/>
    </row>
    <row r="1106" spans="1:19" hidden="1" x14ac:dyDescent="0.25">
      <c r="A1106" s="38" t="str">
        <f>F1106&amp;C1106</f>
        <v/>
      </c>
      <c r="B1106" s="38" t="str">
        <f>IF(J1106&gt;=SUMIFS(E:E,C:C,C1106),"Good to go","Short in Qty")</f>
        <v>Good to go</v>
      </c>
      <c r="C1106" s="40"/>
      <c r="D1106" s="40"/>
      <c r="E1106" s="66"/>
      <c r="F1106" s="38"/>
      <c r="G1106" s="40"/>
      <c r="H1106" s="38"/>
      <c r="I1106" s="38"/>
      <c r="J1106" s="38">
        <f>IFERROR(VLOOKUP(C:C,'[1]S&amp;S'!$B:$F,5,0),)</f>
        <v>0</v>
      </c>
      <c r="K1106" s="38">
        <f>IFERROR(VLOOKUP(A:A,[1]APO!$A:$F,6,0),)</f>
        <v>0</v>
      </c>
      <c r="L1106" s="38">
        <f>IFERROR(VLOOKUP(C:C,'[1]TOTAL APO'!$A:$B,2,0),)</f>
        <v>0</v>
      </c>
      <c r="M1106" s="38">
        <f>IFERROR(VLOOKUP(A:A,[1]Short!$A:$Q,17,0),)</f>
        <v>0</v>
      </c>
      <c r="N1106" s="38">
        <f>IFERROR(VLOOKUP(C:C,[1]GIT!$B:$D,3,0),)</f>
        <v>0</v>
      </c>
      <c r="O1106" s="38">
        <f>IFERROR(VLOOKUP(A:A,[2]Sheet1!$A:$B,2,0),)</f>
        <v>0</v>
      </c>
      <c r="P1106" s="38">
        <f>IFERROR(VLOOKUP(A:A,[2]Sheet1!$A:$B,2,0),)</f>
        <v>0</v>
      </c>
      <c r="Q1106" s="38">
        <f t="shared" si="17"/>
        <v>0</v>
      </c>
      <c r="R1106" s="38"/>
      <c r="S1106" s="38"/>
    </row>
    <row r="1107" spans="1:19" hidden="1" x14ac:dyDescent="0.25">
      <c r="A1107" s="38" t="str">
        <f>F1107&amp;C1107</f>
        <v/>
      </c>
      <c r="B1107" s="38" t="str">
        <f>IF(J1107&gt;=SUMIFS(E:E,C:C,C1107),"Good to go","Short in Qty")</f>
        <v>Good to go</v>
      </c>
      <c r="C1107" s="40"/>
      <c r="D1107" s="40"/>
      <c r="E1107" s="66"/>
      <c r="F1107" s="38"/>
      <c r="G1107" s="40"/>
      <c r="H1107" s="38"/>
      <c r="I1107" s="38"/>
      <c r="J1107" s="38">
        <f>IFERROR(VLOOKUP(C:C,'[1]S&amp;S'!$B:$F,5,0),)</f>
        <v>0</v>
      </c>
      <c r="K1107" s="38">
        <f>IFERROR(VLOOKUP(A:A,[1]APO!$A:$F,6,0),)</f>
        <v>0</v>
      </c>
      <c r="L1107" s="38">
        <f>IFERROR(VLOOKUP(C:C,'[1]TOTAL APO'!$A:$B,2,0),)</f>
        <v>0</v>
      </c>
      <c r="M1107" s="38">
        <f>IFERROR(VLOOKUP(A:A,[1]Short!$A:$Q,17,0),)</f>
        <v>0</v>
      </c>
      <c r="N1107" s="38">
        <f>IFERROR(VLOOKUP(C:C,[1]GIT!$B:$D,3,0),)</f>
        <v>0</v>
      </c>
      <c r="O1107" s="38">
        <f>IFERROR(VLOOKUP(A:A,[2]Sheet1!$A:$B,2,0),)</f>
        <v>0</v>
      </c>
      <c r="P1107" s="38">
        <f>IFERROR(VLOOKUP(A:A,[2]Sheet1!$A:$B,2,0),)</f>
        <v>0</v>
      </c>
      <c r="Q1107" s="38">
        <f t="shared" si="17"/>
        <v>0</v>
      </c>
      <c r="R1107" s="38"/>
      <c r="S1107" s="38"/>
    </row>
    <row r="1108" spans="1:19" hidden="1" x14ac:dyDescent="0.25">
      <c r="A1108" s="38" t="str">
        <f>F1108&amp;C1108</f>
        <v/>
      </c>
      <c r="B1108" s="38" t="str">
        <f>IF(J1108&gt;=SUMIFS(E:E,C:C,C1108),"Good to go","Short in Qty")</f>
        <v>Good to go</v>
      </c>
      <c r="C1108" s="40"/>
      <c r="D1108" s="40"/>
      <c r="E1108" s="66"/>
      <c r="F1108" s="38"/>
      <c r="G1108" s="40"/>
      <c r="H1108" s="38"/>
      <c r="I1108" s="38"/>
      <c r="J1108" s="38">
        <f>IFERROR(VLOOKUP(C:C,'[1]S&amp;S'!$B:$F,5,0),)</f>
        <v>0</v>
      </c>
      <c r="K1108" s="38">
        <f>IFERROR(VLOOKUP(A:A,[1]APO!$A:$F,6,0),)</f>
        <v>0</v>
      </c>
      <c r="L1108" s="38">
        <f>IFERROR(VLOOKUP(C:C,'[1]TOTAL APO'!$A:$B,2,0),)</f>
        <v>0</v>
      </c>
      <c r="M1108" s="38">
        <f>IFERROR(VLOOKUP(A:A,[1]Short!$A:$Q,17,0),)</f>
        <v>0</v>
      </c>
      <c r="N1108" s="38">
        <f>IFERROR(VLOOKUP(C:C,[1]GIT!$B:$D,3,0),)</f>
        <v>0</v>
      </c>
      <c r="O1108" s="38">
        <f>IFERROR(VLOOKUP(A:A,[2]Sheet1!$A:$B,2,0),)</f>
        <v>0</v>
      </c>
      <c r="P1108" s="38">
        <f>IFERROR(VLOOKUP(A:A,[2]Sheet1!$A:$B,2,0),)</f>
        <v>0</v>
      </c>
      <c r="Q1108" s="38">
        <f t="shared" si="17"/>
        <v>0</v>
      </c>
      <c r="R1108" s="38"/>
      <c r="S1108" s="38"/>
    </row>
    <row r="1109" spans="1:19" hidden="1" x14ac:dyDescent="0.25">
      <c r="A1109" s="38" t="str">
        <f>F1109&amp;C1109</f>
        <v/>
      </c>
      <c r="B1109" s="38" t="str">
        <f>IF(J1109&gt;=SUMIFS(E:E,C:C,C1109),"Good to go","Short in Qty")</f>
        <v>Good to go</v>
      </c>
      <c r="C1109" s="40"/>
      <c r="D1109" s="40"/>
      <c r="E1109" s="66"/>
      <c r="F1109" s="38"/>
      <c r="G1109" s="40"/>
      <c r="H1109" s="38"/>
      <c r="I1109" s="38"/>
      <c r="J1109" s="38">
        <f>IFERROR(VLOOKUP(C:C,'[1]S&amp;S'!$B:$F,5,0),)</f>
        <v>0</v>
      </c>
      <c r="K1109" s="38">
        <f>IFERROR(VLOOKUP(A:A,[1]APO!$A:$F,6,0),)</f>
        <v>0</v>
      </c>
      <c r="L1109" s="38">
        <f>IFERROR(VLOOKUP(C:C,'[1]TOTAL APO'!$A:$B,2,0),)</f>
        <v>0</v>
      </c>
      <c r="M1109" s="38">
        <f>IFERROR(VLOOKUP(A:A,[1]Short!$A:$Q,17,0),)</f>
        <v>0</v>
      </c>
      <c r="N1109" s="38">
        <f>IFERROR(VLOOKUP(C:C,[1]GIT!$B:$D,3,0),)</f>
        <v>0</v>
      </c>
      <c r="O1109" s="38">
        <f>IFERROR(VLOOKUP(A:A,[2]Sheet1!$A:$B,2,0),)</f>
        <v>0</v>
      </c>
      <c r="P1109" s="38">
        <f>IFERROR(VLOOKUP(A:A,[2]Sheet1!$A:$B,2,0),)</f>
        <v>0</v>
      </c>
      <c r="Q1109" s="38">
        <f t="shared" si="17"/>
        <v>0</v>
      </c>
      <c r="R1109" s="38"/>
      <c r="S1109" s="38"/>
    </row>
    <row r="1110" spans="1:19" hidden="1" x14ac:dyDescent="0.25">
      <c r="A1110" s="38" t="str">
        <f>F1110&amp;C1110</f>
        <v/>
      </c>
      <c r="B1110" s="38" t="str">
        <f>IF(J1110&gt;=SUMIFS(E:E,C:C,C1110),"Good to go","Short in Qty")</f>
        <v>Good to go</v>
      </c>
      <c r="C1110" s="40"/>
      <c r="D1110" s="40"/>
      <c r="E1110" s="66"/>
      <c r="F1110" s="38"/>
      <c r="G1110" s="40"/>
      <c r="H1110" s="38"/>
      <c r="I1110" s="38"/>
      <c r="J1110" s="38">
        <f>IFERROR(VLOOKUP(C:C,'[1]S&amp;S'!$B:$F,5,0),)</f>
        <v>0</v>
      </c>
      <c r="K1110" s="38">
        <f>IFERROR(VLOOKUP(A:A,[1]APO!$A:$F,6,0),)</f>
        <v>0</v>
      </c>
      <c r="L1110" s="38">
        <f>IFERROR(VLOOKUP(C:C,'[1]TOTAL APO'!$A:$B,2,0),)</f>
        <v>0</v>
      </c>
      <c r="M1110" s="38">
        <f>IFERROR(VLOOKUP(A:A,[1]Short!$A:$Q,17,0),)</f>
        <v>0</v>
      </c>
      <c r="N1110" s="38">
        <f>IFERROR(VLOOKUP(C:C,[1]GIT!$B:$D,3,0),)</f>
        <v>0</v>
      </c>
      <c r="O1110" s="38">
        <f>IFERROR(VLOOKUP(A:A,[2]Sheet1!$A:$B,2,0),)</f>
        <v>0</v>
      </c>
      <c r="P1110" s="38">
        <f>IFERROR(VLOOKUP(A:A,[2]Sheet1!$A:$B,2,0),)</f>
        <v>0</v>
      </c>
      <c r="Q1110" s="38">
        <f t="shared" si="17"/>
        <v>0</v>
      </c>
      <c r="R1110" s="38"/>
      <c r="S1110" s="38"/>
    </row>
    <row r="1111" spans="1:19" hidden="1" x14ac:dyDescent="0.25">
      <c r="A1111" s="38" t="str">
        <f>F1111&amp;C1111</f>
        <v/>
      </c>
      <c r="B1111" s="38" t="str">
        <f>IF(J1111&gt;=SUMIFS(E:E,C:C,C1111),"Good to go","Short in Qty")</f>
        <v>Good to go</v>
      </c>
      <c r="C1111" s="40"/>
      <c r="D1111" s="40"/>
      <c r="E1111" s="66"/>
      <c r="F1111" s="38"/>
      <c r="G1111" s="40"/>
      <c r="H1111" s="38"/>
      <c r="I1111" s="38"/>
      <c r="J1111" s="38">
        <f>IFERROR(VLOOKUP(C:C,'[1]S&amp;S'!$B:$F,5,0),)</f>
        <v>0</v>
      </c>
      <c r="K1111" s="38">
        <f>IFERROR(VLOOKUP(A:A,[1]APO!$A:$F,6,0),)</f>
        <v>0</v>
      </c>
      <c r="L1111" s="38">
        <f>IFERROR(VLOOKUP(C:C,'[1]TOTAL APO'!$A:$B,2,0),)</f>
        <v>0</v>
      </c>
      <c r="M1111" s="38">
        <f>IFERROR(VLOOKUP(A:A,[1]Short!$A:$Q,17,0),)</f>
        <v>0</v>
      </c>
      <c r="N1111" s="38">
        <f>IFERROR(VLOOKUP(C:C,[1]GIT!$B:$D,3,0),)</f>
        <v>0</v>
      </c>
      <c r="O1111" s="38">
        <f>IFERROR(VLOOKUP(A:A,[2]Sheet1!$A:$B,2,0),)</f>
        <v>0</v>
      </c>
      <c r="P1111" s="38">
        <f>IFERROR(VLOOKUP(A:A,[2]Sheet1!$A:$B,2,0),)</f>
        <v>0</v>
      </c>
      <c r="Q1111" s="38">
        <f t="shared" si="17"/>
        <v>0</v>
      </c>
      <c r="R1111" s="38"/>
      <c r="S1111" s="38"/>
    </row>
    <row r="1112" spans="1:19" hidden="1" x14ac:dyDescent="0.25">
      <c r="A1112" s="38" t="str">
        <f>F1112&amp;C1112</f>
        <v/>
      </c>
      <c r="B1112" s="38" t="str">
        <f>IF(J1112&gt;=SUMIFS(E:E,C:C,C1112),"Good to go","Short in Qty")</f>
        <v>Good to go</v>
      </c>
      <c r="C1112" s="40"/>
      <c r="D1112" s="40"/>
      <c r="E1112" s="66"/>
      <c r="F1112" s="38"/>
      <c r="G1112" s="40"/>
      <c r="H1112" s="38"/>
      <c r="I1112" s="38"/>
      <c r="J1112" s="38">
        <f>IFERROR(VLOOKUP(C:C,'[1]S&amp;S'!$B:$F,5,0),)</f>
        <v>0</v>
      </c>
      <c r="K1112" s="38">
        <f>IFERROR(VLOOKUP(A:A,[1]APO!$A:$F,6,0),)</f>
        <v>0</v>
      </c>
      <c r="L1112" s="38">
        <f>IFERROR(VLOOKUP(C:C,'[1]TOTAL APO'!$A:$B,2,0),)</f>
        <v>0</v>
      </c>
      <c r="M1112" s="38">
        <f>IFERROR(VLOOKUP(A:A,[1]Short!$A:$Q,17,0),)</f>
        <v>0</v>
      </c>
      <c r="N1112" s="38">
        <f>IFERROR(VLOOKUP(C:C,[1]GIT!$B:$D,3,0),)</f>
        <v>0</v>
      </c>
      <c r="O1112" s="38">
        <f>IFERROR(VLOOKUP(A:A,[2]Sheet1!$A:$B,2,0),)</f>
        <v>0</v>
      </c>
      <c r="P1112" s="38">
        <f>IFERROR(VLOOKUP(A:A,[2]Sheet1!$A:$B,2,0),)</f>
        <v>0</v>
      </c>
      <c r="Q1112" s="38">
        <f t="shared" si="17"/>
        <v>0</v>
      </c>
      <c r="R1112" s="38"/>
      <c r="S1112" s="38"/>
    </row>
    <row r="1113" spans="1:19" hidden="1" x14ac:dyDescent="0.25">
      <c r="A1113" s="38" t="str">
        <f>F1113&amp;C1113</f>
        <v/>
      </c>
      <c r="B1113" s="38" t="str">
        <f>IF(J1113&gt;=SUMIFS(E:E,C:C,C1113),"Good to go","Short in Qty")</f>
        <v>Good to go</v>
      </c>
      <c r="C1113" s="40"/>
      <c r="D1113" s="40"/>
      <c r="E1113" s="66"/>
      <c r="F1113" s="38"/>
      <c r="G1113" s="40"/>
      <c r="H1113" s="38"/>
      <c r="I1113" s="38"/>
      <c r="J1113" s="38">
        <f>IFERROR(VLOOKUP(C:C,'[1]S&amp;S'!$B:$F,5,0),)</f>
        <v>0</v>
      </c>
      <c r="K1113" s="38">
        <f>IFERROR(VLOOKUP(A:A,[1]APO!$A:$F,6,0),)</f>
        <v>0</v>
      </c>
      <c r="L1113" s="38">
        <f>IFERROR(VLOOKUP(C:C,'[1]TOTAL APO'!$A:$B,2,0),)</f>
        <v>0</v>
      </c>
      <c r="M1113" s="38">
        <f>IFERROR(VLOOKUP(A:A,[1]Short!$A:$Q,17,0),)</f>
        <v>0</v>
      </c>
      <c r="N1113" s="38">
        <f>IFERROR(VLOOKUP(C:C,[1]GIT!$B:$D,3,0),)</f>
        <v>0</v>
      </c>
      <c r="O1113" s="38">
        <f>IFERROR(VLOOKUP(A:A,[2]Sheet1!$A:$B,2,0),)</f>
        <v>0</v>
      </c>
      <c r="P1113" s="38">
        <f>IFERROR(VLOOKUP(A:A,[2]Sheet1!$A:$B,2,0),)</f>
        <v>0</v>
      </c>
      <c r="Q1113" s="38">
        <f t="shared" si="17"/>
        <v>0</v>
      </c>
      <c r="R1113" s="38"/>
      <c r="S1113" s="38"/>
    </row>
    <row r="1114" spans="1:19" hidden="1" x14ac:dyDescent="0.25">
      <c r="A1114" s="38" t="str">
        <f>F1114&amp;C1114</f>
        <v/>
      </c>
      <c r="B1114" s="38" t="str">
        <f>IF(J1114&gt;=SUMIFS(E:E,C:C,C1114),"Good to go","Short in Qty")</f>
        <v>Good to go</v>
      </c>
      <c r="C1114" s="40"/>
      <c r="D1114" s="40"/>
      <c r="E1114" s="66"/>
      <c r="F1114" s="38"/>
      <c r="G1114" s="40"/>
      <c r="H1114" s="38"/>
      <c r="I1114" s="38"/>
      <c r="J1114" s="38">
        <f>IFERROR(VLOOKUP(C:C,'[1]S&amp;S'!$B:$F,5,0),)</f>
        <v>0</v>
      </c>
      <c r="K1114" s="38">
        <f>IFERROR(VLOOKUP(A:A,[1]APO!$A:$F,6,0),)</f>
        <v>0</v>
      </c>
      <c r="L1114" s="38">
        <f>IFERROR(VLOOKUP(C:C,'[1]TOTAL APO'!$A:$B,2,0),)</f>
        <v>0</v>
      </c>
      <c r="M1114" s="38">
        <f>IFERROR(VLOOKUP(A:A,[1]Short!$A:$Q,17,0),)</f>
        <v>0</v>
      </c>
      <c r="N1114" s="38">
        <f>IFERROR(VLOOKUP(C:C,[1]GIT!$B:$D,3,0),)</f>
        <v>0</v>
      </c>
      <c r="O1114" s="38">
        <f>IFERROR(VLOOKUP(A:A,[2]Sheet1!$A:$B,2,0),)</f>
        <v>0</v>
      </c>
      <c r="P1114" s="38">
        <f>IFERROR(VLOOKUP(A:A,[2]Sheet1!$A:$B,2,0),)</f>
        <v>0</v>
      </c>
      <c r="Q1114" s="38">
        <f t="shared" si="17"/>
        <v>0</v>
      </c>
      <c r="R1114" s="38"/>
      <c r="S1114" s="38"/>
    </row>
    <row r="1115" spans="1:19" hidden="1" x14ac:dyDescent="0.25">
      <c r="A1115" s="38" t="str">
        <f>F1115&amp;C1115</f>
        <v/>
      </c>
      <c r="B1115" s="38" t="str">
        <f>IF(J1115&gt;=SUMIFS(E:E,C:C,C1115),"Good to go","Short in Qty")</f>
        <v>Good to go</v>
      </c>
      <c r="C1115" s="40"/>
      <c r="D1115" s="40"/>
      <c r="E1115" s="66"/>
      <c r="F1115" s="38"/>
      <c r="G1115" s="40"/>
      <c r="H1115" s="38"/>
      <c r="I1115" s="38"/>
      <c r="J1115" s="38">
        <f>IFERROR(VLOOKUP(C:C,'[1]S&amp;S'!$B:$F,5,0),)</f>
        <v>0</v>
      </c>
      <c r="K1115" s="38">
        <f>IFERROR(VLOOKUP(A:A,[1]APO!$A:$F,6,0),)</f>
        <v>0</v>
      </c>
      <c r="L1115" s="38">
        <f>IFERROR(VLOOKUP(C:C,'[1]TOTAL APO'!$A:$B,2,0),)</f>
        <v>0</v>
      </c>
      <c r="M1115" s="38">
        <f>IFERROR(VLOOKUP(A:A,[1]Short!$A:$Q,17,0),)</f>
        <v>0</v>
      </c>
      <c r="N1115" s="38">
        <f>IFERROR(VLOOKUP(C:C,[1]GIT!$B:$D,3,0),)</f>
        <v>0</v>
      </c>
      <c r="O1115" s="38">
        <f>IFERROR(VLOOKUP(A:A,[2]Sheet1!$A:$B,2,0),)</f>
        <v>0</v>
      </c>
      <c r="P1115" s="38">
        <f>IFERROR(VLOOKUP(A:A,[2]Sheet1!$A:$B,2,0),)</f>
        <v>0</v>
      </c>
      <c r="Q1115" s="38">
        <f t="shared" si="17"/>
        <v>0</v>
      </c>
      <c r="R1115" s="38"/>
      <c r="S1115" s="38"/>
    </row>
    <row r="1116" spans="1:19" hidden="1" x14ac:dyDescent="0.25">
      <c r="A1116" s="38" t="str">
        <f>F1116&amp;C1116</f>
        <v/>
      </c>
      <c r="B1116" s="38" t="str">
        <f>IF(J1116&gt;=SUMIFS(E:E,C:C,C1116),"Good to go","Short in Qty")</f>
        <v>Good to go</v>
      </c>
      <c r="C1116" s="40"/>
      <c r="D1116" s="40"/>
      <c r="E1116" s="66"/>
      <c r="F1116" s="38"/>
      <c r="G1116" s="40"/>
      <c r="H1116" s="38"/>
      <c r="I1116" s="38"/>
      <c r="J1116" s="38">
        <f>IFERROR(VLOOKUP(C:C,'[1]S&amp;S'!$B:$F,5,0),)</f>
        <v>0</v>
      </c>
      <c r="K1116" s="38">
        <f>IFERROR(VLOOKUP(A:A,[1]APO!$A:$F,6,0),)</f>
        <v>0</v>
      </c>
      <c r="L1116" s="38">
        <f>IFERROR(VLOOKUP(C:C,'[1]TOTAL APO'!$A:$B,2,0),)</f>
        <v>0</v>
      </c>
      <c r="M1116" s="38">
        <f>IFERROR(VLOOKUP(A:A,[1]Short!$A:$Q,17,0),)</f>
        <v>0</v>
      </c>
      <c r="N1116" s="38">
        <f>IFERROR(VLOOKUP(C:C,[1]GIT!$B:$D,3,0),)</f>
        <v>0</v>
      </c>
      <c r="O1116" s="38">
        <f>IFERROR(VLOOKUP(A:A,[2]Sheet1!$A:$B,2,0),)</f>
        <v>0</v>
      </c>
      <c r="P1116" s="38">
        <f>IFERROR(VLOOKUP(A:A,[2]Sheet1!$A:$B,2,0),)</f>
        <v>0</v>
      </c>
      <c r="Q1116" s="38">
        <f t="shared" si="17"/>
        <v>0</v>
      </c>
      <c r="R1116" s="38"/>
      <c r="S1116" s="38"/>
    </row>
    <row r="1117" spans="1:19" hidden="1" x14ac:dyDescent="0.25">
      <c r="A1117" s="38" t="str">
        <f>F1117&amp;C1117</f>
        <v/>
      </c>
      <c r="B1117" s="38" t="str">
        <f>IF(J1117&gt;=SUMIFS(E:E,C:C,C1117),"Good to go","Short in Qty")</f>
        <v>Good to go</v>
      </c>
      <c r="C1117" s="40"/>
      <c r="D1117" s="40"/>
      <c r="E1117" s="66"/>
      <c r="F1117" s="38"/>
      <c r="G1117" s="40"/>
      <c r="H1117" s="38"/>
      <c r="I1117" s="38"/>
      <c r="J1117" s="38">
        <f>IFERROR(VLOOKUP(C:C,'[1]S&amp;S'!$B:$F,5,0),)</f>
        <v>0</v>
      </c>
      <c r="K1117" s="38">
        <f>IFERROR(VLOOKUP(A:A,[1]APO!$A:$F,6,0),)</f>
        <v>0</v>
      </c>
      <c r="L1117" s="38">
        <f>IFERROR(VLOOKUP(C:C,'[1]TOTAL APO'!$A:$B,2,0),)</f>
        <v>0</v>
      </c>
      <c r="M1117" s="38">
        <f>IFERROR(VLOOKUP(A:A,[1]Short!$A:$Q,17,0),)</f>
        <v>0</v>
      </c>
      <c r="N1117" s="38">
        <f>IFERROR(VLOOKUP(C:C,[1]GIT!$B:$D,3,0),)</f>
        <v>0</v>
      </c>
      <c r="O1117" s="38">
        <f>IFERROR(VLOOKUP(A:A,[2]Sheet1!$A:$B,2,0),)</f>
        <v>0</v>
      </c>
      <c r="P1117" s="38">
        <f>IFERROR(VLOOKUP(A:A,[2]Sheet1!$A:$B,2,0),)</f>
        <v>0</v>
      </c>
      <c r="Q1117" s="38">
        <f t="shared" si="17"/>
        <v>0</v>
      </c>
      <c r="R1117" s="38"/>
      <c r="S1117" s="38"/>
    </row>
    <row r="1118" spans="1:19" hidden="1" x14ac:dyDescent="0.25">
      <c r="A1118" s="38" t="str">
        <f>F1118&amp;C1118</f>
        <v/>
      </c>
      <c r="B1118" s="38" t="str">
        <f>IF(J1118&gt;=SUMIFS(E:E,C:C,C1118),"Good to go","Short in Qty")</f>
        <v>Good to go</v>
      </c>
      <c r="C1118" s="40"/>
      <c r="D1118" s="40"/>
      <c r="E1118" s="66"/>
      <c r="F1118" s="38"/>
      <c r="G1118" s="40"/>
      <c r="H1118" s="38"/>
      <c r="I1118" s="38"/>
      <c r="J1118" s="38">
        <f>IFERROR(VLOOKUP(C:C,'[1]S&amp;S'!$B:$F,5,0),)</f>
        <v>0</v>
      </c>
      <c r="K1118" s="38">
        <f>IFERROR(VLOOKUP(A:A,[1]APO!$A:$F,6,0),)</f>
        <v>0</v>
      </c>
      <c r="L1118" s="38">
        <f>IFERROR(VLOOKUP(C:C,'[1]TOTAL APO'!$A:$B,2,0),)</f>
        <v>0</v>
      </c>
      <c r="M1118" s="38">
        <f>IFERROR(VLOOKUP(A:A,[1]Short!$A:$Q,17,0),)</f>
        <v>0</v>
      </c>
      <c r="N1118" s="38">
        <f>IFERROR(VLOOKUP(C:C,[1]GIT!$B:$D,3,0),)</f>
        <v>0</v>
      </c>
      <c r="O1118" s="38">
        <f>IFERROR(VLOOKUP(A:A,[2]Sheet1!$A:$B,2,0),)</f>
        <v>0</v>
      </c>
      <c r="P1118" s="38">
        <f>IFERROR(VLOOKUP(A:A,[2]Sheet1!$A:$B,2,0),)</f>
        <v>0</v>
      </c>
      <c r="Q1118" s="38">
        <f t="shared" si="17"/>
        <v>0</v>
      </c>
      <c r="R1118" s="38"/>
      <c r="S1118" s="38"/>
    </row>
    <row r="1119" spans="1:19" hidden="1" x14ac:dyDescent="0.25">
      <c r="A1119" s="38" t="str">
        <f>F1119&amp;C1119</f>
        <v/>
      </c>
      <c r="B1119" s="38" t="str">
        <f>IF(J1119&gt;=SUMIFS(E:E,C:C,C1119),"Good to go","Short in Qty")</f>
        <v>Good to go</v>
      </c>
      <c r="C1119" s="40"/>
      <c r="D1119" s="40"/>
      <c r="E1119" s="66"/>
      <c r="F1119" s="38"/>
      <c r="G1119" s="40"/>
      <c r="H1119" s="38"/>
      <c r="I1119" s="38"/>
      <c r="J1119" s="38">
        <f>IFERROR(VLOOKUP(C:C,'[1]S&amp;S'!$B:$F,5,0),)</f>
        <v>0</v>
      </c>
      <c r="K1119" s="38">
        <f>IFERROR(VLOOKUP(A:A,[1]APO!$A:$F,6,0),)</f>
        <v>0</v>
      </c>
      <c r="L1119" s="38">
        <f>IFERROR(VLOOKUP(C:C,'[1]TOTAL APO'!$A:$B,2,0),)</f>
        <v>0</v>
      </c>
      <c r="M1119" s="38">
        <f>IFERROR(VLOOKUP(A:A,[1]Short!$A:$Q,17,0),)</f>
        <v>0</v>
      </c>
      <c r="N1119" s="38">
        <f>IFERROR(VLOOKUP(C:C,[1]GIT!$B:$D,3,0),)</f>
        <v>0</v>
      </c>
      <c r="O1119" s="38">
        <f>IFERROR(VLOOKUP(A:A,[2]Sheet1!$A:$B,2,0),)</f>
        <v>0</v>
      </c>
      <c r="P1119" s="38">
        <f>IFERROR(VLOOKUP(A:A,[2]Sheet1!$A:$B,2,0),)</f>
        <v>0</v>
      </c>
      <c r="Q1119" s="38">
        <f t="shared" si="17"/>
        <v>0</v>
      </c>
      <c r="R1119" s="38"/>
      <c r="S1119" s="38"/>
    </row>
    <row r="1120" spans="1:19" hidden="1" x14ac:dyDescent="0.25">
      <c r="A1120" s="38" t="str">
        <f>F1120&amp;C1120</f>
        <v/>
      </c>
      <c r="B1120" s="38" t="str">
        <f>IF(J1120&gt;=SUMIFS(E:E,C:C,C1120),"Good to go","Short in Qty")</f>
        <v>Good to go</v>
      </c>
      <c r="C1120" s="40"/>
      <c r="D1120" s="40"/>
      <c r="E1120" s="66"/>
      <c r="F1120" s="38"/>
      <c r="G1120" s="40"/>
      <c r="H1120" s="38"/>
      <c r="I1120" s="38"/>
      <c r="J1120" s="38">
        <f>IFERROR(VLOOKUP(C:C,'[1]S&amp;S'!$B:$F,5,0),)</f>
        <v>0</v>
      </c>
      <c r="K1120" s="38">
        <f>IFERROR(VLOOKUP(A:A,[1]APO!$A:$F,6,0),)</f>
        <v>0</v>
      </c>
      <c r="L1120" s="38">
        <f>IFERROR(VLOOKUP(C:C,'[1]TOTAL APO'!$A:$B,2,0),)</f>
        <v>0</v>
      </c>
      <c r="M1120" s="38">
        <f>IFERROR(VLOOKUP(A:A,[1]Short!$A:$Q,17,0),)</f>
        <v>0</v>
      </c>
      <c r="N1120" s="38">
        <f>IFERROR(VLOOKUP(C:C,[1]GIT!$B:$D,3,0),)</f>
        <v>0</v>
      </c>
      <c r="O1120" s="38">
        <f>IFERROR(VLOOKUP(A:A,[2]Sheet1!$A:$B,2,0),)</f>
        <v>0</v>
      </c>
      <c r="P1120" s="38">
        <f>IFERROR(VLOOKUP(A:A,[2]Sheet1!$A:$B,2,0),)</f>
        <v>0</v>
      </c>
      <c r="Q1120" s="38">
        <f t="shared" si="17"/>
        <v>0</v>
      </c>
      <c r="R1120" s="38"/>
      <c r="S1120" s="38"/>
    </row>
    <row r="1121" spans="1:19" hidden="1" x14ac:dyDescent="0.25">
      <c r="A1121" s="38" t="str">
        <f>F1121&amp;C1121</f>
        <v/>
      </c>
      <c r="B1121" s="38" t="str">
        <f>IF(J1121&gt;=SUMIFS(E:E,C:C,C1121),"Good to go","Short in Qty")</f>
        <v>Good to go</v>
      </c>
      <c r="C1121" s="40"/>
      <c r="D1121" s="40"/>
      <c r="E1121" s="66"/>
      <c r="F1121" s="38"/>
      <c r="G1121" s="40"/>
      <c r="H1121" s="38"/>
      <c r="I1121" s="38"/>
      <c r="J1121" s="38">
        <f>IFERROR(VLOOKUP(C:C,'[1]S&amp;S'!$B:$F,5,0),)</f>
        <v>0</v>
      </c>
      <c r="K1121" s="38">
        <f>IFERROR(VLOOKUP(A:A,[1]APO!$A:$F,6,0),)</f>
        <v>0</v>
      </c>
      <c r="L1121" s="38">
        <f>IFERROR(VLOOKUP(C:C,'[1]TOTAL APO'!$A:$B,2,0),)</f>
        <v>0</v>
      </c>
      <c r="M1121" s="38">
        <f>IFERROR(VLOOKUP(A:A,[1]Short!$A:$Q,17,0),)</f>
        <v>0</v>
      </c>
      <c r="N1121" s="38">
        <f>IFERROR(VLOOKUP(C:C,[1]GIT!$B:$D,3,0),)</f>
        <v>0</v>
      </c>
      <c r="O1121" s="38">
        <f>IFERROR(VLOOKUP(A:A,[2]Sheet1!$A:$B,2,0),)</f>
        <v>0</v>
      </c>
      <c r="P1121" s="38">
        <f>IFERROR(VLOOKUP(A:A,[2]Sheet1!$A:$B,2,0),)</f>
        <v>0</v>
      </c>
      <c r="Q1121" s="38">
        <f t="shared" si="17"/>
        <v>0</v>
      </c>
      <c r="R1121" s="38"/>
      <c r="S1121" s="38"/>
    </row>
    <row r="1122" spans="1:19" hidden="1" x14ac:dyDescent="0.25">
      <c r="A1122" s="38" t="str">
        <f>F1122&amp;C1122</f>
        <v/>
      </c>
      <c r="B1122" s="38" t="str">
        <f>IF(J1122&gt;=SUMIFS(E:E,C:C,C1122),"Good to go","Short in Qty")</f>
        <v>Good to go</v>
      </c>
      <c r="C1122" s="40"/>
      <c r="D1122" s="40"/>
      <c r="E1122" s="66"/>
      <c r="F1122" s="38"/>
      <c r="G1122" s="40"/>
      <c r="H1122" s="38"/>
      <c r="I1122" s="38"/>
      <c r="J1122" s="38">
        <f>IFERROR(VLOOKUP(C:C,'[1]S&amp;S'!$B:$F,5,0),)</f>
        <v>0</v>
      </c>
      <c r="K1122" s="38">
        <f>IFERROR(VLOOKUP(A:A,[1]APO!$A:$F,6,0),)</f>
        <v>0</v>
      </c>
      <c r="L1122" s="38">
        <f>IFERROR(VLOOKUP(C:C,'[1]TOTAL APO'!$A:$B,2,0),)</f>
        <v>0</v>
      </c>
      <c r="M1122" s="38">
        <f>IFERROR(VLOOKUP(A:A,[1]Short!$A:$Q,17,0),)</f>
        <v>0</v>
      </c>
      <c r="N1122" s="38">
        <f>IFERROR(VLOOKUP(C:C,[1]GIT!$B:$D,3,0),)</f>
        <v>0</v>
      </c>
      <c r="O1122" s="38">
        <f>IFERROR(VLOOKUP(A:A,[2]Sheet1!$A:$B,2,0),)</f>
        <v>0</v>
      </c>
      <c r="P1122" s="38">
        <f>IFERROR(VLOOKUP(A:A,[2]Sheet1!$A:$B,2,0),)</f>
        <v>0</v>
      </c>
      <c r="Q1122" s="38">
        <f t="shared" si="17"/>
        <v>0</v>
      </c>
      <c r="R1122" s="38"/>
      <c r="S1122" s="38"/>
    </row>
    <row r="1123" spans="1:19" hidden="1" x14ac:dyDescent="0.25">
      <c r="A1123" s="38" t="str">
        <f>F1123&amp;C1123</f>
        <v/>
      </c>
      <c r="B1123" s="38" t="str">
        <f>IF(J1123&gt;=SUMIFS(E:E,C:C,C1123),"Good to go","Short in Qty")</f>
        <v>Good to go</v>
      </c>
      <c r="C1123" s="40"/>
      <c r="D1123" s="40"/>
      <c r="E1123" s="66"/>
      <c r="F1123" s="38"/>
      <c r="G1123" s="40"/>
      <c r="H1123" s="38"/>
      <c r="I1123" s="38"/>
      <c r="J1123" s="38">
        <f>IFERROR(VLOOKUP(C:C,'[1]S&amp;S'!$B:$F,5,0),)</f>
        <v>0</v>
      </c>
      <c r="K1123" s="38">
        <f>IFERROR(VLOOKUP(A:A,[1]APO!$A:$F,6,0),)</f>
        <v>0</v>
      </c>
      <c r="L1123" s="38">
        <f>IFERROR(VLOOKUP(C:C,'[1]TOTAL APO'!$A:$B,2,0),)</f>
        <v>0</v>
      </c>
      <c r="M1123" s="38">
        <f>IFERROR(VLOOKUP(A:A,[1]Short!$A:$Q,17,0),)</f>
        <v>0</v>
      </c>
      <c r="N1123" s="38">
        <f>IFERROR(VLOOKUP(C:C,[1]GIT!$B:$D,3,0),)</f>
        <v>0</v>
      </c>
      <c r="O1123" s="38">
        <f>IFERROR(VLOOKUP(A:A,[2]Sheet1!$A:$B,2,0),)</f>
        <v>0</v>
      </c>
      <c r="P1123" s="38">
        <f>IFERROR(VLOOKUP(A:A,[2]Sheet1!$A:$B,2,0),)</f>
        <v>0</v>
      </c>
      <c r="Q1123" s="38">
        <f t="shared" si="17"/>
        <v>0</v>
      </c>
      <c r="R1123" s="38"/>
      <c r="S1123" s="38"/>
    </row>
    <row r="1124" spans="1:19" hidden="1" x14ac:dyDescent="0.25">
      <c r="A1124" s="38" t="str">
        <f>F1124&amp;C1124</f>
        <v/>
      </c>
      <c r="B1124" s="38" t="str">
        <f>IF(J1124&gt;=SUMIFS(E:E,C:C,C1124),"Good to go","Short in Qty")</f>
        <v>Good to go</v>
      </c>
      <c r="C1124" s="40"/>
      <c r="D1124" s="40"/>
      <c r="E1124" s="66"/>
      <c r="F1124" s="38"/>
      <c r="G1124" s="40"/>
      <c r="H1124" s="38"/>
      <c r="I1124" s="38"/>
      <c r="J1124" s="38">
        <f>IFERROR(VLOOKUP(C:C,'[1]S&amp;S'!$B:$F,5,0),)</f>
        <v>0</v>
      </c>
      <c r="K1124" s="38">
        <f>IFERROR(VLOOKUP(A:A,[1]APO!$A:$F,6,0),)</f>
        <v>0</v>
      </c>
      <c r="L1124" s="38">
        <f>IFERROR(VLOOKUP(C:C,'[1]TOTAL APO'!$A:$B,2,0),)</f>
        <v>0</v>
      </c>
      <c r="M1124" s="38">
        <f>IFERROR(VLOOKUP(A:A,[1]Short!$A:$Q,17,0),)</f>
        <v>0</v>
      </c>
      <c r="N1124" s="38">
        <f>IFERROR(VLOOKUP(C:C,[1]GIT!$B:$D,3,0),)</f>
        <v>0</v>
      </c>
      <c r="O1124" s="38">
        <f>IFERROR(VLOOKUP(A:A,[2]Sheet1!$A:$B,2,0),)</f>
        <v>0</v>
      </c>
      <c r="P1124" s="38">
        <f>IFERROR(VLOOKUP(A:A,[2]Sheet1!$A:$B,2,0),)</f>
        <v>0</v>
      </c>
      <c r="Q1124" s="38">
        <f t="shared" si="17"/>
        <v>0</v>
      </c>
      <c r="R1124" s="38"/>
      <c r="S1124" s="38"/>
    </row>
    <row r="1125" spans="1:19" hidden="1" x14ac:dyDescent="0.25">
      <c r="A1125" s="38" t="str">
        <f>F1125&amp;C1125</f>
        <v/>
      </c>
      <c r="B1125" s="38" t="str">
        <f>IF(J1125&gt;=SUMIFS(E:E,C:C,C1125),"Good to go","Short in Qty")</f>
        <v>Good to go</v>
      </c>
      <c r="C1125" s="40"/>
      <c r="D1125" s="40"/>
      <c r="E1125" s="66"/>
      <c r="F1125" s="38"/>
      <c r="G1125" s="40"/>
      <c r="H1125" s="38"/>
      <c r="I1125" s="38"/>
      <c r="J1125" s="38">
        <f>IFERROR(VLOOKUP(C:C,'[1]S&amp;S'!$B:$F,5,0),)</f>
        <v>0</v>
      </c>
      <c r="K1125" s="38">
        <f>IFERROR(VLOOKUP(A:A,[1]APO!$A:$F,6,0),)</f>
        <v>0</v>
      </c>
      <c r="L1125" s="38">
        <f>IFERROR(VLOOKUP(C:C,'[1]TOTAL APO'!$A:$B,2,0),)</f>
        <v>0</v>
      </c>
      <c r="M1125" s="38">
        <f>IFERROR(VLOOKUP(A:A,[1]Short!$A:$Q,17,0),)</f>
        <v>0</v>
      </c>
      <c r="N1125" s="38">
        <f>IFERROR(VLOOKUP(C:C,[1]GIT!$B:$D,3,0),)</f>
        <v>0</v>
      </c>
      <c r="O1125" s="38">
        <f>IFERROR(VLOOKUP(A:A,[2]Sheet1!$A:$B,2,0),)</f>
        <v>0</v>
      </c>
      <c r="P1125" s="38">
        <f>IFERROR(VLOOKUP(A:A,[2]Sheet1!$A:$B,2,0),)</f>
        <v>0</v>
      </c>
      <c r="Q1125" s="38">
        <f t="shared" si="17"/>
        <v>0</v>
      </c>
      <c r="R1125" s="38"/>
      <c r="S1125" s="38"/>
    </row>
    <row r="1126" spans="1:19" hidden="1" x14ac:dyDescent="0.25">
      <c r="A1126" s="38" t="str">
        <f>F1126&amp;C1126</f>
        <v/>
      </c>
      <c r="B1126" s="38" t="str">
        <f>IF(J1126&gt;=SUMIFS(E:E,C:C,C1126),"Good to go","Short in Qty")</f>
        <v>Good to go</v>
      </c>
      <c r="C1126" s="40"/>
      <c r="D1126" s="40"/>
      <c r="E1126" s="66"/>
      <c r="F1126" s="38"/>
      <c r="G1126" s="40"/>
      <c r="H1126" s="38"/>
      <c r="I1126" s="38"/>
      <c r="J1126" s="38">
        <f>IFERROR(VLOOKUP(C:C,'[1]S&amp;S'!$B:$F,5,0),)</f>
        <v>0</v>
      </c>
      <c r="K1126" s="38">
        <f>IFERROR(VLOOKUP(A:A,[1]APO!$A:$F,6,0),)</f>
        <v>0</v>
      </c>
      <c r="L1126" s="38">
        <f>IFERROR(VLOOKUP(C:C,'[1]TOTAL APO'!$A:$B,2,0),)</f>
        <v>0</v>
      </c>
      <c r="M1126" s="38">
        <f>IFERROR(VLOOKUP(A:A,[1]Short!$A:$Q,17,0),)</f>
        <v>0</v>
      </c>
      <c r="N1126" s="38">
        <f>IFERROR(VLOOKUP(C:C,[1]GIT!$B:$D,3,0),)</f>
        <v>0</v>
      </c>
      <c r="O1126" s="38">
        <f>IFERROR(VLOOKUP(A:A,[2]Sheet1!$A:$B,2,0),)</f>
        <v>0</v>
      </c>
      <c r="P1126" s="38">
        <f>IFERROR(VLOOKUP(A:A,[2]Sheet1!$A:$B,2,0),)</f>
        <v>0</v>
      </c>
      <c r="Q1126" s="38">
        <f t="shared" si="17"/>
        <v>0</v>
      </c>
      <c r="R1126" s="38"/>
      <c r="S1126" s="38"/>
    </row>
    <row r="1127" spans="1:19" hidden="1" x14ac:dyDescent="0.25">
      <c r="A1127" s="38" t="str">
        <f>F1127&amp;C1127</f>
        <v/>
      </c>
      <c r="B1127" s="38" t="str">
        <f>IF(J1127&gt;=SUMIFS(E:E,C:C,C1127),"Good to go","Short in Qty")</f>
        <v>Good to go</v>
      </c>
      <c r="C1127" s="40"/>
      <c r="D1127" s="40"/>
      <c r="E1127" s="66"/>
      <c r="F1127" s="38"/>
      <c r="G1127" s="40"/>
      <c r="H1127" s="38"/>
      <c r="I1127" s="38"/>
      <c r="J1127" s="38">
        <f>IFERROR(VLOOKUP(C:C,'[1]S&amp;S'!$B:$F,5,0),)</f>
        <v>0</v>
      </c>
      <c r="K1127" s="38">
        <f>IFERROR(VLOOKUP(A:A,[1]APO!$A:$F,6,0),)</f>
        <v>0</v>
      </c>
      <c r="L1127" s="38">
        <f>IFERROR(VLOOKUP(C:C,'[1]TOTAL APO'!$A:$B,2,0),)</f>
        <v>0</v>
      </c>
      <c r="M1127" s="38">
        <f>IFERROR(VLOOKUP(A:A,[1]Short!$A:$Q,17,0),)</f>
        <v>0</v>
      </c>
      <c r="N1127" s="38">
        <f>IFERROR(VLOOKUP(C:C,[1]GIT!$B:$D,3,0),)</f>
        <v>0</v>
      </c>
      <c r="O1127" s="38">
        <f>IFERROR(VLOOKUP(A:A,[2]Sheet1!$A:$B,2,0),)</f>
        <v>0</v>
      </c>
      <c r="P1127" s="38">
        <f>IFERROR(VLOOKUP(A:A,[2]Sheet1!$A:$B,2,0),)</f>
        <v>0</v>
      </c>
      <c r="Q1127" s="38">
        <f t="shared" si="17"/>
        <v>0</v>
      </c>
      <c r="R1127" s="38"/>
      <c r="S1127" s="38"/>
    </row>
    <row r="1128" spans="1:19" hidden="1" x14ac:dyDescent="0.25">
      <c r="A1128" s="38" t="str">
        <f>F1128&amp;C1128</f>
        <v/>
      </c>
      <c r="B1128" s="38" t="str">
        <f>IF(J1128&gt;=SUMIFS(E:E,C:C,C1128),"Good to go","Short in Qty")</f>
        <v>Good to go</v>
      </c>
      <c r="C1128" s="40"/>
      <c r="D1128" s="40"/>
      <c r="E1128" s="66"/>
      <c r="F1128" s="38"/>
      <c r="G1128" s="40"/>
      <c r="H1128" s="38"/>
      <c r="I1128" s="38"/>
      <c r="J1128" s="38">
        <f>IFERROR(VLOOKUP(C:C,'[1]S&amp;S'!$B:$F,5,0),)</f>
        <v>0</v>
      </c>
      <c r="K1128" s="38">
        <f>IFERROR(VLOOKUP(A:A,[1]APO!$A:$F,6,0),)</f>
        <v>0</v>
      </c>
      <c r="L1128" s="38">
        <f>IFERROR(VLOOKUP(C:C,'[1]TOTAL APO'!$A:$B,2,0),)</f>
        <v>0</v>
      </c>
      <c r="M1128" s="38">
        <f>IFERROR(VLOOKUP(A:A,[1]Short!$A:$Q,17,0),)</f>
        <v>0</v>
      </c>
      <c r="N1128" s="38">
        <f>IFERROR(VLOOKUP(C:C,[1]GIT!$B:$D,3,0),)</f>
        <v>0</v>
      </c>
      <c r="O1128" s="38">
        <f>IFERROR(VLOOKUP(A:A,[2]Sheet1!$A:$B,2,0),)</f>
        <v>0</v>
      </c>
      <c r="P1128" s="38">
        <f>IFERROR(VLOOKUP(A:A,[2]Sheet1!$A:$B,2,0),)</f>
        <v>0</v>
      </c>
      <c r="Q1128" s="38">
        <f t="shared" si="17"/>
        <v>0</v>
      </c>
      <c r="R1128" s="38"/>
      <c r="S1128" s="38"/>
    </row>
    <row r="1129" spans="1:19" hidden="1" x14ac:dyDescent="0.25">
      <c r="A1129" s="38" t="str">
        <f>F1129&amp;C1129</f>
        <v/>
      </c>
      <c r="B1129" s="38" t="str">
        <f>IF(J1129&gt;=SUMIFS(E:E,C:C,C1129),"Good to go","Short in Qty")</f>
        <v>Good to go</v>
      </c>
      <c r="C1129" s="40"/>
      <c r="D1129" s="40"/>
      <c r="E1129" s="66"/>
      <c r="F1129" s="38"/>
      <c r="G1129" s="40"/>
      <c r="H1129" s="38"/>
      <c r="I1129" s="38"/>
      <c r="J1129" s="38">
        <f>IFERROR(VLOOKUP(C:C,'[1]S&amp;S'!$B:$F,5,0),)</f>
        <v>0</v>
      </c>
      <c r="K1129" s="38">
        <f>IFERROR(VLOOKUP(A:A,[1]APO!$A:$F,6,0),)</f>
        <v>0</v>
      </c>
      <c r="L1129" s="38">
        <f>IFERROR(VLOOKUP(C:C,'[1]TOTAL APO'!$A:$B,2,0),)</f>
        <v>0</v>
      </c>
      <c r="M1129" s="38">
        <f>IFERROR(VLOOKUP(A:A,[1]Short!$A:$Q,17,0),)</f>
        <v>0</v>
      </c>
      <c r="N1129" s="38">
        <f>IFERROR(VLOOKUP(C:C,[1]GIT!$B:$D,3,0),)</f>
        <v>0</v>
      </c>
      <c r="O1129" s="38">
        <f>IFERROR(VLOOKUP(A:A,[2]Sheet1!$A:$B,2,0),)</f>
        <v>0</v>
      </c>
      <c r="P1129" s="38">
        <f>IFERROR(VLOOKUP(A:A,[2]Sheet1!$A:$B,2,0),)</f>
        <v>0</v>
      </c>
      <c r="Q1129" s="38">
        <f t="shared" si="17"/>
        <v>0</v>
      </c>
      <c r="R1129" s="38"/>
      <c r="S1129" s="38"/>
    </row>
    <row r="1130" spans="1:19" hidden="1" x14ac:dyDescent="0.25">
      <c r="A1130" s="38" t="str">
        <f>F1130&amp;C1130</f>
        <v/>
      </c>
      <c r="B1130" s="38" t="str">
        <f>IF(J1130&gt;=SUMIFS(E:E,C:C,C1130),"Good to go","Short in Qty")</f>
        <v>Good to go</v>
      </c>
      <c r="C1130" s="40"/>
      <c r="D1130" s="40"/>
      <c r="E1130" s="66"/>
      <c r="F1130" s="38"/>
      <c r="G1130" s="40"/>
      <c r="H1130" s="38"/>
      <c r="I1130" s="38"/>
      <c r="J1130" s="38">
        <f>IFERROR(VLOOKUP(C:C,'[1]S&amp;S'!$B:$F,5,0),)</f>
        <v>0</v>
      </c>
      <c r="K1130" s="38">
        <f>IFERROR(VLOOKUP(A:A,[1]APO!$A:$F,6,0),)</f>
        <v>0</v>
      </c>
      <c r="L1130" s="38">
        <f>IFERROR(VLOOKUP(C:C,'[1]TOTAL APO'!$A:$B,2,0),)</f>
        <v>0</v>
      </c>
      <c r="M1130" s="38">
        <f>IFERROR(VLOOKUP(A:A,[1]Short!$A:$Q,17,0),)</f>
        <v>0</v>
      </c>
      <c r="N1130" s="38">
        <f>IFERROR(VLOOKUP(C:C,[1]GIT!$B:$D,3,0),)</f>
        <v>0</v>
      </c>
      <c r="O1130" s="38">
        <f>IFERROR(VLOOKUP(A:A,[2]Sheet1!$A:$B,2,0),)</f>
        <v>0</v>
      </c>
      <c r="P1130" s="38">
        <f>IFERROR(VLOOKUP(A:A,[2]Sheet1!$A:$B,2,0),)</f>
        <v>0</v>
      </c>
      <c r="Q1130" s="38">
        <f t="shared" si="17"/>
        <v>0</v>
      </c>
      <c r="R1130" s="38"/>
      <c r="S1130" s="38"/>
    </row>
  </sheetData>
  <autoFilter ref="A1:S1130" xr:uid="{00000000-0001-0000-0200-000000000000}">
    <filterColumn colId="7">
      <filters>
        <filter val="Abhisekh M"/>
        <filter val="ADD plan"/>
        <filter val="Ajay Kitting"/>
        <filter val="CFA Purna"/>
        <filter val="Harshraj B"/>
        <filter val="Manoj Punjala"/>
        <filter val="Narendra"/>
        <filter val="RABI Sir"/>
        <filter val="Saqlain"/>
        <filter val="Transit Trail"/>
        <filter val="Vikram B"/>
        <filter val="Yogesh Sir"/>
      </filters>
    </filterColumn>
    <filterColumn colId="16">
      <filters>
        <filter val="1"/>
        <filter val="10"/>
        <filter val="100"/>
        <filter val="1000"/>
        <filter val="101"/>
        <filter val="11"/>
        <filter val="110"/>
        <filter val="115"/>
        <filter val="119"/>
        <filter val="12"/>
        <filter val="121"/>
        <filter val="124"/>
        <filter val="128"/>
        <filter val="13"/>
        <filter val="132"/>
        <filter val="134"/>
        <filter val="14"/>
        <filter val="140"/>
        <filter val="148"/>
        <filter val="15"/>
        <filter val="150"/>
        <filter val="1500"/>
        <filter val="16"/>
        <filter val="17"/>
        <filter val="170"/>
        <filter val="174"/>
        <filter val="175"/>
        <filter val="18"/>
        <filter val="187"/>
        <filter val="191"/>
        <filter val="2"/>
        <filter val="20"/>
        <filter val="206"/>
        <filter val="21"/>
        <filter val="213"/>
        <filter val="22"/>
        <filter val="2221"/>
        <filter val="23"/>
        <filter val="24"/>
        <filter val="242"/>
        <filter val="25"/>
        <filter val="250"/>
        <filter val="260"/>
        <filter val="261"/>
        <filter val="28"/>
        <filter val="29"/>
        <filter val="3"/>
        <filter val="30"/>
        <filter val="318"/>
        <filter val="32"/>
        <filter val="335"/>
        <filter val="338"/>
        <filter val="34"/>
        <filter val="35"/>
        <filter val="38"/>
        <filter val="398"/>
        <filter val="4"/>
        <filter val="40"/>
        <filter val="400"/>
        <filter val="408"/>
        <filter val="41"/>
        <filter val="42"/>
        <filter val="45"/>
        <filter val="47"/>
        <filter val="5"/>
        <filter val="50"/>
        <filter val="500"/>
        <filter val="510"/>
        <filter val="55"/>
        <filter val="56"/>
        <filter val="6"/>
        <filter val="60"/>
        <filter val="600"/>
        <filter val="616"/>
        <filter val="66"/>
        <filter val="7"/>
        <filter val="700"/>
        <filter val="74"/>
        <filter val="750"/>
        <filter val="76"/>
        <filter val="79"/>
        <filter val="8"/>
        <filter val="80"/>
        <filter val="81"/>
        <filter val="83"/>
        <filter val="9"/>
        <filter val="93"/>
        <filter val="95"/>
      </filters>
    </filterColumn>
  </autoFilter>
  <conditionalFormatting sqref="A1">
    <cfRule type="duplicateValues" dxfId="89" priority="2552"/>
  </conditionalFormatting>
  <conditionalFormatting sqref="A1:A1048576">
    <cfRule type="duplicateValues" dxfId="88" priority="2551"/>
  </conditionalFormatting>
  <conditionalFormatting sqref="C14:D14">
    <cfRule type="expression" dxfId="87" priority="61">
      <formula>$K14="I"</formula>
    </cfRule>
    <cfRule type="expression" dxfId="86" priority="62">
      <formula>$K14="H"</formula>
    </cfRule>
    <cfRule type="expression" dxfId="85" priority="63">
      <formula>$K14="G"</formula>
    </cfRule>
    <cfRule type="expression" dxfId="84" priority="64">
      <formula>$K14="F"</formula>
    </cfRule>
    <cfRule type="expression" dxfId="83" priority="65">
      <formula>$K14="E"</formula>
    </cfRule>
    <cfRule type="expression" dxfId="82" priority="66">
      <formula>$K14="W"</formula>
    </cfRule>
    <cfRule type="expression" dxfId="81" priority="67">
      <formula>$K14="D"</formula>
    </cfRule>
    <cfRule type="expression" dxfId="80" priority="68">
      <formula>$K14="B"</formula>
    </cfRule>
    <cfRule type="expression" dxfId="79" priority="69">
      <formula>$K14="A"</formula>
    </cfRule>
    <cfRule type="expression" dxfId="78" priority="70">
      <formula>$K14="C"</formula>
    </cfRule>
  </conditionalFormatting>
  <conditionalFormatting sqref="C150:D150">
    <cfRule type="expression" dxfId="77" priority="51">
      <formula>$L150="I"</formula>
    </cfRule>
    <cfRule type="expression" dxfId="76" priority="52">
      <formula>$L150="H"</formula>
    </cfRule>
    <cfRule type="expression" dxfId="75" priority="53">
      <formula>$L150="G"</formula>
    </cfRule>
    <cfRule type="expression" dxfId="74" priority="54">
      <formula>$L150="F"</formula>
    </cfRule>
    <cfRule type="expression" dxfId="73" priority="55">
      <formula>$L150="E"</formula>
    </cfRule>
    <cfRule type="expression" dxfId="72" priority="56">
      <formula>$L150="W"</formula>
    </cfRule>
    <cfRule type="expression" dxfId="71" priority="57">
      <formula>$L150="D"</formula>
    </cfRule>
    <cfRule type="expression" dxfId="70" priority="58">
      <formula>$L150="B"</formula>
    </cfRule>
    <cfRule type="expression" dxfId="69" priority="59">
      <formula>$L150="A"</formula>
    </cfRule>
    <cfRule type="expression" dxfId="68" priority="60">
      <formula>$L150="C"</formula>
    </cfRule>
  </conditionalFormatting>
  <conditionalFormatting sqref="C722:D722">
    <cfRule type="expression" dxfId="67" priority="12">
      <formula>$K722="H"</formula>
    </cfRule>
    <cfRule type="expression" dxfId="66" priority="13">
      <formula>$K722="G"</formula>
    </cfRule>
    <cfRule type="expression" dxfId="65" priority="14">
      <formula>$K722="F"</formula>
    </cfRule>
    <cfRule type="expression" dxfId="64" priority="15">
      <formula>$K722="E"</formula>
    </cfRule>
    <cfRule type="expression" dxfId="63" priority="17">
      <formula>$K722="D"</formula>
    </cfRule>
    <cfRule type="expression" dxfId="62" priority="18">
      <formula>$K722="B"</formula>
    </cfRule>
    <cfRule type="expression" dxfId="61" priority="19">
      <formula>$K722="A"</formula>
    </cfRule>
    <cfRule type="expression" dxfId="60" priority="20">
      <formula>$K722="C"</formula>
    </cfRule>
  </conditionalFormatting>
  <conditionalFormatting sqref="C722:D722">
    <cfRule type="expression" dxfId="59" priority="11">
      <formula>$K722="I"</formula>
    </cfRule>
  </conditionalFormatting>
  <conditionalFormatting sqref="C722:D722">
    <cfRule type="expression" dxfId="58" priority="16">
      <formula>$K722="W"</formula>
    </cfRule>
  </conditionalFormatting>
  <conditionalFormatting sqref="C723:D723">
    <cfRule type="expression" dxfId="57" priority="2">
      <formula>$K723="H"</formula>
    </cfRule>
    <cfRule type="expression" dxfId="56" priority="3">
      <formula>$K723="G"</formula>
    </cfRule>
    <cfRule type="expression" dxfId="55" priority="4">
      <formula>$K723="F"</formula>
    </cfRule>
    <cfRule type="expression" dxfId="54" priority="5">
      <formula>$K723="E"</formula>
    </cfRule>
    <cfRule type="expression" dxfId="53" priority="7">
      <formula>$K723="D"</formula>
    </cfRule>
    <cfRule type="expression" dxfId="52" priority="8">
      <formula>$K723="B"</formula>
    </cfRule>
    <cfRule type="expression" dxfId="51" priority="9">
      <formula>$K723="A"</formula>
    </cfRule>
    <cfRule type="expression" dxfId="50" priority="10">
      <formula>$K723="C"</formula>
    </cfRule>
  </conditionalFormatting>
  <conditionalFormatting sqref="C723:D723">
    <cfRule type="expression" dxfId="49" priority="1">
      <formula>$K723="I"</formula>
    </cfRule>
  </conditionalFormatting>
  <conditionalFormatting sqref="C723:D723">
    <cfRule type="expression" dxfId="48" priority="6">
      <formula>$K723="W"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AD26"/>
  <sheetViews>
    <sheetView tabSelected="1" topLeftCell="M1" workbookViewId="0">
      <selection activeCell="R16" sqref="R16"/>
    </sheetView>
  </sheetViews>
  <sheetFormatPr defaultRowHeight="15" x14ac:dyDescent="0.25"/>
  <cols>
    <col min="1" max="1" width="8" style="2" customWidth="1"/>
    <col min="2" max="2" width="8.28515625" style="2" customWidth="1"/>
    <col min="3" max="3" width="10.140625" style="2" bestFit="1" customWidth="1"/>
    <col min="4" max="4" width="14.42578125" style="2" bestFit="1" customWidth="1"/>
    <col min="5" max="5" width="7.85546875" style="2" customWidth="1"/>
    <col min="6" max="6" width="6.42578125" style="2" bestFit="1" customWidth="1"/>
    <col min="7" max="7" width="10.7109375" style="10" bestFit="1" customWidth="1"/>
    <col min="8" max="8" width="10.5703125" style="2" bestFit="1" customWidth="1"/>
    <col min="9" max="9" width="11.85546875" style="2" bestFit="1" customWidth="1"/>
    <col min="10" max="10" width="9.140625" style="2" customWidth="1"/>
    <col min="11" max="11" width="12.85546875" style="2" customWidth="1"/>
    <col min="12" max="12" width="15.7109375" style="2" bestFit="1" customWidth="1"/>
    <col min="13" max="13" width="10.7109375" style="10" bestFit="1" customWidth="1"/>
    <col min="14" max="14" width="9" style="2" customWidth="1"/>
    <col min="15" max="15" width="11.7109375" style="3" bestFit="1" customWidth="1"/>
    <col min="16" max="16" width="13.140625" style="2" bestFit="1" customWidth="1"/>
    <col min="17" max="17" width="10.5703125" style="2" customWidth="1"/>
    <col min="18" max="18" width="20.5703125" style="2" customWidth="1"/>
    <col min="19" max="19" width="12.5703125" style="2" bestFit="1" customWidth="1"/>
    <col min="20" max="20" width="29.85546875" style="2" bestFit="1" customWidth="1"/>
    <col min="21" max="21" width="9.85546875" style="2" bestFit="1" customWidth="1"/>
    <col min="22" max="22" width="14.28515625" style="2" bestFit="1" customWidth="1"/>
    <col min="23" max="23" width="7" style="2" bestFit="1" customWidth="1"/>
    <col min="24" max="24" width="8.28515625" style="2" bestFit="1" customWidth="1"/>
    <col min="25" max="25" width="10.28515625" style="2" bestFit="1" customWidth="1"/>
    <col min="26" max="26" width="8.5703125" style="2" bestFit="1" customWidth="1"/>
    <col min="27" max="27" width="9.42578125" style="2" bestFit="1" customWidth="1"/>
    <col min="28" max="28" width="11" style="2" bestFit="1" customWidth="1"/>
    <col min="29" max="16384" width="9.140625" style="2"/>
  </cols>
  <sheetData>
    <row r="1" spans="2:30" ht="31.5" x14ac:dyDescent="0.25">
      <c r="B1" s="5"/>
      <c r="C1" s="4"/>
      <c r="D1" s="4"/>
      <c r="E1" s="14"/>
      <c r="F1" s="51" t="s">
        <v>104</v>
      </c>
      <c r="G1" s="52" t="s">
        <v>105</v>
      </c>
      <c r="H1" s="52" t="s">
        <v>3</v>
      </c>
      <c r="I1" s="52" t="s">
        <v>4</v>
      </c>
      <c r="J1" s="51" t="s">
        <v>175</v>
      </c>
      <c r="K1" s="51" t="s">
        <v>110</v>
      </c>
      <c r="L1" s="53" t="s">
        <v>106</v>
      </c>
      <c r="M1" s="51" t="s">
        <v>107</v>
      </c>
      <c r="N1" s="51" t="s">
        <v>5</v>
      </c>
      <c r="O1" s="52" t="s">
        <v>108</v>
      </c>
      <c r="P1" s="51" t="s">
        <v>176</v>
      </c>
      <c r="Q1" s="51" t="s">
        <v>177</v>
      </c>
      <c r="R1" s="52" t="s">
        <v>109</v>
      </c>
      <c r="S1" s="52" t="s">
        <v>48</v>
      </c>
      <c r="T1" s="53" t="s">
        <v>59</v>
      </c>
      <c r="U1" s="52" t="s">
        <v>99</v>
      </c>
      <c r="V1" s="52" t="s">
        <v>100</v>
      </c>
      <c r="W1" s="52" t="s">
        <v>101</v>
      </c>
      <c r="X1" s="52" t="s">
        <v>102</v>
      </c>
      <c r="Y1" s="52" t="s">
        <v>103</v>
      </c>
      <c r="Z1" s="52" t="s">
        <v>174</v>
      </c>
      <c r="AA1" s="52" t="s">
        <v>58</v>
      </c>
      <c r="AB1" s="52" t="s">
        <v>171</v>
      </c>
      <c r="AC1" s="52" t="s">
        <v>172</v>
      </c>
      <c r="AD1" s="52" t="s">
        <v>173</v>
      </c>
    </row>
    <row r="2" spans="2:30" x14ac:dyDescent="0.25">
      <c r="C2" s="4"/>
      <c r="D2" s="4"/>
      <c r="E2" s="14"/>
      <c r="F2" s="41">
        <v>1</v>
      </c>
      <c r="G2" s="59">
        <v>46325</v>
      </c>
      <c r="H2" s="2" t="s">
        <v>393</v>
      </c>
      <c r="I2" s="2" t="s">
        <v>394</v>
      </c>
      <c r="J2" s="2" t="s">
        <v>395</v>
      </c>
      <c r="K2" s="2" t="s">
        <v>395</v>
      </c>
      <c r="L2" s="2" t="s">
        <v>422</v>
      </c>
      <c r="M2" s="59">
        <v>46321</v>
      </c>
      <c r="N2" s="45">
        <v>0.49583333333333335</v>
      </c>
      <c r="O2" s="3" t="s">
        <v>30</v>
      </c>
      <c r="P2" s="59">
        <v>46325</v>
      </c>
      <c r="Q2" s="45">
        <v>0.43402777777777779</v>
      </c>
      <c r="R2" s="2" t="s">
        <v>397</v>
      </c>
      <c r="S2" s="2" t="s">
        <v>419</v>
      </c>
      <c r="T2" s="2" t="s">
        <v>98</v>
      </c>
      <c r="U2" s="45">
        <v>0.53333333333333333</v>
      </c>
      <c r="V2" s="2">
        <v>12</v>
      </c>
      <c r="W2" s="45">
        <v>0.58263888888888893</v>
      </c>
      <c r="X2" s="45">
        <v>0.69513888888888886</v>
      </c>
      <c r="Y2" s="2" t="s">
        <v>674</v>
      </c>
      <c r="Z2" s="2">
        <f>180+37+1236</f>
        <v>1453</v>
      </c>
      <c r="AA2" s="2">
        <v>1453</v>
      </c>
      <c r="AB2" s="2">
        <v>1001154222</v>
      </c>
      <c r="AC2" s="2">
        <f>1243+170.7+14534.361</f>
        <v>15948.061000000002</v>
      </c>
      <c r="AD2" s="2">
        <f>1616.289+17389.474</f>
        <v>19005.762999999999</v>
      </c>
    </row>
    <row r="3" spans="2:30" x14ac:dyDescent="0.25">
      <c r="C3" s="4"/>
      <c r="D3" s="4"/>
      <c r="E3" s="14"/>
      <c r="F3" s="41">
        <v>2</v>
      </c>
      <c r="G3" s="59">
        <v>46325</v>
      </c>
      <c r="H3" s="2" t="s">
        <v>393</v>
      </c>
      <c r="I3" s="2" t="s">
        <v>398</v>
      </c>
      <c r="J3" s="2" t="s">
        <v>395</v>
      </c>
      <c r="K3" s="2" t="s">
        <v>431</v>
      </c>
      <c r="L3" s="2" t="s">
        <v>399</v>
      </c>
      <c r="M3" s="59">
        <v>46324</v>
      </c>
      <c r="N3" s="45">
        <v>0.48055555555555557</v>
      </c>
      <c r="O3" s="3" t="s">
        <v>30</v>
      </c>
      <c r="P3" s="59">
        <v>46325</v>
      </c>
      <c r="Q3" s="45">
        <v>0.4513888888888889</v>
      </c>
      <c r="R3" s="2" t="s">
        <v>400</v>
      </c>
      <c r="S3" s="2" t="s">
        <v>432</v>
      </c>
      <c r="T3" s="2" t="s">
        <v>98</v>
      </c>
      <c r="U3" s="45">
        <v>0.625</v>
      </c>
      <c r="V3" s="2">
        <v>17</v>
      </c>
      <c r="W3" s="45">
        <v>0.66666666666666663</v>
      </c>
      <c r="X3" s="45">
        <v>0.88611111111111107</v>
      </c>
      <c r="Y3" s="2" t="s">
        <v>684</v>
      </c>
      <c r="Z3" s="2">
        <v>3050</v>
      </c>
      <c r="AA3" s="2">
        <v>3050</v>
      </c>
      <c r="AB3" s="2">
        <v>1001154452</v>
      </c>
      <c r="AC3" s="4">
        <v>27515.967000000001</v>
      </c>
      <c r="AD3" s="2">
        <v>40473.010999999999</v>
      </c>
    </row>
    <row r="4" spans="2:30" x14ac:dyDescent="0.25">
      <c r="C4" s="4"/>
      <c r="D4" s="4"/>
      <c r="E4" s="14"/>
      <c r="F4" s="41">
        <v>3</v>
      </c>
      <c r="G4" s="59">
        <v>46325</v>
      </c>
      <c r="H4" s="2" t="s">
        <v>393</v>
      </c>
      <c r="I4" s="2" t="s">
        <v>401</v>
      </c>
      <c r="J4" s="2" t="s">
        <v>395</v>
      </c>
      <c r="K4" s="2" t="s">
        <v>433</v>
      </c>
      <c r="L4" s="2" t="s">
        <v>399</v>
      </c>
      <c r="M4" s="59">
        <v>46324</v>
      </c>
      <c r="N4" s="45">
        <v>0.5756944444444444</v>
      </c>
      <c r="O4" s="3" t="s">
        <v>30</v>
      </c>
      <c r="P4" s="59">
        <v>46325</v>
      </c>
      <c r="Q4" s="45">
        <v>0.4375</v>
      </c>
      <c r="R4" s="2" t="s">
        <v>402</v>
      </c>
      <c r="S4" s="80" t="s">
        <v>434</v>
      </c>
    </row>
    <row r="5" spans="2:30" x14ac:dyDescent="0.25">
      <c r="F5" s="41">
        <v>4</v>
      </c>
      <c r="G5" s="59">
        <v>46325</v>
      </c>
      <c r="H5" s="2" t="s">
        <v>393</v>
      </c>
      <c r="I5" s="2" t="s">
        <v>401</v>
      </c>
      <c r="J5" s="2" t="s">
        <v>395</v>
      </c>
      <c r="K5" s="2" t="s">
        <v>395</v>
      </c>
      <c r="L5" s="2" t="s">
        <v>399</v>
      </c>
      <c r="M5" s="59">
        <v>46324</v>
      </c>
      <c r="N5" s="45">
        <v>0.5756944444444444</v>
      </c>
      <c r="O5" s="3" t="s">
        <v>458</v>
      </c>
      <c r="P5" s="59">
        <v>46325</v>
      </c>
      <c r="Q5" s="45">
        <v>0.44097222222222221</v>
      </c>
      <c r="R5" s="2" t="s">
        <v>403</v>
      </c>
      <c r="S5" s="2" t="s">
        <v>459</v>
      </c>
      <c r="T5" s="2" t="s">
        <v>98</v>
      </c>
      <c r="U5" s="45">
        <v>0.50694444444444442</v>
      </c>
      <c r="V5" s="2">
        <v>11</v>
      </c>
      <c r="W5" s="45">
        <v>0.58333333333333337</v>
      </c>
      <c r="X5" s="45">
        <v>0.71875</v>
      </c>
      <c r="Y5" s="2" t="s">
        <v>141</v>
      </c>
      <c r="Z5" s="2">
        <v>1997</v>
      </c>
      <c r="AA5" s="2">
        <v>1997</v>
      </c>
      <c r="AB5" s="2">
        <v>1001154404</v>
      </c>
      <c r="AC5" s="2">
        <v>16967.599999999999</v>
      </c>
      <c r="AD5" s="2">
        <v>20896.062999999998</v>
      </c>
    </row>
    <row r="6" spans="2:30" x14ac:dyDescent="0.25">
      <c r="F6" s="41">
        <v>5</v>
      </c>
      <c r="G6" s="59">
        <v>46325</v>
      </c>
      <c r="H6" s="2" t="s">
        <v>393</v>
      </c>
      <c r="I6" s="2" t="s">
        <v>394</v>
      </c>
      <c r="J6" s="2" t="s">
        <v>395</v>
      </c>
      <c r="L6" s="2" t="s">
        <v>396</v>
      </c>
      <c r="M6" s="59">
        <v>46324</v>
      </c>
      <c r="N6" s="45">
        <v>0.5756944444444444</v>
      </c>
      <c r="R6" s="2" t="s">
        <v>404</v>
      </c>
    </row>
    <row r="7" spans="2:30" x14ac:dyDescent="0.25">
      <c r="F7" s="41">
        <v>6</v>
      </c>
      <c r="G7" s="59">
        <v>46325</v>
      </c>
      <c r="H7" s="2" t="s">
        <v>393</v>
      </c>
      <c r="I7" s="2" t="s">
        <v>405</v>
      </c>
      <c r="J7" s="2" t="s">
        <v>395</v>
      </c>
      <c r="K7" s="2" t="s">
        <v>486</v>
      </c>
      <c r="L7" s="2" t="s">
        <v>423</v>
      </c>
      <c r="M7" s="59">
        <v>46324</v>
      </c>
      <c r="N7" s="45">
        <v>0.5756944444444444</v>
      </c>
      <c r="O7" s="3" t="s">
        <v>30</v>
      </c>
      <c r="P7" s="59">
        <v>46325</v>
      </c>
      <c r="Q7" s="45">
        <v>0.43055555555555558</v>
      </c>
      <c r="R7" s="2" t="s">
        <v>407</v>
      </c>
      <c r="S7" s="2" t="s">
        <v>424</v>
      </c>
      <c r="T7" s="2" t="s">
        <v>98</v>
      </c>
      <c r="U7" s="45">
        <v>0.66874999999999996</v>
      </c>
      <c r="V7" s="2">
        <v>14</v>
      </c>
      <c r="W7" s="45">
        <v>0.73611111111111116</v>
      </c>
      <c r="X7" s="45">
        <v>0.80208333333333337</v>
      </c>
      <c r="Y7" s="2" t="s">
        <v>676</v>
      </c>
      <c r="Z7" s="2">
        <v>830</v>
      </c>
      <c r="AA7" s="2">
        <v>830</v>
      </c>
      <c r="AB7" s="2">
        <v>1001154408</v>
      </c>
      <c r="AC7" s="2">
        <v>7949.36</v>
      </c>
      <c r="AD7" s="2">
        <v>8720.8559999999998</v>
      </c>
    </row>
    <row r="8" spans="2:30" x14ac:dyDescent="0.25">
      <c r="F8" s="41">
        <v>7</v>
      </c>
      <c r="G8" s="59">
        <v>46325</v>
      </c>
      <c r="H8" s="2" t="s">
        <v>393</v>
      </c>
      <c r="I8" s="2" t="s">
        <v>405</v>
      </c>
      <c r="J8" s="2" t="s">
        <v>395</v>
      </c>
      <c r="K8" s="2" t="s">
        <v>395</v>
      </c>
      <c r="L8" s="2" t="s">
        <v>631</v>
      </c>
      <c r="M8" s="59">
        <v>46324</v>
      </c>
      <c r="N8" s="45">
        <v>0.5756944444444444</v>
      </c>
      <c r="O8" s="3" t="s">
        <v>30</v>
      </c>
      <c r="P8" s="59">
        <v>46325</v>
      </c>
      <c r="Q8" s="45">
        <v>0.5625</v>
      </c>
      <c r="R8" s="2" t="s">
        <v>408</v>
      </c>
      <c r="S8" s="2" t="s">
        <v>632</v>
      </c>
      <c r="T8" s="2" t="s">
        <v>98</v>
      </c>
      <c r="U8" s="45">
        <v>0.66111111111111109</v>
      </c>
      <c r="V8" s="2">
        <v>15</v>
      </c>
      <c r="W8" s="45">
        <v>0.71875</v>
      </c>
      <c r="X8" s="45">
        <v>0.88402777777777775</v>
      </c>
      <c r="Y8" s="2" t="s">
        <v>685</v>
      </c>
      <c r="Z8" s="2">
        <v>1764</v>
      </c>
      <c r="AA8" s="2">
        <v>1764</v>
      </c>
      <c r="AB8" s="2">
        <v>1001154453</v>
      </c>
      <c r="AC8" s="4">
        <v>14978.778</v>
      </c>
      <c r="AD8" s="2">
        <v>21423.254000000001</v>
      </c>
    </row>
    <row r="9" spans="2:30" x14ac:dyDescent="0.25">
      <c r="F9" s="41">
        <v>8</v>
      </c>
      <c r="G9" s="59">
        <v>46325</v>
      </c>
      <c r="H9" s="2" t="s">
        <v>393</v>
      </c>
      <c r="I9" s="2" t="s">
        <v>405</v>
      </c>
      <c r="J9" s="2" t="s">
        <v>395</v>
      </c>
      <c r="K9" s="2" t="s">
        <v>433</v>
      </c>
      <c r="L9" s="2" t="s">
        <v>406</v>
      </c>
      <c r="M9" s="59">
        <v>46324</v>
      </c>
      <c r="N9" s="45">
        <v>0.5756944444444444</v>
      </c>
      <c r="O9" s="3" t="s">
        <v>30</v>
      </c>
      <c r="P9" s="59">
        <v>46325</v>
      </c>
      <c r="Q9" s="45">
        <v>0.61805555555555558</v>
      </c>
      <c r="R9" s="2" t="s">
        <v>409</v>
      </c>
      <c r="S9" s="2" t="s">
        <v>633</v>
      </c>
      <c r="T9" s="2" t="s">
        <v>98</v>
      </c>
      <c r="U9" s="45">
        <v>0.68263888888888891</v>
      </c>
      <c r="V9" s="2">
        <v>16</v>
      </c>
      <c r="W9" s="45">
        <v>0.71597222222222223</v>
      </c>
      <c r="X9" s="45">
        <v>0.84027777777777779</v>
      </c>
      <c r="Y9" s="2" t="s">
        <v>682</v>
      </c>
      <c r="Z9" s="2">
        <v>1220</v>
      </c>
      <c r="AA9" s="2">
        <v>1220</v>
      </c>
      <c r="AB9" s="2">
        <v>1001154437</v>
      </c>
      <c r="AC9" s="4">
        <v>14293.705</v>
      </c>
      <c r="AD9" s="2">
        <v>15983.543</v>
      </c>
    </row>
    <row r="10" spans="2:30" x14ac:dyDescent="0.25">
      <c r="F10" s="41">
        <v>9</v>
      </c>
      <c r="G10" s="59">
        <v>46325</v>
      </c>
      <c r="H10" s="2" t="s">
        <v>393</v>
      </c>
      <c r="I10" s="2" t="s">
        <v>410</v>
      </c>
      <c r="J10" s="2" t="s">
        <v>395</v>
      </c>
      <c r="K10" s="2" t="s">
        <v>395</v>
      </c>
      <c r="L10" s="2" t="s">
        <v>411</v>
      </c>
      <c r="M10" s="59">
        <v>46324</v>
      </c>
      <c r="N10" s="45">
        <v>0.5756944444444444</v>
      </c>
      <c r="O10" s="3" t="s">
        <v>30</v>
      </c>
      <c r="P10" s="59">
        <v>46324</v>
      </c>
      <c r="Q10" s="45">
        <v>0.55277777777777781</v>
      </c>
      <c r="R10" s="2" t="s">
        <v>678</v>
      </c>
      <c r="S10" s="2" t="s">
        <v>412</v>
      </c>
      <c r="T10" s="2" t="s">
        <v>98</v>
      </c>
      <c r="U10" s="45">
        <v>0.64444444444444449</v>
      </c>
      <c r="V10" s="2">
        <v>12</v>
      </c>
      <c r="W10" s="45">
        <v>0.71875</v>
      </c>
      <c r="X10" s="45">
        <v>0.85069444444444442</v>
      </c>
      <c r="Y10" s="2" t="s">
        <v>674</v>
      </c>
      <c r="Z10" s="2">
        <v>2663</v>
      </c>
      <c r="AA10" s="2">
        <v>2663</v>
      </c>
      <c r="AB10" s="2">
        <v>1001154450</v>
      </c>
      <c r="AC10" s="4">
        <v>17934.84</v>
      </c>
      <c r="AD10" s="2">
        <v>25103.073</v>
      </c>
    </row>
    <row r="11" spans="2:30" x14ac:dyDescent="0.25">
      <c r="F11" s="41">
        <v>10</v>
      </c>
      <c r="G11" s="59">
        <v>46325</v>
      </c>
      <c r="H11" s="2" t="s">
        <v>393</v>
      </c>
      <c r="I11" s="2" t="s">
        <v>413</v>
      </c>
      <c r="J11" s="2" t="s">
        <v>395</v>
      </c>
      <c r="K11" s="2" t="s">
        <v>395</v>
      </c>
      <c r="L11" s="2" t="s">
        <v>485</v>
      </c>
      <c r="M11" s="59">
        <v>46324</v>
      </c>
      <c r="N11" s="45">
        <v>0.5756944444444444</v>
      </c>
      <c r="O11" s="3" t="s">
        <v>30</v>
      </c>
      <c r="P11" s="59">
        <v>46325</v>
      </c>
      <c r="Q11" s="45">
        <v>0.44444444444444442</v>
      </c>
      <c r="R11" s="2" t="s">
        <v>681</v>
      </c>
      <c r="S11" s="2" t="s">
        <v>435</v>
      </c>
      <c r="T11" s="2" t="s">
        <v>98</v>
      </c>
      <c r="U11" s="45">
        <v>0.71250000000000002</v>
      </c>
      <c r="V11" s="2">
        <v>11</v>
      </c>
      <c r="W11" s="45">
        <v>0.8125</v>
      </c>
      <c r="X11" s="45">
        <v>0.96875</v>
      </c>
      <c r="Y11" s="2" t="s">
        <v>141</v>
      </c>
      <c r="Z11" s="2">
        <v>2145</v>
      </c>
      <c r="AA11" s="2">
        <v>2145</v>
      </c>
      <c r="AB11" s="2">
        <v>1001154455</v>
      </c>
      <c r="AC11" s="4">
        <v>16763.351999999999</v>
      </c>
      <c r="AD11" s="2">
        <v>24139.025000000001</v>
      </c>
    </row>
    <row r="12" spans="2:30" x14ac:dyDescent="0.25">
      <c r="F12" s="41">
        <v>11</v>
      </c>
      <c r="G12" s="59">
        <v>46325</v>
      </c>
      <c r="H12" s="2" t="s">
        <v>393</v>
      </c>
      <c r="I12" s="2" t="s">
        <v>417</v>
      </c>
      <c r="J12" s="2" t="s">
        <v>395</v>
      </c>
      <c r="K12" s="2" t="s">
        <v>395</v>
      </c>
      <c r="L12" s="2" t="s">
        <v>399</v>
      </c>
      <c r="M12" s="59">
        <v>46324</v>
      </c>
      <c r="N12" s="45">
        <v>0.99930555555555556</v>
      </c>
      <c r="O12" s="3" t="s">
        <v>30</v>
      </c>
      <c r="P12" s="59">
        <v>46325</v>
      </c>
      <c r="Q12" s="45">
        <v>0.5</v>
      </c>
      <c r="R12" s="2" t="s">
        <v>414</v>
      </c>
      <c r="S12" s="80" t="s">
        <v>484</v>
      </c>
    </row>
    <row r="13" spans="2:30" x14ac:dyDescent="0.25">
      <c r="F13" s="41">
        <v>12</v>
      </c>
      <c r="G13" s="59">
        <v>46325</v>
      </c>
      <c r="H13" s="2" t="s">
        <v>393</v>
      </c>
      <c r="I13" s="2" t="s">
        <v>418</v>
      </c>
      <c r="J13" s="2" t="s">
        <v>395</v>
      </c>
      <c r="K13" s="2" t="s">
        <v>433</v>
      </c>
      <c r="L13" s="2" t="s">
        <v>396</v>
      </c>
      <c r="M13" s="59">
        <v>46324</v>
      </c>
      <c r="N13" s="45">
        <v>0.99930555555555556</v>
      </c>
      <c r="O13" s="3" t="s">
        <v>30</v>
      </c>
      <c r="P13" s="59">
        <v>46325</v>
      </c>
      <c r="Q13" s="45">
        <v>0.4375</v>
      </c>
      <c r="R13" s="2" t="s">
        <v>415</v>
      </c>
      <c r="S13" s="2" t="s">
        <v>461</v>
      </c>
      <c r="T13" s="2" t="s">
        <v>98</v>
      </c>
      <c r="U13" s="45">
        <v>0.72916666666666663</v>
      </c>
      <c r="V13" s="2">
        <v>16</v>
      </c>
      <c r="W13" s="45">
        <v>0.86250000000000004</v>
      </c>
      <c r="X13" s="45">
        <v>0.97430555555555554</v>
      </c>
      <c r="Y13" s="2" t="s">
        <v>682</v>
      </c>
      <c r="Z13" s="2">
        <v>1780</v>
      </c>
      <c r="AA13" s="2">
        <v>1780</v>
      </c>
      <c r="AB13" s="2">
        <v>1001154456</v>
      </c>
      <c r="AC13" s="4">
        <v>14012.53</v>
      </c>
      <c r="AD13" s="2">
        <v>21746.141</v>
      </c>
    </row>
    <row r="14" spans="2:30" x14ac:dyDescent="0.25">
      <c r="F14" s="41">
        <v>13</v>
      </c>
      <c r="G14" s="59">
        <v>46325</v>
      </c>
      <c r="H14" s="2" t="s">
        <v>393</v>
      </c>
      <c r="I14" s="2" t="s">
        <v>398</v>
      </c>
      <c r="J14" s="2" t="s">
        <v>395</v>
      </c>
      <c r="K14" s="2" t="s">
        <v>395</v>
      </c>
      <c r="L14" s="2" t="s">
        <v>399</v>
      </c>
      <c r="M14" s="59">
        <v>46324</v>
      </c>
      <c r="N14" s="45">
        <v>0.99930555555555556</v>
      </c>
      <c r="O14" s="3" t="s">
        <v>30</v>
      </c>
      <c r="P14" s="59">
        <v>46325</v>
      </c>
      <c r="Q14" s="45">
        <v>0.46527777777777779</v>
      </c>
      <c r="R14" s="2" t="s">
        <v>416</v>
      </c>
      <c r="S14" s="2" t="s">
        <v>460</v>
      </c>
      <c r="T14" s="2" t="s">
        <v>98</v>
      </c>
      <c r="U14" s="45">
        <v>0.6381944444444444</v>
      </c>
      <c r="V14" s="2">
        <v>18</v>
      </c>
      <c r="W14" s="45">
        <v>0.70138888888888884</v>
      </c>
      <c r="X14" s="45">
        <v>0.84722222222222221</v>
      </c>
      <c r="Y14" s="2" t="s">
        <v>683</v>
      </c>
      <c r="Z14" s="2">
        <v>2137</v>
      </c>
      <c r="AA14" s="2">
        <v>2137</v>
      </c>
      <c r="AB14" s="2">
        <v>1001154451</v>
      </c>
      <c r="AC14" s="4">
        <v>17296.922999999999</v>
      </c>
      <c r="AD14" s="2">
        <v>23967.031999999999</v>
      </c>
    </row>
    <row r="15" spans="2:30" x14ac:dyDescent="0.25">
      <c r="F15" s="2">
        <v>14</v>
      </c>
      <c r="G15" s="59">
        <v>46325</v>
      </c>
      <c r="H15" s="2" t="s">
        <v>393</v>
      </c>
      <c r="I15" s="2" t="s">
        <v>405</v>
      </c>
      <c r="J15" s="2" t="s">
        <v>486</v>
      </c>
      <c r="K15" s="2" t="s">
        <v>486</v>
      </c>
      <c r="L15" s="2" t="s">
        <v>487</v>
      </c>
      <c r="M15" s="59">
        <v>46324</v>
      </c>
      <c r="N15" s="45">
        <v>0.5756944444444444</v>
      </c>
      <c r="O15" s="3" t="s">
        <v>30</v>
      </c>
      <c r="P15" s="59">
        <v>46325</v>
      </c>
      <c r="Q15" s="45">
        <v>0.4236111111111111</v>
      </c>
      <c r="R15" s="2" t="s">
        <v>675</v>
      </c>
      <c r="S15" s="2" t="s">
        <v>425</v>
      </c>
      <c r="T15" s="2" t="s">
        <v>98</v>
      </c>
      <c r="U15" s="45">
        <v>0.68958333333333333</v>
      </c>
      <c r="V15" s="2">
        <v>11</v>
      </c>
      <c r="W15" s="45">
        <v>0.73611111111111116</v>
      </c>
      <c r="X15" s="45">
        <v>0.79166666666666663</v>
      </c>
      <c r="Y15" s="2" t="s">
        <v>141</v>
      </c>
      <c r="Z15" s="2">
        <v>670</v>
      </c>
      <c r="AA15" s="2">
        <v>670</v>
      </c>
      <c r="AB15" s="2">
        <v>1001154406</v>
      </c>
      <c r="AC15" s="2">
        <v>8738.16</v>
      </c>
      <c r="AD15" s="2">
        <v>7947.4279999999999</v>
      </c>
    </row>
    <row r="16" spans="2:30" x14ac:dyDescent="0.25">
      <c r="F16" s="2">
        <v>15</v>
      </c>
      <c r="G16" s="59">
        <v>46325</v>
      </c>
      <c r="H16" s="2" t="s">
        <v>393</v>
      </c>
      <c r="I16" s="2" t="s">
        <v>401</v>
      </c>
      <c r="J16" s="2" t="s">
        <v>634</v>
      </c>
      <c r="K16" s="2" t="s">
        <v>634</v>
      </c>
      <c r="L16" s="2" t="s">
        <v>399</v>
      </c>
      <c r="M16" s="59">
        <v>46325</v>
      </c>
      <c r="N16" s="45">
        <v>0.54166666666666663</v>
      </c>
      <c r="O16" s="3" t="s">
        <v>30</v>
      </c>
      <c r="P16" s="59">
        <v>46325</v>
      </c>
      <c r="Q16" s="45">
        <v>0.625</v>
      </c>
      <c r="R16" s="2" t="s">
        <v>679</v>
      </c>
      <c r="S16" s="2" t="s">
        <v>635</v>
      </c>
      <c r="T16" s="2" t="s">
        <v>98</v>
      </c>
      <c r="U16" s="45">
        <v>0.70208333333333328</v>
      </c>
      <c r="V16" s="2">
        <v>14</v>
      </c>
      <c r="W16" s="45">
        <v>0.82638888888888884</v>
      </c>
      <c r="X16" s="45">
        <v>0.99305555555555558</v>
      </c>
      <c r="Y16" s="2" t="s">
        <v>676</v>
      </c>
      <c r="Z16" s="2">
        <v>3252</v>
      </c>
      <c r="AA16" s="2">
        <v>3252</v>
      </c>
      <c r="AB16" s="2">
        <v>1001154457</v>
      </c>
      <c r="AC16" s="4">
        <v>24923.414000000001</v>
      </c>
      <c r="AD16" s="2">
        <v>34477.008999999998</v>
      </c>
    </row>
    <row r="22" spans="20:20" x14ac:dyDescent="0.25">
      <c r="T22" s="30" t="s">
        <v>95</v>
      </c>
    </row>
    <row r="23" spans="20:20" x14ac:dyDescent="0.25">
      <c r="T23" s="30" t="s">
        <v>96</v>
      </c>
    </row>
    <row r="24" spans="20:20" x14ac:dyDescent="0.25">
      <c r="T24" s="30" t="s">
        <v>97</v>
      </c>
    </row>
    <row r="25" spans="20:20" x14ac:dyDescent="0.25">
      <c r="T25" s="30" t="s">
        <v>98</v>
      </c>
    </row>
    <row r="26" spans="20:20" x14ac:dyDescent="0.25">
      <c r="T26" s="30" t="s">
        <v>178</v>
      </c>
    </row>
  </sheetData>
  <printOptions horizontalCentered="1"/>
  <pageMargins left="0.25" right="0.25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37"/>
  <sheetViews>
    <sheetView topLeftCell="A15" workbookViewId="0">
      <selection activeCell="I34" sqref="I34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9" ht="15.75" thickBot="1" x14ac:dyDescent="0.3">
      <c r="B1" s="19"/>
      <c r="C1" s="19"/>
      <c r="D1" s="19"/>
      <c r="E1" s="19"/>
      <c r="F1" s="19"/>
    </row>
    <row r="2" spans="1:9" ht="15.75" x14ac:dyDescent="0.25">
      <c r="A2" s="20"/>
      <c r="B2" s="21"/>
      <c r="C2" s="22"/>
      <c r="D2" s="23"/>
      <c r="E2" s="22"/>
      <c r="F2" s="24"/>
      <c r="G2" s="25"/>
    </row>
    <row r="3" spans="1:9" ht="16.5" thickBot="1" x14ac:dyDescent="0.3">
      <c r="A3" s="20"/>
      <c r="B3" s="26"/>
      <c r="C3" s="27"/>
      <c r="D3" s="28"/>
      <c r="E3" s="28"/>
      <c r="F3" s="28"/>
    </row>
    <row r="4" spans="1:9" x14ac:dyDescent="0.25">
      <c r="B4" s="29"/>
      <c r="C4" s="29"/>
      <c r="D4" s="29"/>
      <c r="E4" s="29"/>
      <c r="F4" s="44"/>
    </row>
    <row r="5" spans="1:9" ht="15.75" x14ac:dyDescent="0.25">
      <c r="A5" s="61" t="s">
        <v>42</v>
      </c>
      <c r="B5" s="61"/>
      <c r="C5" s="61"/>
      <c r="D5" s="61"/>
      <c r="E5" s="61"/>
      <c r="F5" s="62"/>
    </row>
    <row r="6" spans="1:9" ht="15.75" x14ac:dyDescent="0.25">
      <c r="A6" s="61" t="s">
        <v>183</v>
      </c>
      <c r="B6" s="61"/>
      <c r="C6" s="61"/>
      <c r="D6" s="61"/>
      <c r="E6" s="61"/>
      <c r="F6" s="61"/>
    </row>
    <row r="7" spans="1:9" ht="23.25" x14ac:dyDescent="0.25">
      <c r="A7" s="63" t="s">
        <v>43</v>
      </c>
      <c r="B7" s="63"/>
      <c r="C7" s="64" t="s">
        <v>44</v>
      </c>
      <c r="D7" s="64"/>
      <c r="E7" s="65" t="s">
        <v>471</v>
      </c>
      <c r="F7" s="65"/>
    </row>
    <row r="8" spans="1:9" x14ac:dyDescent="0.25">
      <c r="A8" s="1" t="s">
        <v>46</v>
      </c>
      <c r="B8" s="2" t="s">
        <v>469</v>
      </c>
      <c r="C8" s="30">
        <v>808950644</v>
      </c>
      <c r="E8" s="1" t="s">
        <v>47</v>
      </c>
      <c r="F8" s="31" t="s">
        <v>472</v>
      </c>
      <c r="G8" s="32" t="s">
        <v>89</v>
      </c>
      <c r="H8" s="34"/>
    </row>
    <row r="9" spans="1:9" x14ac:dyDescent="0.25">
      <c r="A9" s="1" t="s">
        <v>48</v>
      </c>
      <c r="B9" s="33"/>
      <c r="C9" s="30"/>
      <c r="E9" s="1" t="s">
        <v>49</v>
      </c>
      <c r="G9" s="1" t="s">
        <v>90</v>
      </c>
      <c r="H9" s="34"/>
    </row>
    <row r="10" spans="1:9" x14ac:dyDescent="0.25">
      <c r="A10" s="1" t="s">
        <v>50</v>
      </c>
      <c r="B10" s="2" t="s">
        <v>470</v>
      </c>
      <c r="E10" s="1" t="s">
        <v>51</v>
      </c>
      <c r="G10" s="1" t="s">
        <v>91</v>
      </c>
    </row>
    <row r="11" spans="1:9" x14ac:dyDescent="0.25">
      <c r="A11" s="1" t="s">
        <v>52</v>
      </c>
      <c r="B11" s="33"/>
      <c r="I11" s="34"/>
    </row>
    <row r="12" spans="1:9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</row>
    <row r="13" spans="1:9" x14ac:dyDescent="0.25">
      <c r="A13" s="38">
        <v>40060030</v>
      </c>
      <c r="B13" s="38" t="s">
        <v>462</v>
      </c>
      <c r="C13" s="38">
        <v>20</v>
      </c>
      <c r="E13" s="33"/>
      <c r="F13" s="33"/>
      <c r="H13" s="34"/>
      <c r="I13" s="1">
        <v>1001154266</v>
      </c>
    </row>
    <row r="14" spans="1:9" x14ac:dyDescent="0.25">
      <c r="A14" s="38">
        <v>40060034</v>
      </c>
      <c r="B14" s="38" t="s">
        <v>468</v>
      </c>
      <c r="C14" s="38">
        <v>30</v>
      </c>
      <c r="E14" s="33"/>
      <c r="G14" s="34"/>
      <c r="H14" s="34"/>
      <c r="I14" s="1">
        <v>7000640913</v>
      </c>
    </row>
    <row r="15" spans="1:9" x14ac:dyDescent="0.25">
      <c r="A15" s="38">
        <v>40062464</v>
      </c>
      <c r="B15" s="38" t="s">
        <v>220</v>
      </c>
      <c r="C15" s="38">
        <v>20</v>
      </c>
      <c r="E15" s="33"/>
      <c r="H15" s="34"/>
      <c r="I15" s="1">
        <v>4400600744</v>
      </c>
    </row>
    <row r="16" spans="1:9" x14ac:dyDescent="0.25">
      <c r="A16" s="38">
        <v>40063614</v>
      </c>
      <c r="B16" s="38" t="s">
        <v>442</v>
      </c>
      <c r="C16" s="38">
        <v>50</v>
      </c>
      <c r="E16" s="33"/>
    </row>
    <row r="17" spans="1:5" x14ac:dyDescent="0.25">
      <c r="A17" s="38">
        <v>40063756</v>
      </c>
      <c r="B17" s="38" t="s">
        <v>464</v>
      </c>
      <c r="C17" s="38">
        <v>50</v>
      </c>
    </row>
    <row r="18" spans="1:5" x14ac:dyDescent="0.25">
      <c r="A18" s="38"/>
      <c r="B18" s="38"/>
      <c r="C18" s="38"/>
      <c r="D18" s="33"/>
    </row>
    <row r="19" spans="1:5" x14ac:dyDescent="0.25">
      <c r="C19" s="7"/>
    </row>
    <row r="20" spans="1:5" x14ac:dyDescent="0.25">
      <c r="A20" s="33" t="s">
        <v>60</v>
      </c>
      <c r="B20" s="39"/>
      <c r="C20" s="33">
        <f>SUM(C13:C19)</f>
        <v>170</v>
      </c>
      <c r="D20" s="33" t="s">
        <v>61</v>
      </c>
    </row>
    <row r="21" spans="1:5" x14ac:dyDescent="0.25">
      <c r="A21" s="33" t="s">
        <v>62</v>
      </c>
      <c r="B21" s="33"/>
      <c r="C21" s="33"/>
      <c r="D21" s="33" t="s">
        <v>63</v>
      </c>
    </row>
    <row r="23" spans="1:5" x14ac:dyDescent="0.25">
      <c r="A23" s="1" t="s">
        <v>64</v>
      </c>
      <c r="B23" s="1" t="s">
        <v>65</v>
      </c>
      <c r="C23" s="1" t="s">
        <v>66</v>
      </c>
      <c r="D23" s="1" t="s">
        <v>67</v>
      </c>
      <c r="E23" s="1" t="s">
        <v>68</v>
      </c>
    </row>
    <row r="24" spans="1:5" x14ac:dyDescent="0.25">
      <c r="A24" s="1">
        <v>1</v>
      </c>
    </row>
    <row r="25" spans="1:5" x14ac:dyDescent="0.25">
      <c r="A25" s="1">
        <v>2</v>
      </c>
    </row>
    <row r="26" spans="1:5" x14ac:dyDescent="0.25">
      <c r="A26" s="1">
        <v>3</v>
      </c>
    </row>
    <row r="27" spans="1:5" x14ac:dyDescent="0.25">
      <c r="B27" s="7" t="s">
        <v>7</v>
      </c>
    </row>
    <row r="30" spans="1:5" x14ac:dyDescent="0.25">
      <c r="B30" s="1" t="s">
        <v>419</v>
      </c>
    </row>
    <row r="31" spans="1:5" x14ac:dyDescent="0.25">
      <c r="B31" s="1" t="s">
        <v>420</v>
      </c>
    </row>
    <row r="32" spans="1:5" x14ac:dyDescent="0.25">
      <c r="B32" s="1" t="s">
        <v>421</v>
      </c>
    </row>
    <row r="33" spans="1:10" x14ac:dyDescent="0.25">
      <c r="A33" s="40">
        <v>40061668</v>
      </c>
      <c r="B33" s="38" t="s">
        <v>322</v>
      </c>
      <c r="C33" s="58">
        <v>80</v>
      </c>
      <c r="I33" s="1">
        <v>1001154222</v>
      </c>
      <c r="J33" s="34">
        <v>1243.2</v>
      </c>
    </row>
    <row r="34" spans="1:10" x14ac:dyDescent="0.25">
      <c r="A34" s="40">
        <v>40065477</v>
      </c>
      <c r="B34" s="38" t="s">
        <v>357</v>
      </c>
      <c r="C34" s="58">
        <v>50</v>
      </c>
      <c r="I34" s="1">
        <v>1006207664</v>
      </c>
      <c r="J34" s="34">
        <v>16359.278</v>
      </c>
    </row>
    <row r="35" spans="1:10" x14ac:dyDescent="0.25">
      <c r="A35" s="40">
        <v>40065478</v>
      </c>
      <c r="B35" s="38" t="s">
        <v>358</v>
      </c>
      <c r="C35" s="58">
        <v>50</v>
      </c>
      <c r="I35" s="1">
        <v>5128391</v>
      </c>
    </row>
    <row r="37" spans="1:10" x14ac:dyDescent="0.25">
      <c r="C37" s="1">
        <f>SUBTOTAL(9,C33:C36)</f>
        <v>180</v>
      </c>
    </row>
  </sheetData>
  <mergeCells count="5">
    <mergeCell ref="A5:F5"/>
    <mergeCell ref="A6:F6"/>
    <mergeCell ref="A7:B7"/>
    <mergeCell ref="C7:D7"/>
    <mergeCell ref="E7:F7"/>
  </mergeCells>
  <conditionalFormatting sqref="A33:B35">
    <cfRule type="expression" dxfId="47" priority="1">
      <formula>$K33="I"</formula>
    </cfRule>
    <cfRule type="expression" dxfId="46" priority="2">
      <formula>$K33="H"</formula>
    </cfRule>
    <cfRule type="expression" dxfId="45" priority="3">
      <formula>$K33="G"</formula>
    </cfRule>
    <cfRule type="expression" dxfId="44" priority="4">
      <formula>$K33="F"</formula>
    </cfRule>
    <cfRule type="expression" dxfId="43" priority="5">
      <formula>$K33="E"</formula>
    </cfRule>
    <cfRule type="expression" dxfId="42" priority="6">
      <formula>$K33="W"</formula>
    </cfRule>
    <cfRule type="expression" dxfId="41" priority="7">
      <formula>$K33="D"</formula>
    </cfRule>
    <cfRule type="expression" dxfId="40" priority="8">
      <formula>$K33="B"</formula>
    </cfRule>
    <cfRule type="expression" dxfId="39" priority="9">
      <formula>$K33="A"</formula>
    </cfRule>
    <cfRule type="expression" dxfId="38" priority="10">
      <formula>$K33="C"</formula>
    </cfRule>
  </conditionalFormatting>
  <conditionalFormatting sqref="B11">
    <cfRule type="duplicateValues" dxfId="37" priority="11"/>
  </conditionalFormatting>
  <printOptions horizontalCentered="1" verticalCentered="1"/>
  <pageMargins left="0" right="0" top="0" bottom="0" header="0" footer="0"/>
  <pageSetup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J31"/>
  <sheetViews>
    <sheetView workbookViewId="0">
      <selection activeCell="J16" sqref="J16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10" ht="15.75" thickBot="1" x14ac:dyDescent="0.3">
      <c r="B1" s="19"/>
      <c r="C1" s="19"/>
      <c r="D1" s="19"/>
      <c r="E1" s="19"/>
      <c r="F1" s="19"/>
      <c r="I1" s="34">
        <v>16967.599999999999</v>
      </c>
      <c r="J1" s="32">
        <v>52596511</v>
      </c>
    </row>
    <row r="2" spans="1:10" ht="15.75" x14ac:dyDescent="0.25">
      <c r="A2" s="20"/>
      <c r="B2" s="21"/>
      <c r="C2" s="22"/>
      <c r="D2" s="23"/>
      <c r="E2" s="22"/>
      <c r="F2" s="24"/>
      <c r="G2" s="25"/>
    </row>
    <row r="3" spans="1:10" ht="16.5" thickBot="1" x14ac:dyDescent="0.3">
      <c r="A3" s="20"/>
      <c r="B3" s="26"/>
      <c r="C3" s="27"/>
      <c r="D3" s="28"/>
      <c r="E3" s="28"/>
      <c r="F3" s="28"/>
    </row>
    <row r="4" spans="1:10" x14ac:dyDescent="0.25">
      <c r="B4" s="29"/>
      <c r="C4" s="29"/>
      <c r="D4" s="29"/>
      <c r="E4" s="29"/>
      <c r="F4" s="44"/>
    </row>
    <row r="5" spans="1:10" ht="15.75" x14ac:dyDescent="0.25">
      <c r="A5" s="61" t="s">
        <v>42</v>
      </c>
      <c r="B5" s="61"/>
      <c r="C5" s="61"/>
      <c r="D5" s="61"/>
      <c r="E5" s="61"/>
      <c r="F5" s="62"/>
    </row>
    <row r="6" spans="1:10" ht="15.75" x14ac:dyDescent="0.25">
      <c r="A6" s="61" t="s">
        <v>183</v>
      </c>
      <c r="B6" s="61"/>
      <c r="C6" s="61"/>
      <c r="D6" s="61"/>
      <c r="E6" s="61"/>
      <c r="F6" s="61"/>
    </row>
    <row r="7" spans="1:10" ht="23.25" x14ac:dyDescent="0.25">
      <c r="A7" s="63" t="s">
        <v>43</v>
      </c>
      <c r="B7" s="63"/>
      <c r="C7" s="64" t="s">
        <v>44</v>
      </c>
      <c r="D7" s="64"/>
      <c r="E7" s="65" t="s">
        <v>477</v>
      </c>
      <c r="F7" s="65"/>
    </row>
    <row r="8" spans="1:10" x14ac:dyDescent="0.25">
      <c r="A8" s="1" t="s">
        <v>46</v>
      </c>
      <c r="B8" s="2" t="s">
        <v>399</v>
      </c>
      <c r="C8" s="30">
        <v>808950690</v>
      </c>
      <c r="E8" s="1" t="s">
        <v>47</v>
      </c>
      <c r="F8" s="31" t="s">
        <v>472</v>
      </c>
      <c r="G8" s="32" t="s">
        <v>89</v>
      </c>
      <c r="H8" s="34" t="s">
        <v>483</v>
      </c>
    </row>
    <row r="9" spans="1:10" x14ac:dyDescent="0.25">
      <c r="A9" s="1" t="s">
        <v>48</v>
      </c>
      <c r="B9" s="33" t="s">
        <v>459</v>
      </c>
      <c r="C9" s="30"/>
      <c r="E9" s="1" t="s">
        <v>49</v>
      </c>
      <c r="G9" s="1" t="s">
        <v>90</v>
      </c>
      <c r="H9" s="34">
        <v>55000</v>
      </c>
    </row>
    <row r="10" spans="1:10" x14ac:dyDescent="0.25">
      <c r="A10" s="1" t="s">
        <v>50</v>
      </c>
      <c r="B10" s="2" t="s">
        <v>475</v>
      </c>
      <c r="E10" s="1" t="s">
        <v>51</v>
      </c>
      <c r="G10" s="1" t="s">
        <v>91</v>
      </c>
    </row>
    <row r="11" spans="1:10" x14ac:dyDescent="0.25">
      <c r="A11" s="1" t="s">
        <v>52</v>
      </c>
      <c r="B11" s="33" t="s">
        <v>476</v>
      </c>
      <c r="G11" s="1" t="s">
        <v>403</v>
      </c>
      <c r="I11" s="34"/>
    </row>
    <row r="12" spans="1:10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  <c r="I12" s="36">
        <v>4400600750</v>
      </c>
    </row>
    <row r="13" spans="1:10" x14ac:dyDescent="0.25">
      <c r="A13" s="38">
        <v>40064876</v>
      </c>
      <c r="B13" s="38" t="s">
        <v>326</v>
      </c>
      <c r="C13" s="38">
        <v>500</v>
      </c>
      <c r="D13" s="33"/>
    </row>
    <row r="14" spans="1:10" x14ac:dyDescent="0.25">
      <c r="A14" s="38">
        <v>40064990</v>
      </c>
      <c r="B14" s="38" t="s">
        <v>474</v>
      </c>
      <c r="C14" s="38">
        <v>100</v>
      </c>
      <c r="E14" s="33"/>
      <c r="H14" s="34"/>
      <c r="J14" s="1">
        <v>1001154404</v>
      </c>
    </row>
    <row r="15" spans="1:10" x14ac:dyDescent="0.25">
      <c r="A15" s="38">
        <v>40064913</v>
      </c>
      <c r="B15" s="38" t="s">
        <v>303</v>
      </c>
      <c r="C15" s="38">
        <v>289</v>
      </c>
      <c r="D15" s="33"/>
      <c r="J15" s="1">
        <v>1006209890</v>
      </c>
    </row>
    <row r="16" spans="1:10" x14ac:dyDescent="0.25">
      <c r="A16" s="38">
        <v>40064907</v>
      </c>
      <c r="B16" s="38" t="s">
        <v>302</v>
      </c>
      <c r="C16" s="38">
        <v>13</v>
      </c>
      <c r="E16" s="33"/>
      <c r="G16" s="34"/>
      <c r="H16" s="34"/>
      <c r="J16" s="1">
        <v>5128507</v>
      </c>
    </row>
    <row r="17" spans="1:8" x14ac:dyDescent="0.25">
      <c r="A17" s="38">
        <v>40063540</v>
      </c>
      <c r="B17" s="38" t="s">
        <v>446</v>
      </c>
      <c r="C17" s="38">
        <v>150</v>
      </c>
    </row>
    <row r="18" spans="1:8" x14ac:dyDescent="0.25">
      <c r="A18" s="38">
        <v>40057243</v>
      </c>
      <c r="B18" s="38" t="s">
        <v>448</v>
      </c>
      <c r="C18" s="38">
        <v>800</v>
      </c>
      <c r="D18" s="33"/>
    </row>
    <row r="19" spans="1:8" x14ac:dyDescent="0.25">
      <c r="A19" s="38">
        <v>40061668</v>
      </c>
      <c r="B19" s="38" t="s">
        <v>322</v>
      </c>
      <c r="C19" s="38">
        <v>5</v>
      </c>
      <c r="E19" s="33"/>
      <c r="F19" s="33"/>
      <c r="H19" s="34"/>
    </row>
    <row r="20" spans="1:8" x14ac:dyDescent="0.25">
      <c r="A20" s="38">
        <v>40049949</v>
      </c>
      <c r="B20" s="38" t="s">
        <v>354</v>
      </c>
      <c r="C20" s="38">
        <v>140</v>
      </c>
      <c r="E20" s="33"/>
    </row>
    <row r="21" spans="1:8" x14ac:dyDescent="0.25">
      <c r="A21" s="38"/>
      <c r="B21" s="38"/>
      <c r="C21" s="38"/>
      <c r="D21" s="33"/>
    </row>
    <row r="22" spans="1:8" x14ac:dyDescent="0.25">
      <c r="A22" s="38"/>
      <c r="B22" s="38"/>
      <c r="C22" s="38"/>
      <c r="D22" s="33"/>
    </row>
    <row r="23" spans="1:8" x14ac:dyDescent="0.25">
      <c r="C23" s="7"/>
    </row>
    <row r="24" spans="1:8" x14ac:dyDescent="0.25">
      <c r="A24" s="33" t="s">
        <v>60</v>
      </c>
      <c r="B24" s="39"/>
      <c r="C24" s="33">
        <f>SUM(C13:C23)</f>
        <v>1997</v>
      </c>
      <c r="D24" s="33" t="s">
        <v>61</v>
      </c>
    </row>
    <row r="25" spans="1:8" x14ac:dyDescent="0.25">
      <c r="A25" s="33" t="s">
        <v>62</v>
      </c>
      <c r="B25" s="33"/>
      <c r="C25" s="33"/>
      <c r="D25" s="33" t="s">
        <v>63</v>
      </c>
    </row>
    <row r="27" spans="1:8" x14ac:dyDescent="0.25">
      <c r="A27" s="1" t="s">
        <v>64</v>
      </c>
      <c r="B27" s="1" t="s">
        <v>65</v>
      </c>
      <c r="C27" s="1" t="s">
        <v>66</v>
      </c>
      <c r="D27" s="1" t="s">
        <v>67</v>
      </c>
      <c r="E27" s="1" t="s">
        <v>68</v>
      </c>
    </row>
    <row r="28" spans="1:8" x14ac:dyDescent="0.25">
      <c r="A28" s="1">
        <v>1</v>
      </c>
    </row>
    <row r="29" spans="1:8" x14ac:dyDescent="0.25">
      <c r="A29" s="1">
        <v>2</v>
      </c>
    </row>
    <row r="30" spans="1:8" x14ac:dyDescent="0.25">
      <c r="A30" s="1">
        <v>3</v>
      </c>
    </row>
    <row r="31" spans="1:8" x14ac:dyDescent="0.25">
      <c r="B31" s="7" t="s">
        <v>7</v>
      </c>
    </row>
  </sheetData>
  <autoFilter ref="A12:J12" xr:uid="{00000000-0001-0000-0500-000000000000}">
    <sortState xmlns:xlrd2="http://schemas.microsoft.com/office/spreadsheetml/2017/richdata2" ref="A13:J20">
      <sortCondition ref="B12"/>
    </sortState>
  </autoFilter>
  <mergeCells count="5">
    <mergeCell ref="A5:F5"/>
    <mergeCell ref="A6:F6"/>
    <mergeCell ref="A7:B7"/>
    <mergeCell ref="C7:D7"/>
    <mergeCell ref="E7:F7"/>
  </mergeCells>
  <conditionalFormatting sqref="B11">
    <cfRule type="duplicateValues" dxfId="36" priority="1"/>
  </conditionalFormatting>
  <printOptions horizontalCentered="1" verticalCentered="1"/>
  <pageMargins left="0" right="0" top="0" bottom="0" header="0" footer="0"/>
  <pageSetup paperSize="9"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K69"/>
  <sheetViews>
    <sheetView workbookViewId="0">
      <selection activeCell="J19" sqref="J19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10" ht="15.75" thickBot="1" x14ac:dyDescent="0.3">
      <c r="B1" s="19"/>
      <c r="C1" s="19"/>
      <c r="D1" s="19"/>
      <c r="E1" s="19"/>
      <c r="F1" s="19"/>
    </row>
    <row r="2" spans="1:10" ht="15.75" x14ac:dyDescent="0.25">
      <c r="A2" s="20"/>
      <c r="B2" s="21"/>
      <c r="C2" s="22"/>
      <c r="D2" s="23"/>
      <c r="E2" s="22"/>
      <c r="F2" s="24"/>
      <c r="G2" s="25"/>
    </row>
    <row r="3" spans="1:10" ht="16.5" thickBot="1" x14ac:dyDescent="0.3">
      <c r="A3" s="20"/>
      <c r="B3" s="26"/>
      <c r="C3" s="27"/>
      <c r="D3" s="28"/>
      <c r="E3" s="28"/>
      <c r="F3" s="28"/>
    </row>
    <row r="4" spans="1:10" x14ac:dyDescent="0.25">
      <c r="B4" s="29"/>
      <c r="C4" s="29"/>
      <c r="D4" s="29"/>
      <c r="E4" s="29"/>
      <c r="F4" s="44"/>
    </row>
    <row r="5" spans="1:10" ht="15.75" x14ac:dyDescent="0.25">
      <c r="A5" s="61" t="s">
        <v>42</v>
      </c>
      <c r="B5" s="61"/>
      <c r="C5" s="61"/>
      <c r="D5" s="61"/>
      <c r="E5" s="61"/>
      <c r="F5" s="62"/>
    </row>
    <row r="6" spans="1:10" ht="15.75" x14ac:dyDescent="0.25">
      <c r="A6" s="61" t="s">
        <v>183</v>
      </c>
      <c r="B6" s="61"/>
      <c r="C6" s="61"/>
      <c r="D6" s="61"/>
      <c r="E6" s="61"/>
      <c r="F6" s="61"/>
    </row>
    <row r="7" spans="1:10" ht="23.25" x14ac:dyDescent="0.25">
      <c r="A7" s="63" t="s">
        <v>43</v>
      </c>
      <c r="B7" s="63"/>
      <c r="C7" s="64" t="s">
        <v>44</v>
      </c>
      <c r="D7" s="64"/>
      <c r="E7" s="65" t="s">
        <v>491</v>
      </c>
      <c r="F7" s="65"/>
    </row>
    <row r="8" spans="1:10" x14ac:dyDescent="0.25">
      <c r="A8" s="1" t="s">
        <v>46</v>
      </c>
      <c r="B8" s="2" t="s">
        <v>488</v>
      </c>
      <c r="C8" s="30">
        <v>808950772</v>
      </c>
      <c r="E8" s="1" t="s">
        <v>47</v>
      </c>
      <c r="F8" s="31" t="s">
        <v>472</v>
      </c>
      <c r="G8" s="32" t="s">
        <v>89</v>
      </c>
      <c r="H8" s="34" t="s">
        <v>395</v>
      </c>
    </row>
    <row r="9" spans="1:10" x14ac:dyDescent="0.25">
      <c r="A9" s="1" t="s">
        <v>48</v>
      </c>
      <c r="B9" s="33" t="s">
        <v>419</v>
      </c>
      <c r="C9" s="30">
        <v>808952393</v>
      </c>
      <c r="E9" s="1" t="s">
        <v>49</v>
      </c>
      <c r="G9" s="1" t="s">
        <v>90</v>
      </c>
      <c r="H9" s="34">
        <v>53000</v>
      </c>
    </row>
    <row r="10" spans="1:10" x14ac:dyDescent="0.25">
      <c r="A10" s="1" t="s">
        <v>50</v>
      </c>
      <c r="B10" s="2" t="s">
        <v>489</v>
      </c>
      <c r="E10" s="1" t="s">
        <v>51</v>
      </c>
      <c r="G10" s="1" t="s">
        <v>91</v>
      </c>
    </row>
    <row r="11" spans="1:10" x14ac:dyDescent="0.25">
      <c r="A11" s="1" t="s">
        <v>52</v>
      </c>
      <c r="B11" s="33" t="s">
        <v>490</v>
      </c>
      <c r="G11" s="1" t="s">
        <v>397</v>
      </c>
      <c r="I11" s="34"/>
    </row>
    <row r="12" spans="1:10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</row>
    <row r="13" spans="1:10" x14ac:dyDescent="0.25">
      <c r="A13" s="38">
        <v>40043571</v>
      </c>
      <c r="B13" s="38" t="s">
        <v>207</v>
      </c>
      <c r="C13" s="38">
        <v>4</v>
      </c>
      <c r="D13" s="33"/>
      <c r="E13" s="33"/>
      <c r="F13" s="33"/>
      <c r="H13" s="34"/>
      <c r="J13" s="1">
        <v>1001154400</v>
      </c>
    </row>
    <row r="14" spans="1:10" x14ac:dyDescent="0.25">
      <c r="A14" s="38">
        <v>40063614</v>
      </c>
      <c r="B14" s="38" t="s">
        <v>442</v>
      </c>
      <c r="C14" s="38">
        <v>115</v>
      </c>
      <c r="D14" s="33"/>
      <c r="E14" s="33"/>
      <c r="G14" s="34"/>
      <c r="H14" s="34"/>
    </row>
    <row r="15" spans="1:10" x14ac:dyDescent="0.25">
      <c r="A15" s="1">
        <v>40063757</v>
      </c>
      <c r="B15" s="1" t="s">
        <v>261</v>
      </c>
      <c r="C15" s="1">
        <v>26</v>
      </c>
      <c r="D15" s="1" t="s">
        <v>79</v>
      </c>
      <c r="E15" s="33"/>
      <c r="H15" s="34"/>
    </row>
    <row r="16" spans="1:10" x14ac:dyDescent="0.25">
      <c r="A16" s="1">
        <v>40065039</v>
      </c>
      <c r="B16" s="1" t="s">
        <v>478</v>
      </c>
      <c r="C16" s="1">
        <v>15</v>
      </c>
      <c r="D16" s="1" t="s">
        <v>79</v>
      </c>
      <c r="E16" s="33"/>
      <c r="J16" s="1">
        <v>1006209846</v>
      </c>
    </row>
    <row r="17" spans="1:10" x14ac:dyDescent="0.25">
      <c r="A17" s="38">
        <v>40062023</v>
      </c>
      <c r="B17" s="38" t="s">
        <v>278</v>
      </c>
      <c r="C17" s="38">
        <v>142</v>
      </c>
      <c r="D17" s="33"/>
      <c r="J17" s="1">
        <v>5128502</v>
      </c>
    </row>
    <row r="18" spans="1:10" x14ac:dyDescent="0.25">
      <c r="A18" s="38">
        <v>40064886</v>
      </c>
      <c r="B18" s="38" t="s">
        <v>298</v>
      </c>
      <c r="C18" s="38">
        <v>666</v>
      </c>
      <c r="D18" s="33"/>
    </row>
    <row r="19" spans="1:10" x14ac:dyDescent="0.25">
      <c r="A19" s="38">
        <v>40065373</v>
      </c>
      <c r="B19" s="38" t="s">
        <v>313</v>
      </c>
      <c r="C19" s="38">
        <v>115</v>
      </c>
      <c r="D19" s="33"/>
      <c r="J19" s="1">
        <v>1006209845</v>
      </c>
    </row>
    <row r="20" spans="1:10" x14ac:dyDescent="0.25">
      <c r="A20" s="38">
        <v>40041349</v>
      </c>
      <c r="B20" s="38" t="s">
        <v>196</v>
      </c>
      <c r="C20" s="38">
        <v>4</v>
      </c>
      <c r="D20" s="33"/>
      <c r="J20" s="1">
        <v>5128501</v>
      </c>
    </row>
    <row r="21" spans="1:10" x14ac:dyDescent="0.25">
      <c r="A21" s="38">
        <v>40039418</v>
      </c>
      <c r="B21" s="38" t="s">
        <v>189</v>
      </c>
      <c r="C21" s="38">
        <v>5</v>
      </c>
    </row>
    <row r="22" spans="1:10" x14ac:dyDescent="0.25">
      <c r="A22" s="38">
        <v>40039359</v>
      </c>
      <c r="B22" s="38" t="s">
        <v>187</v>
      </c>
      <c r="C22" s="38">
        <v>10</v>
      </c>
    </row>
    <row r="23" spans="1:10" x14ac:dyDescent="0.25">
      <c r="A23" s="38">
        <v>40064248</v>
      </c>
      <c r="B23" s="38" t="s">
        <v>241</v>
      </c>
      <c r="C23" s="38">
        <v>10</v>
      </c>
      <c r="D23" s="33"/>
    </row>
    <row r="24" spans="1:10" x14ac:dyDescent="0.25">
      <c r="A24" s="38">
        <v>40057096</v>
      </c>
      <c r="B24" s="38" t="s">
        <v>210</v>
      </c>
      <c r="C24" s="38">
        <v>2</v>
      </c>
      <c r="D24" s="33"/>
    </row>
    <row r="25" spans="1:10" x14ac:dyDescent="0.25">
      <c r="A25" s="38">
        <v>40057097</v>
      </c>
      <c r="B25" s="38" t="s">
        <v>211</v>
      </c>
      <c r="C25" s="38">
        <v>3</v>
      </c>
      <c r="D25" s="33"/>
    </row>
    <row r="26" spans="1:10" x14ac:dyDescent="0.25">
      <c r="A26" s="38">
        <v>40057095</v>
      </c>
      <c r="B26" s="38" t="s">
        <v>209</v>
      </c>
      <c r="C26" s="38">
        <v>2</v>
      </c>
      <c r="D26" s="33"/>
    </row>
    <row r="27" spans="1:10" x14ac:dyDescent="0.25">
      <c r="A27" s="38">
        <v>40057084</v>
      </c>
      <c r="B27" s="38" t="s">
        <v>208</v>
      </c>
      <c r="C27" s="38">
        <v>4</v>
      </c>
      <c r="D27" s="33"/>
    </row>
    <row r="28" spans="1:10" x14ac:dyDescent="0.25">
      <c r="A28" s="38">
        <v>40050209</v>
      </c>
      <c r="B28" s="38" t="s">
        <v>206</v>
      </c>
      <c r="C28" s="38">
        <v>2</v>
      </c>
      <c r="D28" s="33"/>
    </row>
    <row r="29" spans="1:10" x14ac:dyDescent="0.25">
      <c r="A29" s="38">
        <v>40062385</v>
      </c>
      <c r="B29" s="38" t="s">
        <v>341</v>
      </c>
      <c r="C29" s="38">
        <v>3</v>
      </c>
      <c r="D29" s="33"/>
    </row>
    <row r="30" spans="1:10" x14ac:dyDescent="0.25">
      <c r="A30" s="38">
        <v>40065157</v>
      </c>
      <c r="B30" s="38" t="s">
        <v>444</v>
      </c>
      <c r="C30" s="38">
        <v>40</v>
      </c>
      <c r="D30" s="33"/>
    </row>
    <row r="31" spans="1:10" x14ac:dyDescent="0.25">
      <c r="A31" s="38">
        <v>40059656</v>
      </c>
      <c r="B31" s="38" t="s">
        <v>229</v>
      </c>
      <c r="C31" s="38">
        <v>9</v>
      </c>
      <c r="D31" s="33"/>
    </row>
    <row r="32" spans="1:10" x14ac:dyDescent="0.25">
      <c r="A32" s="38">
        <v>40059679</v>
      </c>
      <c r="B32" s="38" t="s">
        <v>340</v>
      </c>
      <c r="C32" s="38">
        <v>33</v>
      </c>
      <c r="D32" s="33"/>
    </row>
    <row r="33" spans="1:4" x14ac:dyDescent="0.25">
      <c r="A33" s="38">
        <v>40062524</v>
      </c>
      <c r="B33" s="38" t="s">
        <v>308</v>
      </c>
      <c r="C33" s="38">
        <v>10</v>
      </c>
      <c r="D33" s="33"/>
    </row>
    <row r="34" spans="1:4" x14ac:dyDescent="0.25">
      <c r="A34" s="38">
        <v>40062523</v>
      </c>
      <c r="B34" s="38" t="s">
        <v>319</v>
      </c>
      <c r="C34" s="38">
        <v>10</v>
      </c>
      <c r="D34" s="33"/>
    </row>
    <row r="35" spans="1:4" x14ac:dyDescent="0.25">
      <c r="A35" s="38">
        <v>40058612</v>
      </c>
      <c r="B35" s="38" t="s">
        <v>321</v>
      </c>
      <c r="C35" s="38">
        <v>2</v>
      </c>
      <c r="D35" s="33"/>
    </row>
    <row r="36" spans="1:4" x14ac:dyDescent="0.25">
      <c r="A36" s="38">
        <v>40062334</v>
      </c>
      <c r="B36" s="38" t="s">
        <v>324</v>
      </c>
      <c r="C36" s="38">
        <v>4</v>
      </c>
      <c r="D36" s="33"/>
    </row>
    <row r="37" spans="1:4" x14ac:dyDescent="0.25">
      <c r="A37" s="38">
        <v>40062349</v>
      </c>
      <c r="B37" s="38" t="s">
        <v>344</v>
      </c>
      <c r="C37" s="38">
        <v>1</v>
      </c>
      <c r="D37" s="33"/>
    </row>
    <row r="38" spans="1:4" x14ac:dyDescent="0.25">
      <c r="A38" s="38">
        <v>40058547</v>
      </c>
      <c r="B38" s="38" t="s">
        <v>219</v>
      </c>
      <c r="C38" s="38">
        <v>1</v>
      </c>
      <c r="D38" s="33"/>
    </row>
    <row r="39" spans="1:4" x14ac:dyDescent="0.25">
      <c r="A39" s="38">
        <v>40062517</v>
      </c>
      <c r="B39" s="38" t="s">
        <v>342</v>
      </c>
      <c r="C39" s="38">
        <v>3</v>
      </c>
      <c r="D39" s="33"/>
    </row>
    <row r="40" spans="1:4" x14ac:dyDescent="0.25">
      <c r="A40" s="38">
        <v>40062328</v>
      </c>
      <c r="B40" s="38" t="s">
        <v>329</v>
      </c>
      <c r="C40" s="38">
        <v>3</v>
      </c>
      <c r="D40" s="33"/>
    </row>
    <row r="41" spans="1:4" x14ac:dyDescent="0.25">
      <c r="A41" s="38">
        <v>40062336</v>
      </c>
      <c r="B41" s="38" t="s">
        <v>332</v>
      </c>
      <c r="C41" s="38">
        <v>4</v>
      </c>
      <c r="D41" s="33"/>
    </row>
    <row r="42" spans="1:4" x14ac:dyDescent="0.25">
      <c r="A42" s="38">
        <v>40060426</v>
      </c>
      <c r="B42" s="38" t="s">
        <v>232</v>
      </c>
      <c r="C42" s="38">
        <v>2</v>
      </c>
      <c r="D42" s="33"/>
    </row>
    <row r="43" spans="1:4" x14ac:dyDescent="0.25">
      <c r="A43" s="38">
        <v>40064330</v>
      </c>
      <c r="B43" s="38" t="s">
        <v>346</v>
      </c>
      <c r="C43" s="38">
        <v>2</v>
      </c>
      <c r="D43" s="33"/>
    </row>
    <row r="44" spans="1:4" x14ac:dyDescent="0.25">
      <c r="A44" s="38">
        <v>40063788</v>
      </c>
      <c r="B44" s="38" t="s">
        <v>345</v>
      </c>
      <c r="C44" s="38">
        <v>2</v>
      </c>
      <c r="D44" s="33"/>
    </row>
    <row r="45" spans="1:4" x14ac:dyDescent="0.25">
      <c r="A45" s="38">
        <v>40059400</v>
      </c>
      <c r="B45" s="38" t="s">
        <v>215</v>
      </c>
      <c r="C45" s="38">
        <v>1</v>
      </c>
      <c r="D45" s="33"/>
    </row>
    <row r="46" spans="1:4" x14ac:dyDescent="0.25">
      <c r="A46" s="38">
        <v>40059654</v>
      </c>
      <c r="B46" s="38" t="s">
        <v>343</v>
      </c>
      <c r="C46" s="38">
        <v>3</v>
      </c>
      <c r="D46" s="33"/>
    </row>
    <row r="47" spans="1:4" x14ac:dyDescent="0.25">
      <c r="A47" s="38">
        <v>40061999</v>
      </c>
      <c r="B47" s="38" t="s">
        <v>316</v>
      </c>
      <c r="C47" s="38">
        <v>13</v>
      </c>
      <c r="D47" s="33"/>
    </row>
    <row r="48" spans="1:4" x14ac:dyDescent="0.25">
      <c r="A48" s="38">
        <v>40064088</v>
      </c>
      <c r="B48" s="38" t="s">
        <v>258</v>
      </c>
      <c r="C48" s="38">
        <v>14</v>
      </c>
      <c r="D48" s="33"/>
    </row>
    <row r="49" spans="1:11" x14ac:dyDescent="0.25">
      <c r="A49" s="1">
        <v>40064428</v>
      </c>
      <c r="B49" s="1" t="s">
        <v>336</v>
      </c>
      <c r="C49" s="1">
        <v>1</v>
      </c>
      <c r="D49" s="1" t="s">
        <v>79</v>
      </c>
    </row>
    <row r="50" spans="1:11" x14ac:dyDescent="0.25">
      <c r="A50" s="38">
        <v>40060646</v>
      </c>
      <c r="B50" s="38" t="s">
        <v>238</v>
      </c>
      <c r="C50" s="38">
        <v>1</v>
      </c>
      <c r="D50" s="33"/>
    </row>
    <row r="51" spans="1:11" x14ac:dyDescent="0.25">
      <c r="A51" s="38">
        <v>40060423</v>
      </c>
      <c r="B51" s="38" t="s">
        <v>348</v>
      </c>
      <c r="C51" s="38">
        <v>2</v>
      </c>
      <c r="D51" s="33"/>
    </row>
    <row r="52" spans="1:11" x14ac:dyDescent="0.25">
      <c r="A52" s="38">
        <v>40059648</v>
      </c>
      <c r="B52" s="38" t="s">
        <v>228</v>
      </c>
      <c r="C52" s="38">
        <v>2</v>
      </c>
      <c r="D52" s="33"/>
    </row>
    <row r="53" spans="1:11" x14ac:dyDescent="0.25">
      <c r="A53" s="38">
        <v>40062347</v>
      </c>
      <c r="B53" s="38" t="s">
        <v>451</v>
      </c>
      <c r="C53" s="38">
        <v>100</v>
      </c>
      <c r="D53" s="33"/>
    </row>
    <row r="54" spans="1:11" x14ac:dyDescent="0.25">
      <c r="C54" s="7"/>
    </row>
    <row r="55" spans="1:11" x14ac:dyDescent="0.25">
      <c r="A55" s="33" t="s">
        <v>60</v>
      </c>
      <c r="B55" s="39"/>
      <c r="C55" s="33">
        <f>SUM(C13:C54)</f>
        <v>1391</v>
      </c>
      <c r="D55" s="33" t="s">
        <v>61</v>
      </c>
    </row>
    <row r="56" spans="1:11" x14ac:dyDescent="0.25">
      <c r="A56" s="33" t="s">
        <v>62</v>
      </c>
      <c r="B56" s="33"/>
      <c r="C56" s="33"/>
      <c r="D56" s="33" t="s">
        <v>63</v>
      </c>
    </row>
    <row r="58" spans="1:11" x14ac:dyDescent="0.25">
      <c r="A58" s="1" t="s">
        <v>64</v>
      </c>
      <c r="B58" s="1" t="s">
        <v>65</v>
      </c>
      <c r="C58" s="1" t="s">
        <v>66</v>
      </c>
      <c r="D58" s="1" t="s">
        <v>67</v>
      </c>
      <c r="E58" s="1" t="s">
        <v>68</v>
      </c>
    </row>
    <row r="59" spans="1:11" x14ac:dyDescent="0.25">
      <c r="A59" s="1">
        <v>1</v>
      </c>
    </row>
    <row r="60" spans="1:11" x14ac:dyDescent="0.25">
      <c r="A60" s="1">
        <v>2</v>
      </c>
    </row>
    <row r="61" spans="1:11" x14ac:dyDescent="0.25">
      <c r="A61" s="1">
        <v>3</v>
      </c>
    </row>
    <row r="62" spans="1:11" x14ac:dyDescent="0.25">
      <c r="B62" s="7" t="s">
        <v>7</v>
      </c>
    </row>
    <row r="64" spans="1:11" x14ac:dyDescent="0.25">
      <c r="A64" s="35" t="s">
        <v>53</v>
      </c>
      <c r="B64" s="36" t="s">
        <v>54</v>
      </c>
      <c r="C64" s="17" t="s">
        <v>55</v>
      </c>
      <c r="D64" s="36" t="s">
        <v>94</v>
      </c>
      <c r="E64" s="36" t="s">
        <v>56</v>
      </c>
      <c r="F64" s="33" t="s">
        <v>57</v>
      </c>
      <c r="G64" s="36" t="s">
        <v>58</v>
      </c>
      <c r="H64" s="37" t="s">
        <v>59</v>
      </c>
      <c r="J64" s="1">
        <v>1001154222</v>
      </c>
      <c r="K64" s="34">
        <v>1243.2</v>
      </c>
    </row>
    <row r="65" spans="1:11" x14ac:dyDescent="0.25">
      <c r="A65" s="1">
        <v>40065478</v>
      </c>
      <c r="B65" s="1" t="s">
        <v>358</v>
      </c>
      <c r="C65" s="1">
        <v>50</v>
      </c>
      <c r="D65" s="1" t="s">
        <v>492</v>
      </c>
      <c r="J65" s="1">
        <v>1006207664</v>
      </c>
      <c r="K65" s="34">
        <v>16359.278</v>
      </c>
    </row>
    <row r="66" spans="1:11" x14ac:dyDescent="0.25">
      <c r="A66" s="1">
        <v>40065477</v>
      </c>
      <c r="B66" s="1" t="s">
        <v>357</v>
      </c>
      <c r="C66" s="1">
        <v>50</v>
      </c>
      <c r="D66" s="1" t="s">
        <v>492</v>
      </c>
      <c r="J66" s="1">
        <v>5128391</v>
      </c>
    </row>
    <row r="67" spans="1:11" x14ac:dyDescent="0.25">
      <c r="A67" s="1">
        <v>40061668</v>
      </c>
      <c r="B67" s="1" t="s">
        <v>322</v>
      </c>
      <c r="C67" s="1">
        <v>80</v>
      </c>
      <c r="D67" s="1" t="s">
        <v>492</v>
      </c>
    </row>
    <row r="69" spans="1:11" x14ac:dyDescent="0.25">
      <c r="C69" s="1">
        <f>SUM(C65:C68)</f>
        <v>180</v>
      </c>
    </row>
  </sheetData>
  <sortState xmlns:xlrd2="http://schemas.microsoft.com/office/spreadsheetml/2017/richdata2" ref="A65:C67">
    <sortCondition ref="B65:B67"/>
  </sortState>
  <mergeCells count="5">
    <mergeCell ref="A5:F5"/>
    <mergeCell ref="A6:F6"/>
    <mergeCell ref="A7:B7"/>
    <mergeCell ref="C7:D7"/>
    <mergeCell ref="E7:F7"/>
  </mergeCells>
  <conditionalFormatting sqref="B11">
    <cfRule type="duplicateValues" dxfId="35" priority="1"/>
  </conditionalFormatting>
  <printOptions horizontalCentered="1" verticalCentered="1"/>
  <pageMargins left="0" right="0" top="0" bottom="0" header="0" footer="0"/>
  <pageSetup scale="9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54"/>
  <sheetViews>
    <sheetView topLeftCell="A24" workbookViewId="0">
      <selection activeCell="J16" sqref="J16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9" ht="15.75" thickBot="1" x14ac:dyDescent="0.3">
      <c r="B1" s="19"/>
      <c r="C1" s="19"/>
      <c r="D1" s="19"/>
      <c r="E1" s="19"/>
      <c r="F1" s="19"/>
    </row>
    <row r="2" spans="1:9" ht="15.75" x14ac:dyDescent="0.25">
      <c r="A2" s="20"/>
      <c r="B2" s="21"/>
      <c r="C2" s="22"/>
      <c r="D2" s="23"/>
      <c r="E2" s="22"/>
      <c r="F2" s="24"/>
      <c r="G2" s="25"/>
    </row>
    <row r="3" spans="1:9" ht="16.5" thickBot="1" x14ac:dyDescent="0.3">
      <c r="A3" s="20"/>
      <c r="B3" s="26"/>
      <c r="C3" s="27"/>
      <c r="D3" s="28"/>
      <c r="E3" s="28"/>
      <c r="F3" s="28"/>
    </row>
    <row r="4" spans="1:9" x14ac:dyDescent="0.25">
      <c r="B4" s="29"/>
      <c r="C4" s="29"/>
      <c r="D4" s="29"/>
      <c r="E4" s="29"/>
      <c r="F4" s="44"/>
    </row>
    <row r="5" spans="1:9" ht="15.75" x14ac:dyDescent="0.25">
      <c r="A5" s="61" t="s">
        <v>42</v>
      </c>
      <c r="B5" s="61"/>
      <c r="C5" s="61"/>
      <c r="D5" s="61"/>
      <c r="E5" s="61"/>
      <c r="F5" s="62"/>
    </row>
    <row r="6" spans="1:9" ht="15.75" x14ac:dyDescent="0.25">
      <c r="A6" s="61" t="s">
        <v>183</v>
      </c>
      <c r="B6" s="61"/>
      <c r="C6" s="61"/>
      <c r="D6" s="61"/>
      <c r="E6" s="61"/>
      <c r="F6" s="61"/>
    </row>
    <row r="7" spans="1:9" ht="23.25" x14ac:dyDescent="0.25">
      <c r="A7" s="63" t="s">
        <v>43</v>
      </c>
      <c r="B7" s="63"/>
      <c r="C7" s="64" t="s">
        <v>44</v>
      </c>
      <c r="D7" s="64"/>
      <c r="E7" s="65" t="s">
        <v>624</v>
      </c>
      <c r="F7" s="65"/>
    </row>
    <row r="8" spans="1:9" x14ac:dyDescent="0.25">
      <c r="A8" s="1" t="s">
        <v>46</v>
      </c>
      <c r="B8" s="2" t="s">
        <v>622</v>
      </c>
      <c r="C8" s="30">
        <v>808952356</v>
      </c>
      <c r="E8" s="1" t="s">
        <v>47</v>
      </c>
      <c r="F8" s="31" t="s">
        <v>472</v>
      </c>
      <c r="G8" s="32" t="s">
        <v>89</v>
      </c>
      <c r="H8" s="34"/>
    </row>
    <row r="9" spans="1:9" x14ac:dyDescent="0.25">
      <c r="A9" s="1" t="s">
        <v>48</v>
      </c>
      <c r="B9" s="33"/>
      <c r="C9" s="30"/>
      <c r="E9" s="1" t="s">
        <v>49</v>
      </c>
      <c r="G9" s="1" t="s">
        <v>90</v>
      </c>
      <c r="H9" s="34"/>
    </row>
    <row r="10" spans="1:9" x14ac:dyDescent="0.25">
      <c r="A10" s="1" t="s">
        <v>50</v>
      </c>
      <c r="B10" s="2" t="s">
        <v>623</v>
      </c>
      <c r="E10" s="1" t="s">
        <v>51</v>
      </c>
      <c r="G10" s="1" t="s">
        <v>91</v>
      </c>
    </row>
    <row r="11" spans="1:9" x14ac:dyDescent="0.25">
      <c r="A11" s="1" t="s">
        <v>52</v>
      </c>
      <c r="B11" s="33"/>
      <c r="I11" s="34"/>
    </row>
    <row r="12" spans="1:9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</row>
    <row r="13" spans="1:9" x14ac:dyDescent="0.25">
      <c r="A13" s="40">
        <v>40050728</v>
      </c>
      <c r="B13" s="40" t="s">
        <v>214</v>
      </c>
      <c r="C13" s="38">
        <v>3</v>
      </c>
      <c r="D13" s="1" t="s">
        <v>84</v>
      </c>
      <c r="E13" s="33"/>
      <c r="F13" s="33"/>
      <c r="H13" s="34"/>
    </row>
    <row r="14" spans="1:9" x14ac:dyDescent="0.25">
      <c r="A14" s="38">
        <v>40060030</v>
      </c>
      <c r="B14" s="38" t="s">
        <v>462</v>
      </c>
      <c r="C14" s="38">
        <v>115</v>
      </c>
      <c r="D14" s="1" t="s">
        <v>84</v>
      </c>
      <c r="E14" s="33"/>
      <c r="H14" s="34"/>
    </row>
    <row r="15" spans="1:9" x14ac:dyDescent="0.25">
      <c r="A15" s="40">
        <v>40060034</v>
      </c>
      <c r="B15" s="40" t="s">
        <v>463</v>
      </c>
      <c r="C15" s="38">
        <v>30</v>
      </c>
      <c r="D15" s="1" t="s">
        <v>84</v>
      </c>
      <c r="E15" s="33"/>
      <c r="G15" s="34"/>
      <c r="H15" s="34"/>
      <c r="I15" s="77">
        <v>1001154347</v>
      </c>
    </row>
    <row r="16" spans="1:9" x14ac:dyDescent="0.25">
      <c r="A16" s="38">
        <v>40063169</v>
      </c>
      <c r="B16" s="38" t="s">
        <v>602</v>
      </c>
      <c r="C16" s="38">
        <v>7</v>
      </c>
      <c r="D16" s="1" t="s">
        <v>84</v>
      </c>
      <c r="I16" s="1">
        <v>7000640945</v>
      </c>
    </row>
    <row r="17" spans="1:6" x14ac:dyDescent="0.25">
      <c r="A17" s="38">
        <v>40063022</v>
      </c>
      <c r="B17" s="38" t="s">
        <v>603</v>
      </c>
      <c r="C17" s="38">
        <v>70</v>
      </c>
      <c r="D17" s="1" t="s">
        <v>84</v>
      </c>
    </row>
    <row r="18" spans="1:6" x14ac:dyDescent="0.25">
      <c r="A18" s="40">
        <v>40063753</v>
      </c>
      <c r="B18" s="40" t="s">
        <v>513</v>
      </c>
      <c r="C18" s="38">
        <v>121</v>
      </c>
      <c r="D18" s="1" t="s">
        <v>84</v>
      </c>
    </row>
    <row r="19" spans="1:6" x14ac:dyDescent="0.25">
      <c r="A19" s="40">
        <v>40063689</v>
      </c>
      <c r="B19" s="40" t="s">
        <v>516</v>
      </c>
      <c r="C19" s="38">
        <v>14</v>
      </c>
      <c r="D19" s="1" t="s">
        <v>84</v>
      </c>
    </row>
    <row r="20" spans="1:6" x14ac:dyDescent="0.25">
      <c r="A20" s="38">
        <v>40049729</v>
      </c>
      <c r="B20" s="38" t="s">
        <v>606</v>
      </c>
      <c r="C20" s="38">
        <v>106</v>
      </c>
      <c r="D20" s="1" t="s">
        <v>84</v>
      </c>
    </row>
    <row r="21" spans="1:6" x14ac:dyDescent="0.25">
      <c r="A21" s="38">
        <v>40063016</v>
      </c>
      <c r="B21" s="38" t="s">
        <v>230</v>
      </c>
      <c r="C21" s="38">
        <v>13</v>
      </c>
      <c r="D21" s="1" t="s">
        <v>84</v>
      </c>
      <c r="E21" s="33"/>
    </row>
    <row r="22" spans="1:6" x14ac:dyDescent="0.25">
      <c r="A22" s="38">
        <v>40063427</v>
      </c>
      <c r="B22" s="38" t="s">
        <v>601</v>
      </c>
      <c r="C22" s="38">
        <v>4</v>
      </c>
      <c r="D22" s="1" t="s">
        <v>84</v>
      </c>
    </row>
    <row r="23" spans="1:6" x14ac:dyDescent="0.25">
      <c r="A23" s="38">
        <v>40063605</v>
      </c>
      <c r="B23" s="38" t="s">
        <v>604</v>
      </c>
      <c r="C23" s="38">
        <v>3</v>
      </c>
      <c r="D23" s="1" t="s">
        <v>84</v>
      </c>
    </row>
    <row r="24" spans="1:6" x14ac:dyDescent="0.25">
      <c r="A24" s="38">
        <v>40063606</v>
      </c>
      <c r="B24" s="38" t="s">
        <v>438</v>
      </c>
      <c r="C24" s="38">
        <v>10</v>
      </c>
      <c r="D24" s="1" t="s">
        <v>84</v>
      </c>
    </row>
    <row r="25" spans="1:6" x14ac:dyDescent="0.25">
      <c r="A25" s="38">
        <v>40063604</v>
      </c>
      <c r="B25" s="38" t="s">
        <v>282</v>
      </c>
      <c r="C25" s="38">
        <v>182</v>
      </c>
      <c r="D25" s="1" t="s">
        <v>84</v>
      </c>
      <c r="F25" s="1">
        <v>181</v>
      </c>
    </row>
    <row r="26" spans="1:6" x14ac:dyDescent="0.25">
      <c r="A26" s="40">
        <v>40065335</v>
      </c>
      <c r="B26" s="40" t="s">
        <v>284</v>
      </c>
      <c r="C26" s="38">
        <v>1</v>
      </c>
      <c r="D26" s="1" t="s">
        <v>84</v>
      </c>
    </row>
    <row r="27" spans="1:6" x14ac:dyDescent="0.25">
      <c r="A27" s="38">
        <v>40065291</v>
      </c>
      <c r="B27" s="38" t="s">
        <v>600</v>
      </c>
      <c r="C27" s="38">
        <v>715</v>
      </c>
      <c r="D27" s="1" t="s">
        <v>84</v>
      </c>
    </row>
    <row r="28" spans="1:6" x14ac:dyDescent="0.25">
      <c r="A28" s="38">
        <v>40064109</v>
      </c>
      <c r="B28" s="38" t="s">
        <v>605</v>
      </c>
      <c r="C28" s="38">
        <v>10</v>
      </c>
      <c r="D28" s="1" t="s">
        <v>84</v>
      </c>
    </row>
    <row r="29" spans="1:6" x14ac:dyDescent="0.25">
      <c r="A29" s="40">
        <v>40050411</v>
      </c>
      <c r="B29" s="40" t="s">
        <v>296</v>
      </c>
      <c r="C29" s="38">
        <v>41</v>
      </c>
      <c r="D29" s="1" t="s">
        <v>84</v>
      </c>
    </row>
    <row r="30" spans="1:6" x14ac:dyDescent="0.25">
      <c r="A30" s="40">
        <v>40063489</v>
      </c>
      <c r="B30" s="40" t="s">
        <v>306</v>
      </c>
      <c r="C30" s="38">
        <v>16</v>
      </c>
      <c r="D30" s="1" t="s">
        <v>84</v>
      </c>
    </row>
    <row r="31" spans="1:6" x14ac:dyDescent="0.25">
      <c r="A31" s="38"/>
      <c r="B31" s="38"/>
      <c r="C31" s="38"/>
      <c r="D31" s="33"/>
    </row>
    <row r="32" spans="1:6" x14ac:dyDescent="0.25">
      <c r="A32" s="38"/>
      <c r="B32" s="38"/>
      <c r="C32" s="38">
        <f>SUM(C13:C31)</f>
        <v>1461</v>
      </c>
      <c r="D32" s="33"/>
    </row>
    <row r="33" spans="1:9" x14ac:dyDescent="0.25">
      <c r="A33" s="38"/>
      <c r="B33" s="38"/>
      <c r="C33" s="38"/>
      <c r="D33" s="33"/>
    </row>
    <row r="34" spans="1:9" x14ac:dyDescent="0.25">
      <c r="A34" s="35" t="s">
        <v>53</v>
      </c>
      <c r="B34" s="36" t="s">
        <v>54</v>
      </c>
      <c r="C34" s="17" t="s">
        <v>55</v>
      </c>
      <c r="D34" s="36" t="s">
        <v>94</v>
      </c>
      <c r="E34" s="36" t="s">
        <v>56</v>
      </c>
      <c r="F34" s="33" t="s">
        <v>57</v>
      </c>
      <c r="G34" s="36" t="s">
        <v>58</v>
      </c>
      <c r="H34" s="37" t="s">
        <v>59</v>
      </c>
    </row>
    <row r="35" spans="1:9" x14ac:dyDescent="0.25">
      <c r="A35" s="40">
        <v>40065157</v>
      </c>
      <c r="B35" s="40" t="s">
        <v>444</v>
      </c>
      <c r="C35" s="66">
        <v>150</v>
      </c>
      <c r="D35" s="33"/>
    </row>
    <row r="36" spans="1:9" x14ac:dyDescent="0.25">
      <c r="A36" s="40">
        <v>40062519</v>
      </c>
      <c r="B36" s="40" t="s">
        <v>591</v>
      </c>
      <c r="C36" s="66">
        <v>5</v>
      </c>
      <c r="D36" s="33"/>
      <c r="I36" s="1">
        <v>808952334</v>
      </c>
    </row>
    <row r="37" spans="1:9" x14ac:dyDescent="0.25">
      <c r="A37" s="40">
        <v>40064503</v>
      </c>
      <c r="B37" s="40" t="s">
        <v>352</v>
      </c>
      <c r="C37" s="66">
        <v>1</v>
      </c>
      <c r="D37" s="33"/>
      <c r="I37" s="1">
        <v>808952335</v>
      </c>
    </row>
    <row r="38" spans="1:9" x14ac:dyDescent="0.25">
      <c r="A38" s="40">
        <v>40064375</v>
      </c>
      <c r="B38" s="40" t="s">
        <v>427</v>
      </c>
      <c r="C38" s="66">
        <v>2</v>
      </c>
      <c r="D38" s="33"/>
    </row>
    <row r="39" spans="1:9" x14ac:dyDescent="0.25">
      <c r="A39" s="40">
        <v>40050073</v>
      </c>
      <c r="B39" s="40" t="s">
        <v>540</v>
      </c>
      <c r="C39" s="66">
        <v>7</v>
      </c>
      <c r="D39" s="33"/>
    </row>
    <row r="40" spans="1:9" x14ac:dyDescent="0.25">
      <c r="A40" s="40">
        <v>40057243</v>
      </c>
      <c r="B40" s="40" t="s">
        <v>448</v>
      </c>
      <c r="C40" s="66">
        <v>100</v>
      </c>
      <c r="D40" s="33"/>
    </row>
    <row r="41" spans="1:9" x14ac:dyDescent="0.25">
      <c r="A41" s="40">
        <v>40061668</v>
      </c>
      <c r="B41" s="40" t="s">
        <v>322</v>
      </c>
      <c r="C41" s="66">
        <v>150</v>
      </c>
      <c r="D41" s="33"/>
    </row>
    <row r="42" spans="1:9" x14ac:dyDescent="0.25">
      <c r="A42" s="40">
        <v>40061999</v>
      </c>
      <c r="B42" s="40" t="s">
        <v>316</v>
      </c>
      <c r="C42" s="66">
        <v>44</v>
      </c>
      <c r="D42" s="33"/>
    </row>
    <row r="43" spans="1:9" x14ac:dyDescent="0.25">
      <c r="A43" s="40">
        <v>40063539</v>
      </c>
      <c r="B43" s="40" t="s">
        <v>551</v>
      </c>
      <c r="C43" s="66">
        <v>100</v>
      </c>
      <c r="D43" s="33"/>
    </row>
    <row r="44" spans="1:9" x14ac:dyDescent="0.25">
      <c r="A44" s="40">
        <v>40049949</v>
      </c>
      <c r="B44" s="40" t="s">
        <v>354</v>
      </c>
      <c r="C44" s="75">
        <v>80</v>
      </c>
      <c r="D44" s="33"/>
    </row>
    <row r="45" spans="1:9" x14ac:dyDescent="0.25">
      <c r="A45" s="38"/>
      <c r="B45" s="38"/>
      <c r="C45" s="38"/>
      <c r="D45" s="33"/>
    </row>
    <row r="46" spans="1:9" x14ac:dyDescent="0.25">
      <c r="A46" s="38"/>
      <c r="B46" s="38"/>
      <c r="C46" s="38">
        <f>SUM(C35:C45)</f>
        <v>639</v>
      </c>
      <c r="D46" s="33"/>
    </row>
    <row r="47" spans="1:9" x14ac:dyDescent="0.25">
      <c r="A47" s="33" t="s">
        <v>60</v>
      </c>
      <c r="B47" s="39"/>
      <c r="C47" s="33"/>
      <c r="D47" s="33" t="s">
        <v>61</v>
      </c>
    </row>
    <row r="48" spans="1:9" x14ac:dyDescent="0.25">
      <c r="A48" s="33" t="s">
        <v>62</v>
      </c>
      <c r="B48" s="33"/>
      <c r="C48" s="33"/>
      <c r="D48" s="33" t="s">
        <v>63</v>
      </c>
    </row>
    <row r="50" spans="1:5" x14ac:dyDescent="0.25">
      <c r="A50" s="1" t="s">
        <v>64</v>
      </c>
      <c r="B50" s="1" t="s">
        <v>65</v>
      </c>
      <c r="C50" s="1" t="s">
        <v>66</v>
      </c>
      <c r="D50" s="1" t="s">
        <v>67</v>
      </c>
      <c r="E50" s="1" t="s">
        <v>68</v>
      </c>
    </row>
    <row r="51" spans="1:5" x14ac:dyDescent="0.25">
      <c r="A51" s="1">
        <v>1</v>
      </c>
    </row>
    <row r="52" spans="1:5" x14ac:dyDescent="0.25">
      <c r="A52" s="1">
        <v>2</v>
      </c>
    </row>
    <row r="53" spans="1:5" x14ac:dyDescent="0.25">
      <c r="A53" s="1">
        <v>3</v>
      </c>
    </row>
    <row r="54" spans="1:5" x14ac:dyDescent="0.25">
      <c r="B54" s="7" t="s">
        <v>7</v>
      </c>
    </row>
  </sheetData>
  <autoFilter ref="A12:I12" xr:uid="{00000000-0001-0000-0700-000000000000}">
    <sortState xmlns:xlrd2="http://schemas.microsoft.com/office/spreadsheetml/2017/richdata2" ref="A13:I30">
      <sortCondition ref="B12"/>
    </sortState>
  </autoFilter>
  <sortState xmlns:xlrd2="http://schemas.microsoft.com/office/spreadsheetml/2017/richdata2" ref="A13:D30">
    <sortCondition ref="B13:B30"/>
  </sortState>
  <mergeCells count="5">
    <mergeCell ref="A5:F5"/>
    <mergeCell ref="A6:F6"/>
    <mergeCell ref="A7:B7"/>
    <mergeCell ref="C7:D7"/>
    <mergeCell ref="E7:F7"/>
  </mergeCells>
  <conditionalFormatting sqref="B11">
    <cfRule type="duplicateValues" dxfId="34" priority="1"/>
  </conditionalFormatting>
  <printOptions horizontalCentered="1" verticalCentered="1"/>
  <pageMargins left="0" right="0" top="0" bottom="0" header="0" footer="0"/>
  <pageSetup scale="9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 filterMode="1"/>
  <dimension ref="A1:K60"/>
  <sheetViews>
    <sheetView topLeftCell="A5" workbookViewId="0">
      <selection activeCell="I16" sqref="I16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1" width="0" style="1" hidden="1" customWidth="1"/>
    <col min="12" max="16384" width="9.140625" style="1"/>
  </cols>
  <sheetData>
    <row r="1" spans="1:11" ht="15.75" thickBot="1" x14ac:dyDescent="0.3">
      <c r="B1" s="19"/>
      <c r="C1" s="19"/>
      <c r="D1" s="19"/>
      <c r="E1" s="19"/>
      <c r="F1" s="19"/>
    </row>
    <row r="2" spans="1:11" ht="15.75" x14ac:dyDescent="0.25">
      <c r="A2" s="20"/>
      <c r="B2" s="21"/>
      <c r="C2" s="22"/>
      <c r="D2" s="23"/>
      <c r="E2" s="22"/>
      <c r="F2" s="24"/>
      <c r="G2" s="25"/>
    </row>
    <row r="3" spans="1:11" ht="16.5" thickBot="1" x14ac:dyDescent="0.3">
      <c r="A3" s="20"/>
      <c r="B3" s="26"/>
      <c r="C3" s="27"/>
      <c r="D3" s="28"/>
      <c r="E3" s="28"/>
      <c r="F3" s="28"/>
    </row>
    <row r="4" spans="1:11" x14ac:dyDescent="0.25">
      <c r="B4" s="29"/>
      <c r="C4" s="29"/>
      <c r="D4" s="29"/>
      <c r="E4" s="29"/>
      <c r="F4" s="44"/>
    </row>
    <row r="5" spans="1:11" ht="15.75" x14ac:dyDescent="0.25">
      <c r="A5" s="61" t="s">
        <v>42</v>
      </c>
      <c r="B5" s="61"/>
      <c r="C5" s="61"/>
      <c r="D5" s="61"/>
      <c r="E5" s="61"/>
      <c r="F5" s="62"/>
    </row>
    <row r="6" spans="1:11" ht="15.75" x14ac:dyDescent="0.25">
      <c r="A6" s="61" t="s">
        <v>183</v>
      </c>
      <c r="B6" s="61"/>
      <c r="C6" s="61"/>
      <c r="D6" s="61"/>
      <c r="E6" s="61"/>
      <c r="F6" s="61"/>
    </row>
    <row r="7" spans="1:11" ht="23.25" x14ac:dyDescent="0.25">
      <c r="A7" s="63" t="s">
        <v>43</v>
      </c>
      <c r="B7" s="63"/>
      <c r="C7" s="64" t="s">
        <v>44</v>
      </c>
      <c r="D7" s="64"/>
      <c r="E7" s="65" t="s">
        <v>627</v>
      </c>
      <c r="F7" s="65"/>
    </row>
    <row r="8" spans="1:11" x14ac:dyDescent="0.25">
      <c r="A8" s="1" t="s">
        <v>46</v>
      </c>
      <c r="B8" s="2" t="s">
        <v>625</v>
      </c>
      <c r="C8" s="30"/>
      <c r="E8" s="1" t="s">
        <v>47</v>
      </c>
      <c r="F8" s="31" t="s">
        <v>472</v>
      </c>
      <c r="G8" s="32" t="s">
        <v>89</v>
      </c>
      <c r="H8" s="34"/>
    </row>
    <row r="9" spans="1:11" x14ac:dyDescent="0.25">
      <c r="A9" s="1" t="s">
        <v>48</v>
      </c>
      <c r="B9" s="33"/>
      <c r="C9" s="30"/>
      <c r="E9" s="1" t="s">
        <v>49</v>
      </c>
      <c r="G9" s="1" t="s">
        <v>90</v>
      </c>
      <c r="H9" s="34"/>
    </row>
    <row r="10" spans="1:11" x14ac:dyDescent="0.25">
      <c r="A10" s="1" t="s">
        <v>50</v>
      </c>
      <c r="B10" s="2" t="s">
        <v>626</v>
      </c>
      <c r="E10" s="1" t="s">
        <v>51</v>
      </c>
      <c r="G10" s="1" t="s">
        <v>91</v>
      </c>
    </row>
    <row r="11" spans="1:11" x14ac:dyDescent="0.25">
      <c r="A11" s="1" t="s">
        <v>52</v>
      </c>
      <c r="B11" s="33"/>
      <c r="I11" s="34"/>
    </row>
    <row r="12" spans="1:11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</row>
    <row r="13" spans="1:11" x14ac:dyDescent="0.25">
      <c r="A13" s="40">
        <v>40050411</v>
      </c>
      <c r="B13" s="40" t="s">
        <v>296</v>
      </c>
      <c r="C13" s="66">
        <v>60</v>
      </c>
      <c r="D13" s="38"/>
      <c r="E13" s="66">
        <v>60</v>
      </c>
      <c r="F13" s="33"/>
      <c r="H13" s="34"/>
      <c r="K13" s="1">
        <f>+C13-'C042-2'!C24</f>
        <v>50</v>
      </c>
    </row>
    <row r="14" spans="1:11" x14ac:dyDescent="0.25">
      <c r="A14" s="40">
        <v>40050728</v>
      </c>
      <c r="B14" s="40" t="s">
        <v>214</v>
      </c>
      <c r="C14" s="66">
        <v>2</v>
      </c>
      <c r="D14" s="38"/>
      <c r="E14" s="66">
        <v>2</v>
      </c>
      <c r="G14" s="34"/>
      <c r="H14" s="34"/>
      <c r="K14" s="1">
        <f>+C14-'C042-2'!C25</f>
        <v>-180</v>
      </c>
    </row>
    <row r="15" spans="1:11" x14ac:dyDescent="0.25">
      <c r="A15" s="40">
        <v>40060034</v>
      </c>
      <c r="B15" s="40" t="s">
        <v>463</v>
      </c>
      <c r="C15" s="66">
        <v>19</v>
      </c>
      <c r="D15" s="38"/>
      <c r="E15" s="66">
        <v>19</v>
      </c>
      <c r="H15" s="34"/>
      <c r="K15" s="1">
        <f>+C15-'C042-2'!C26</f>
        <v>18</v>
      </c>
    </row>
    <row r="16" spans="1:11" x14ac:dyDescent="0.25">
      <c r="A16" s="40">
        <v>40063489</v>
      </c>
      <c r="B16" s="40" t="s">
        <v>306</v>
      </c>
      <c r="C16" s="66">
        <v>12</v>
      </c>
      <c r="D16" s="38"/>
      <c r="E16" s="66">
        <v>12</v>
      </c>
      <c r="I16" s="1">
        <v>7000640967</v>
      </c>
      <c r="K16" s="1">
        <f>+C16-'C042-2'!C27</f>
        <v>-703</v>
      </c>
    </row>
    <row r="17" spans="1:11" x14ac:dyDescent="0.25">
      <c r="A17" s="40">
        <v>40063689</v>
      </c>
      <c r="B17" s="40" t="s">
        <v>516</v>
      </c>
      <c r="C17" s="66">
        <v>22</v>
      </c>
      <c r="D17" s="38"/>
      <c r="E17" s="66">
        <v>22</v>
      </c>
      <c r="K17" s="1">
        <f>+C17-'C042-2'!C28</f>
        <v>12</v>
      </c>
    </row>
    <row r="18" spans="1:11" x14ac:dyDescent="0.25">
      <c r="A18" s="40">
        <v>40063753</v>
      </c>
      <c r="B18" s="40" t="s">
        <v>513</v>
      </c>
      <c r="C18" s="66">
        <v>119</v>
      </c>
      <c r="D18" s="38"/>
      <c r="E18" s="66">
        <v>119</v>
      </c>
      <c r="K18" s="1">
        <f>+C18-'C042-2'!C29</f>
        <v>78</v>
      </c>
    </row>
    <row r="19" spans="1:11" x14ac:dyDescent="0.25">
      <c r="A19" s="40">
        <v>40065335</v>
      </c>
      <c r="B19" s="40" t="s">
        <v>284</v>
      </c>
      <c r="C19" s="66">
        <v>3</v>
      </c>
      <c r="D19" s="38"/>
      <c r="E19" s="66">
        <v>3</v>
      </c>
      <c r="K19" s="1">
        <f>+C19-'C042-2'!C30</f>
        <v>-13</v>
      </c>
    </row>
    <row r="20" spans="1:11" x14ac:dyDescent="0.25">
      <c r="A20" s="40">
        <v>40060033</v>
      </c>
      <c r="B20" s="40" t="s">
        <v>510</v>
      </c>
      <c r="C20" s="66">
        <v>141</v>
      </c>
      <c r="D20" s="33"/>
      <c r="E20" s="66">
        <v>141</v>
      </c>
    </row>
    <row r="21" spans="1:11" x14ac:dyDescent="0.25">
      <c r="A21" s="40">
        <v>40060029</v>
      </c>
      <c r="B21" s="40" t="s">
        <v>508</v>
      </c>
      <c r="C21" s="66">
        <v>15</v>
      </c>
      <c r="D21" s="33"/>
      <c r="E21" s="66">
        <v>15</v>
      </c>
    </row>
    <row r="22" spans="1:11" x14ac:dyDescent="0.25">
      <c r="A22" s="40">
        <v>40062345</v>
      </c>
      <c r="B22" s="40" t="s">
        <v>507</v>
      </c>
      <c r="C22" s="66">
        <v>10</v>
      </c>
      <c r="D22" s="33"/>
      <c r="E22" s="66">
        <v>10</v>
      </c>
    </row>
    <row r="23" spans="1:11" hidden="1" x14ac:dyDescent="0.25">
      <c r="A23" s="40">
        <v>40063752</v>
      </c>
      <c r="B23" s="40" t="s">
        <v>514</v>
      </c>
      <c r="C23" s="66">
        <v>56</v>
      </c>
      <c r="D23" s="33"/>
      <c r="E23" s="66">
        <v>0</v>
      </c>
    </row>
    <row r="24" spans="1:11" x14ac:dyDescent="0.25">
      <c r="A24" s="40">
        <v>40063700</v>
      </c>
      <c r="B24" s="40" t="s">
        <v>237</v>
      </c>
      <c r="C24" s="66">
        <v>52</v>
      </c>
      <c r="D24" s="33"/>
      <c r="E24" s="66">
        <v>52</v>
      </c>
    </row>
    <row r="25" spans="1:11" x14ac:dyDescent="0.25">
      <c r="A25" s="40">
        <v>40041526</v>
      </c>
      <c r="B25" s="40" t="s">
        <v>428</v>
      </c>
      <c r="C25" s="66">
        <v>30</v>
      </c>
      <c r="D25" s="33"/>
      <c r="E25" s="66">
        <v>30</v>
      </c>
    </row>
    <row r="26" spans="1:11" x14ac:dyDescent="0.25">
      <c r="A26" s="40">
        <v>40063699</v>
      </c>
      <c r="B26" s="40" t="s">
        <v>515</v>
      </c>
      <c r="C26" s="66">
        <v>33</v>
      </c>
      <c r="D26" s="33"/>
      <c r="E26" s="66">
        <v>33</v>
      </c>
    </row>
    <row r="27" spans="1:11" x14ac:dyDescent="0.25">
      <c r="A27" s="40">
        <v>40063688</v>
      </c>
      <c r="B27" s="40" t="s">
        <v>243</v>
      </c>
      <c r="C27" s="66">
        <v>106</v>
      </c>
      <c r="D27" s="33"/>
      <c r="E27" s="66">
        <v>106</v>
      </c>
    </row>
    <row r="28" spans="1:11" x14ac:dyDescent="0.25">
      <c r="A28" s="40">
        <v>40063747</v>
      </c>
      <c r="B28" s="40" t="s">
        <v>246</v>
      </c>
      <c r="C28" s="66">
        <v>62</v>
      </c>
      <c r="D28" s="33"/>
      <c r="E28" s="66">
        <v>62</v>
      </c>
    </row>
    <row r="29" spans="1:11" x14ac:dyDescent="0.25">
      <c r="A29" s="40">
        <v>40063794</v>
      </c>
      <c r="B29" s="40" t="s">
        <v>249</v>
      </c>
      <c r="C29" s="66">
        <v>4</v>
      </c>
      <c r="D29" s="33"/>
      <c r="E29" s="66">
        <v>4</v>
      </c>
    </row>
    <row r="30" spans="1:11" x14ac:dyDescent="0.25">
      <c r="A30" s="40">
        <v>40049654</v>
      </c>
      <c r="B30" s="40" t="s">
        <v>527</v>
      </c>
      <c r="C30" s="66">
        <v>5</v>
      </c>
      <c r="D30" s="33"/>
      <c r="E30" s="66">
        <v>5</v>
      </c>
    </row>
    <row r="31" spans="1:11" x14ac:dyDescent="0.25">
      <c r="A31" s="40">
        <v>40049658</v>
      </c>
      <c r="B31" s="40" t="s">
        <v>536</v>
      </c>
      <c r="C31" s="66">
        <v>20</v>
      </c>
      <c r="D31" s="33"/>
      <c r="E31" s="66">
        <v>20</v>
      </c>
    </row>
    <row r="32" spans="1:11" x14ac:dyDescent="0.25">
      <c r="A32" s="40">
        <v>40060449</v>
      </c>
      <c r="B32" s="40" t="s">
        <v>537</v>
      </c>
      <c r="C32" s="66">
        <v>20</v>
      </c>
      <c r="D32" s="33"/>
      <c r="E32" s="66">
        <v>20</v>
      </c>
    </row>
    <row r="33" spans="1:5" x14ac:dyDescent="0.25">
      <c r="A33" s="40">
        <v>40060450</v>
      </c>
      <c r="B33" s="40" t="s">
        <v>572</v>
      </c>
      <c r="C33" s="66">
        <v>20</v>
      </c>
      <c r="D33" s="33"/>
      <c r="E33" s="66">
        <v>20</v>
      </c>
    </row>
    <row r="34" spans="1:5" x14ac:dyDescent="0.25">
      <c r="A34" s="40">
        <v>40063754</v>
      </c>
      <c r="B34" s="40" t="s">
        <v>503</v>
      </c>
      <c r="C34" s="66">
        <v>7</v>
      </c>
      <c r="D34" s="33"/>
      <c r="E34" s="66">
        <v>7</v>
      </c>
    </row>
    <row r="35" spans="1:5" x14ac:dyDescent="0.25">
      <c r="A35" s="40">
        <v>40063637</v>
      </c>
      <c r="B35" s="40" t="s">
        <v>275</v>
      </c>
      <c r="C35" s="66">
        <v>5</v>
      </c>
      <c r="D35" s="33"/>
      <c r="E35" s="66">
        <v>5</v>
      </c>
    </row>
    <row r="36" spans="1:5" x14ac:dyDescent="0.25">
      <c r="A36" s="40">
        <v>40062024</v>
      </c>
      <c r="B36" s="40" t="s">
        <v>276</v>
      </c>
      <c r="C36" s="66">
        <v>22</v>
      </c>
      <c r="D36" s="33"/>
      <c r="E36" s="66">
        <v>22</v>
      </c>
    </row>
    <row r="37" spans="1:5" x14ac:dyDescent="0.25">
      <c r="A37" s="40">
        <v>40063178</v>
      </c>
      <c r="B37" s="40" t="s">
        <v>504</v>
      </c>
      <c r="C37" s="66">
        <v>18</v>
      </c>
      <c r="D37" s="33"/>
      <c r="E37" s="66">
        <v>18</v>
      </c>
    </row>
    <row r="38" spans="1:5" x14ac:dyDescent="0.25">
      <c r="A38" s="40">
        <v>40063168</v>
      </c>
      <c r="B38" s="40" t="s">
        <v>277</v>
      </c>
      <c r="C38" s="66">
        <v>10</v>
      </c>
      <c r="D38" s="33"/>
      <c r="E38" s="66">
        <v>10</v>
      </c>
    </row>
    <row r="39" spans="1:5" x14ac:dyDescent="0.25">
      <c r="A39" s="40">
        <v>40064885</v>
      </c>
      <c r="B39" s="40" t="s">
        <v>279</v>
      </c>
      <c r="C39" s="66">
        <v>1</v>
      </c>
      <c r="D39" s="33"/>
      <c r="E39" s="66">
        <v>1</v>
      </c>
    </row>
    <row r="40" spans="1:5" x14ac:dyDescent="0.25">
      <c r="A40" s="40">
        <v>40064881</v>
      </c>
      <c r="B40" s="40" t="s">
        <v>281</v>
      </c>
      <c r="C40" s="66">
        <v>11</v>
      </c>
      <c r="D40" s="33"/>
      <c r="E40" s="66">
        <v>11</v>
      </c>
    </row>
    <row r="41" spans="1:5" x14ac:dyDescent="0.25">
      <c r="A41" s="40">
        <v>40065346</v>
      </c>
      <c r="B41" s="40" t="s">
        <v>569</v>
      </c>
      <c r="C41" s="66">
        <v>20</v>
      </c>
      <c r="D41" s="33"/>
      <c r="E41" s="66">
        <v>20</v>
      </c>
    </row>
    <row r="42" spans="1:5" x14ac:dyDescent="0.25">
      <c r="A42" s="40">
        <v>40065256</v>
      </c>
      <c r="B42" s="40" t="s">
        <v>285</v>
      </c>
      <c r="C42" s="66">
        <v>11</v>
      </c>
      <c r="D42" s="33"/>
      <c r="E42" s="66">
        <v>11</v>
      </c>
    </row>
    <row r="43" spans="1:5" x14ac:dyDescent="0.25">
      <c r="A43" s="40">
        <v>40065338</v>
      </c>
      <c r="B43" s="40" t="s">
        <v>520</v>
      </c>
      <c r="C43" s="66">
        <v>300</v>
      </c>
      <c r="D43" s="33"/>
      <c r="E43" s="66">
        <v>300</v>
      </c>
    </row>
    <row r="44" spans="1:5" x14ac:dyDescent="0.25">
      <c r="A44" s="40">
        <v>40062017</v>
      </c>
      <c r="B44" s="40" t="s">
        <v>307</v>
      </c>
      <c r="C44" s="66">
        <v>4</v>
      </c>
      <c r="D44" s="33"/>
      <c r="E44" s="66">
        <v>4</v>
      </c>
    </row>
    <row r="45" spans="1:5" x14ac:dyDescent="0.25">
      <c r="A45" s="40">
        <v>40041820</v>
      </c>
      <c r="B45" s="40" t="s">
        <v>525</v>
      </c>
      <c r="C45" s="66">
        <v>6</v>
      </c>
      <c r="D45" s="33"/>
      <c r="E45" s="66">
        <v>6</v>
      </c>
    </row>
    <row r="46" spans="1:5" x14ac:dyDescent="0.25">
      <c r="A46" s="40">
        <v>40065000</v>
      </c>
      <c r="B46" s="40" t="s">
        <v>519</v>
      </c>
      <c r="C46" s="66">
        <v>18</v>
      </c>
      <c r="D46" s="33"/>
      <c r="E46" s="66">
        <v>18</v>
      </c>
    </row>
    <row r="47" spans="1:5" x14ac:dyDescent="0.25">
      <c r="A47" s="40">
        <v>40062018</v>
      </c>
      <c r="B47" s="40" t="s">
        <v>272</v>
      </c>
      <c r="C47" s="66">
        <v>71</v>
      </c>
      <c r="D47" s="33"/>
      <c r="E47" s="66">
        <v>71</v>
      </c>
    </row>
    <row r="48" spans="1:5" x14ac:dyDescent="0.25">
      <c r="A48" s="40">
        <v>40050877</v>
      </c>
      <c r="B48" s="40" t="s">
        <v>297</v>
      </c>
      <c r="C48" s="66">
        <v>2</v>
      </c>
      <c r="D48" s="33"/>
      <c r="E48" s="66">
        <v>2</v>
      </c>
    </row>
    <row r="49" spans="1:5" x14ac:dyDescent="0.25">
      <c r="A49" s="40">
        <v>40064685</v>
      </c>
      <c r="B49" s="40" t="s">
        <v>301</v>
      </c>
      <c r="C49" s="66">
        <v>14</v>
      </c>
      <c r="D49" s="33"/>
      <c r="E49" s="66">
        <v>14</v>
      </c>
    </row>
    <row r="50" spans="1:5" x14ac:dyDescent="0.25">
      <c r="A50" s="40">
        <v>40064688</v>
      </c>
      <c r="B50" s="40" t="s">
        <v>521</v>
      </c>
      <c r="C50" s="66">
        <v>154</v>
      </c>
      <c r="D50" s="33"/>
      <c r="E50" s="66">
        <v>154</v>
      </c>
    </row>
    <row r="51" spans="1:5" x14ac:dyDescent="0.25">
      <c r="A51" s="40">
        <v>40064913</v>
      </c>
      <c r="B51" s="40" t="s">
        <v>303</v>
      </c>
      <c r="C51" s="66">
        <v>6</v>
      </c>
      <c r="D51" s="33"/>
      <c r="E51" s="66">
        <v>6</v>
      </c>
    </row>
    <row r="52" spans="1:5" x14ac:dyDescent="0.25">
      <c r="C52" s="79"/>
    </row>
    <row r="53" spans="1:5" x14ac:dyDescent="0.25">
      <c r="A53" s="33" t="s">
        <v>60</v>
      </c>
      <c r="B53" s="39"/>
      <c r="C53" s="33">
        <f>SUM(C13:C51)</f>
        <v>1491</v>
      </c>
      <c r="D53" s="33" t="s">
        <v>61</v>
      </c>
      <c r="E53" s="1">
        <f>SUM(E13:E52)</f>
        <v>1435</v>
      </c>
    </row>
    <row r="54" spans="1:5" x14ac:dyDescent="0.25">
      <c r="A54" s="33" t="s">
        <v>62</v>
      </c>
      <c r="B54" s="33"/>
      <c r="C54" s="33"/>
      <c r="D54" s="33" t="s">
        <v>63</v>
      </c>
    </row>
    <row r="56" spans="1:5" x14ac:dyDescent="0.25">
      <c r="A56" s="1" t="s">
        <v>64</v>
      </c>
      <c r="B56" s="1" t="s">
        <v>65</v>
      </c>
      <c r="C56" s="1" t="s">
        <v>66</v>
      </c>
      <c r="D56" s="1" t="s">
        <v>67</v>
      </c>
      <c r="E56" s="1" t="s">
        <v>68</v>
      </c>
    </row>
    <row r="57" spans="1:5" x14ac:dyDescent="0.25">
      <c r="A57" s="1">
        <v>1</v>
      </c>
    </row>
    <row r="58" spans="1:5" x14ac:dyDescent="0.25">
      <c r="A58" s="1">
        <v>2</v>
      </c>
    </row>
    <row r="59" spans="1:5" x14ac:dyDescent="0.25">
      <c r="A59" s="1">
        <v>3</v>
      </c>
    </row>
    <row r="60" spans="1:5" x14ac:dyDescent="0.25">
      <c r="B60" s="7" t="s">
        <v>7</v>
      </c>
    </row>
  </sheetData>
  <autoFilter ref="A12:K51" xr:uid="{00000000-0001-0000-0800-000000000000}">
    <filterColumn colId="4">
      <filters>
        <filter val="1"/>
        <filter val="10"/>
        <filter val="106"/>
        <filter val="11"/>
        <filter val="119"/>
        <filter val="12"/>
        <filter val="14"/>
        <filter val="141"/>
        <filter val="15"/>
        <filter val="154"/>
        <filter val="18"/>
        <filter val="19"/>
        <filter val="2"/>
        <filter val="20"/>
        <filter val="22"/>
        <filter val="3"/>
        <filter val="30"/>
        <filter val="300"/>
        <filter val="33"/>
        <filter val="4"/>
        <filter val="5"/>
        <filter val="52"/>
        <filter val="6"/>
        <filter val="60"/>
        <filter val="62"/>
        <filter val="7"/>
        <filter val="71"/>
      </filters>
    </filterColumn>
  </autoFilter>
  <mergeCells count="5">
    <mergeCell ref="A5:F5"/>
    <mergeCell ref="A6:F6"/>
    <mergeCell ref="A7:B7"/>
    <mergeCell ref="C7:D7"/>
    <mergeCell ref="E7:F7"/>
  </mergeCells>
  <conditionalFormatting sqref="B11">
    <cfRule type="duplicateValues" dxfId="33" priority="1"/>
  </conditionalFormatting>
  <printOptions horizontalCentered="1" verticalCentered="1"/>
  <pageMargins left="0" right="0" top="0" bottom="0" header="0" footer="0"/>
  <pageSetup scale="9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 filterMode="1"/>
  <dimension ref="A1:I44"/>
  <sheetViews>
    <sheetView topLeftCell="A2" workbookViewId="0">
      <selection activeCell="B18" sqref="B18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9" ht="15.75" thickBot="1" x14ac:dyDescent="0.3">
      <c r="B1" s="19"/>
      <c r="C1" s="19"/>
      <c r="D1" s="19"/>
      <c r="E1" s="19"/>
      <c r="F1" s="19"/>
    </row>
    <row r="2" spans="1:9" ht="15.75" x14ac:dyDescent="0.25">
      <c r="A2" s="20"/>
      <c r="B2" s="21"/>
      <c r="C2" s="22"/>
      <c r="D2" s="23"/>
      <c r="E2" s="22"/>
      <c r="F2" s="24"/>
      <c r="G2" s="25"/>
    </row>
    <row r="3" spans="1:9" ht="16.5" thickBot="1" x14ac:dyDescent="0.3">
      <c r="A3" s="20"/>
      <c r="B3" s="26"/>
      <c r="C3" s="27"/>
      <c r="D3" s="28"/>
      <c r="E3" s="28"/>
      <c r="F3" s="28"/>
    </row>
    <row r="4" spans="1:9" x14ac:dyDescent="0.25">
      <c r="B4" s="29"/>
      <c r="C4" s="29"/>
      <c r="D4" s="29"/>
      <c r="E4" s="29"/>
      <c r="F4" s="44"/>
    </row>
    <row r="5" spans="1:9" ht="15.75" x14ac:dyDescent="0.25">
      <c r="A5" s="61" t="s">
        <v>42</v>
      </c>
      <c r="B5" s="61"/>
      <c r="C5" s="61"/>
      <c r="D5" s="61"/>
      <c r="E5" s="61"/>
      <c r="F5" s="62"/>
    </row>
    <row r="6" spans="1:9" ht="15.75" x14ac:dyDescent="0.25">
      <c r="A6" s="61" t="s">
        <v>183</v>
      </c>
      <c r="B6" s="61"/>
      <c r="C6" s="61"/>
      <c r="D6" s="61"/>
      <c r="E6" s="61"/>
      <c r="F6" s="61"/>
    </row>
    <row r="7" spans="1:9" ht="23.25" x14ac:dyDescent="0.25">
      <c r="A7" s="63" t="s">
        <v>43</v>
      </c>
      <c r="B7" s="63"/>
      <c r="C7" s="64" t="s">
        <v>44</v>
      </c>
      <c r="D7" s="64"/>
      <c r="E7" s="65" t="s">
        <v>630</v>
      </c>
      <c r="F7" s="65"/>
    </row>
    <row r="8" spans="1:9" x14ac:dyDescent="0.25">
      <c r="A8" s="1" t="s">
        <v>46</v>
      </c>
      <c r="B8" s="2" t="s">
        <v>628</v>
      </c>
      <c r="C8" s="30"/>
      <c r="E8" s="1" t="s">
        <v>47</v>
      </c>
      <c r="F8" s="31" t="s">
        <v>472</v>
      </c>
      <c r="G8" s="32" t="s">
        <v>89</v>
      </c>
      <c r="H8" s="34"/>
    </row>
    <row r="9" spans="1:9" x14ac:dyDescent="0.25">
      <c r="A9" s="1" t="s">
        <v>48</v>
      </c>
      <c r="B9" s="33"/>
      <c r="C9" s="30"/>
      <c r="E9" s="1" t="s">
        <v>49</v>
      </c>
      <c r="G9" s="1" t="s">
        <v>90</v>
      </c>
      <c r="H9" s="34"/>
    </row>
    <row r="10" spans="1:9" x14ac:dyDescent="0.25">
      <c r="A10" s="1" t="s">
        <v>50</v>
      </c>
      <c r="B10" s="2" t="s">
        <v>629</v>
      </c>
      <c r="E10" s="1" t="s">
        <v>51</v>
      </c>
      <c r="G10" s="1" t="s">
        <v>91</v>
      </c>
    </row>
    <row r="11" spans="1:9" x14ac:dyDescent="0.25">
      <c r="A11" s="1" t="s">
        <v>52</v>
      </c>
      <c r="B11" s="33"/>
      <c r="I11" s="34"/>
    </row>
    <row r="12" spans="1:9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</row>
    <row r="13" spans="1:9" x14ac:dyDescent="0.25">
      <c r="A13" s="40">
        <v>40063018</v>
      </c>
      <c r="B13" s="40" t="s">
        <v>511</v>
      </c>
      <c r="C13" s="67">
        <v>119</v>
      </c>
      <c r="E13" s="67">
        <v>119</v>
      </c>
      <c r="F13" s="33"/>
      <c r="H13" s="34"/>
    </row>
    <row r="14" spans="1:9" x14ac:dyDescent="0.25">
      <c r="A14" s="40">
        <v>40063025</v>
      </c>
      <c r="B14" s="40" t="s">
        <v>263</v>
      </c>
      <c r="C14" s="67">
        <v>200</v>
      </c>
      <c r="E14" s="67">
        <v>200</v>
      </c>
      <c r="G14" s="34"/>
      <c r="H14" s="34"/>
    </row>
    <row r="15" spans="1:9" x14ac:dyDescent="0.25">
      <c r="A15" s="40">
        <v>40063021</v>
      </c>
      <c r="B15" s="40" t="s">
        <v>266</v>
      </c>
      <c r="C15" s="66">
        <v>14</v>
      </c>
      <c r="E15" s="66">
        <v>14</v>
      </c>
      <c r="H15" s="34"/>
    </row>
    <row r="16" spans="1:9" x14ac:dyDescent="0.25">
      <c r="A16" s="40">
        <v>40063421</v>
      </c>
      <c r="B16" s="40" t="s">
        <v>351</v>
      </c>
      <c r="C16" s="67">
        <v>100</v>
      </c>
      <c r="E16" s="67">
        <v>100</v>
      </c>
    </row>
    <row r="17" spans="1:9" x14ac:dyDescent="0.25">
      <c r="A17" s="40">
        <v>40063020</v>
      </c>
      <c r="B17" s="40" t="s">
        <v>264</v>
      </c>
      <c r="C17" s="67">
        <v>44</v>
      </c>
      <c r="E17" s="67">
        <v>44</v>
      </c>
      <c r="I17" s="1">
        <v>808952947</v>
      </c>
    </row>
    <row r="18" spans="1:9" x14ac:dyDescent="0.25">
      <c r="A18" s="40">
        <v>40064998</v>
      </c>
      <c r="B18" s="40" t="s">
        <v>493</v>
      </c>
      <c r="C18" s="66">
        <v>6</v>
      </c>
      <c r="D18" s="33"/>
      <c r="E18" s="66">
        <v>6</v>
      </c>
    </row>
    <row r="19" spans="1:9" x14ac:dyDescent="0.25">
      <c r="A19" s="40">
        <v>40063757</v>
      </c>
      <c r="B19" s="40" t="s">
        <v>261</v>
      </c>
      <c r="C19" s="66">
        <v>99</v>
      </c>
      <c r="D19" s="33"/>
      <c r="E19" s="66">
        <v>99</v>
      </c>
      <c r="I19" s="1">
        <v>7000640969</v>
      </c>
    </row>
    <row r="20" spans="1:9" hidden="1" x14ac:dyDescent="0.25">
      <c r="A20" s="40">
        <v>40064999</v>
      </c>
      <c r="B20" s="40" t="s">
        <v>436</v>
      </c>
      <c r="C20" s="66">
        <v>55</v>
      </c>
      <c r="D20" s="33"/>
      <c r="E20" s="66">
        <v>0</v>
      </c>
    </row>
    <row r="21" spans="1:9" hidden="1" x14ac:dyDescent="0.25">
      <c r="A21" s="40">
        <v>40064157</v>
      </c>
      <c r="B21" s="40" t="s">
        <v>495</v>
      </c>
      <c r="C21" s="66">
        <v>174</v>
      </c>
      <c r="D21" s="33"/>
      <c r="E21" s="66">
        <v>0</v>
      </c>
    </row>
    <row r="22" spans="1:9" x14ac:dyDescent="0.25">
      <c r="A22" s="40">
        <v>40060535</v>
      </c>
      <c r="B22" s="40" t="s">
        <v>221</v>
      </c>
      <c r="C22" s="66">
        <v>2</v>
      </c>
      <c r="D22" s="33"/>
      <c r="E22" s="66">
        <v>2</v>
      </c>
    </row>
    <row r="23" spans="1:9" x14ac:dyDescent="0.25">
      <c r="A23" s="40">
        <v>40060996</v>
      </c>
      <c r="B23" s="40" t="s">
        <v>506</v>
      </c>
      <c r="C23" s="66">
        <v>34</v>
      </c>
      <c r="D23" s="33"/>
      <c r="E23" s="66">
        <v>34</v>
      </c>
    </row>
    <row r="24" spans="1:9" x14ac:dyDescent="0.25">
      <c r="A24" s="40">
        <v>40061000</v>
      </c>
      <c r="B24" s="40" t="s">
        <v>273</v>
      </c>
      <c r="C24" s="66">
        <v>5</v>
      </c>
      <c r="D24" s="33"/>
      <c r="E24" s="66">
        <v>5</v>
      </c>
    </row>
    <row r="25" spans="1:9" x14ac:dyDescent="0.25">
      <c r="A25" s="40">
        <v>40063179</v>
      </c>
      <c r="B25" s="40" t="s">
        <v>280</v>
      </c>
      <c r="C25" s="66">
        <v>88</v>
      </c>
      <c r="D25" s="33"/>
      <c r="E25" s="66">
        <v>88</v>
      </c>
    </row>
    <row r="26" spans="1:9" x14ac:dyDescent="0.25">
      <c r="A26" s="40">
        <v>40064886</v>
      </c>
      <c r="B26" s="40" t="s">
        <v>298</v>
      </c>
      <c r="C26" s="66">
        <v>177</v>
      </c>
      <c r="D26" s="33"/>
      <c r="E26" s="66">
        <v>29</v>
      </c>
    </row>
    <row r="27" spans="1:9" hidden="1" x14ac:dyDescent="0.25">
      <c r="A27" s="40">
        <v>40065002</v>
      </c>
      <c r="B27" s="40" t="s">
        <v>291</v>
      </c>
      <c r="C27" s="66">
        <v>1</v>
      </c>
      <c r="D27" s="33"/>
      <c r="E27" s="66">
        <v>0</v>
      </c>
    </row>
    <row r="28" spans="1:9" x14ac:dyDescent="0.25">
      <c r="A28" s="40">
        <v>40062518</v>
      </c>
      <c r="B28" s="40" t="s">
        <v>544</v>
      </c>
      <c r="C28" s="66">
        <v>20</v>
      </c>
      <c r="D28" s="33"/>
      <c r="E28" s="66">
        <v>20</v>
      </c>
    </row>
    <row r="29" spans="1:9" hidden="1" x14ac:dyDescent="0.25">
      <c r="A29" s="40">
        <v>40064855</v>
      </c>
      <c r="B29" s="40" t="s">
        <v>501</v>
      </c>
      <c r="C29" s="66">
        <v>1</v>
      </c>
      <c r="D29" s="33"/>
      <c r="E29" s="66">
        <v>0</v>
      </c>
    </row>
    <row r="30" spans="1:9" x14ac:dyDescent="0.25">
      <c r="A30" s="40">
        <v>40049906</v>
      </c>
      <c r="B30" s="40" t="s">
        <v>587</v>
      </c>
      <c r="C30" s="66">
        <v>147</v>
      </c>
      <c r="D30" s="33"/>
      <c r="E30" s="66">
        <v>147</v>
      </c>
    </row>
    <row r="31" spans="1:9" x14ac:dyDescent="0.25">
      <c r="A31" s="40">
        <v>40064472</v>
      </c>
      <c r="B31" s="40" t="s">
        <v>560</v>
      </c>
      <c r="C31" s="66">
        <v>30</v>
      </c>
      <c r="D31" s="33"/>
      <c r="E31" s="66">
        <v>30</v>
      </c>
    </row>
    <row r="32" spans="1:9" x14ac:dyDescent="0.25">
      <c r="A32" s="40">
        <v>40064427</v>
      </c>
      <c r="B32" s="40" t="s">
        <v>334</v>
      </c>
      <c r="C32" s="66">
        <v>11</v>
      </c>
      <c r="D32" s="33"/>
      <c r="E32" s="66">
        <v>11</v>
      </c>
    </row>
    <row r="33" spans="1:5" x14ac:dyDescent="0.25">
      <c r="A33" s="40">
        <v>40064430</v>
      </c>
      <c r="B33" s="40" t="s">
        <v>561</v>
      </c>
      <c r="C33" s="66">
        <v>73</v>
      </c>
      <c r="D33" s="33"/>
      <c r="E33" s="66">
        <v>73</v>
      </c>
    </row>
    <row r="34" spans="1:5" x14ac:dyDescent="0.25">
      <c r="A34" s="40">
        <v>40064428</v>
      </c>
      <c r="B34" s="40" t="s">
        <v>336</v>
      </c>
      <c r="C34" s="66">
        <v>11</v>
      </c>
      <c r="D34" s="33"/>
      <c r="E34" s="66">
        <v>11</v>
      </c>
    </row>
    <row r="35" spans="1:5" x14ac:dyDescent="0.25">
      <c r="A35" s="40">
        <v>40064558</v>
      </c>
      <c r="B35" s="40" t="s">
        <v>534</v>
      </c>
      <c r="C35" s="66">
        <v>40</v>
      </c>
      <c r="D35" s="33"/>
      <c r="E35" s="66">
        <v>40</v>
      </c>
    </row>
    <row r="36" spans="1:5" x14ac:dyDescent="0.25">
      <c r="C36" s="7"/>
    </row>
    <row r="37" spans="1:5" x14ac:dyDescent="0.25">
      <c r="A37" s="33" t="s">
        <v>60</v>
      </c>
      <c r="B37" s="39"/>
      <c r="C37" s="33">
        <f>SUM(C13:C36)</f>
        <v>1451</v>
      </c>
      <c r="D37" s="33" t="s">
        <v>61</v>
      </c>
      <c r="E37" s="1">
        <f>SUM(E13:E36)</f>
        <v>1072</v>
      </c>
    </row>
    <row r="38" spans="1:5" x14ac:dyDescent="0.25">
      <c r="A38" s="33" t="s">
        <v>62</v>
      </c>
      <c r="B38" s="33"/>
      <c r="C38" s="33"/>
      <c r="D38" s="33" t="s">
        <v>63</v>
      </c>
    </row>
    <row r="40" spans="1:5" x14ac:dyDescent="0.25">
      <c r="A40" s="1" t="s">
        <v>64</v>
      </c>
      <c r="B40" s="1" t="s">
        <v>65</v>
      </c>
      <c r="C40" s="1" t="s">
        <v>66</v>
      </c>
      <c r="D40" s="1" t="s">
        <v>67</v>
      </c>
      <c r="E40" s="1" t="s">
        <v>68</v>
      </c>
    </row>
    <row r="41" spans="1:5" x14ac:dyDescent="0.25">
      <c r="A41" s="1">
        <v>1</v>
      </c>
    </row>
    <row r="42" spans="1:5" x14ac:dyDescent="0.25">
      <c r="A42" s="1">
        <v>2</v>
      </c>
    </row>
    <row r="43" spans="1:5" x14ac:dyDescent="0.25">
      <c r="A43" s="1">
        <v>3</v>
      </c>
    </row>
    <row r="44" spans="1:5" x14ac:dyDescent="0.25">
      <c r="B44" s="7" t="s">
        <v>7</v>
      </c>
    </row>
  </sheetData>
  <autoFilter ref="A12:I35" xr:uid="{00000000-0001-0000-0900-000000000000}">
    <filterColumn colId="4">
      <filters>
        <filter val="100"/>
        <filter val="11"/>
        <filter val="119"/>
        <filter val="14"/>
        <filter val="147"/>
        <filter val="2"/>
        <filter val="20"/>
        <filter val="200"/>
        <filter val="29"/>
        <filter val="30"/>
        <filter val="34"/>
        <filter val="40"/>
        <filter val="44"/>
        <filter val="5"/>
        <filter val="6"/>
        <filter val="73"/>
        <filter val="88"/>
        <filter val="99"/>
      </filters>
    </filterColumn>
  </autoFilter>
  <sortState xmlns:xlrd2="http://schemas.microsoft.com/office/spreadsheetml/2017/richdata2" ref="A13:C35">
    <sortCondition ref="B13:B35"/>
  </sortState>
  <mergeCells count="5">
    <mergeCell ref="A5:F5"/>
    <mergeCell ref="A6:F6"/>
    <mergeCell ref="A7:B7"/>
    <mergeCell ref="C7:D7"/>
    <mergeCell ref="E7:F7"/>
  </mergeCells>
  <conditionalFormatting sqref="B11">
    <cfRule type="duplicateValues" dxfId="32" priority="1"/>
  </conditionalFormatting>
  <printOptions horizontalCentered="1" verticalCentered="1"/>
  <pageMargins left="0" right="0" top="0" bottom="0" header="0" footer="0"/>
  <pageSetup scale="9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J55"/>
  <sheetViews>
    <sheetView topLeftCell="A6" workbookViewId="0">
      <selection activeCell="I19" sqref="I19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10" ht="15.75" thickBot="1" x14ac:dyDescent="0.3">
      <c r="B1" s="19"/>
      <c r="C1" s="19"/>
      <c r="D1" s="19"/>
      <c r="E1" s="19"/>
      <c r="F1" s="19"/>
      <c r="I1" s="34">
        <v>16930.32</v>
      </c>
      <c r="J1" s="34">
        <v>62793226.659999996</v>
      </c>
    </row>
    <row r="2" spans="1:10" ht="15.75" x14ac:dyDescent="0.25">
      <c r="A2" s="20"/>
      <c r="B2" s="21"/>
      <c r="C2" s="22"/>
      <c r="D2" s="23"/>
      <c r="E2" s="22"/>
      <c r="F2" s="24"/>
      <c r="G2" s="25"/>
      <c r="I2" s="34">
        <v>7671.96</v>
      </c>
      <c r="J2" s="34">
        <v>29545350.600000001</v>
      </c>
    </row>
    <row r="3" spans="1:10" ht="16.5" thickBot="1" x14ac:dyDescent="0.3">
      <c r="A3" s="20"/>
      <c r="B3" s="26"/>
      <c r="C3" s="27"/>
      <c r="D3" s="28"/>
      <c r="E3" s="28"/>
      <c r="F3" s="28"/>
    </row>
    <row r="4" spans="1:10" x14ac:dyDescent="0.25">
      <c r="B4" s="29"/>
      <c r="C4" s="29"/>
      <c r="D4" s="29"/>
      <c r="E4" s="29"/>
      <c r="F4" s="44"/>
    </row>
    <row r="5" spans="1:10" ht="15.75" x14ac:dyDescent="0.25">
      <c r="A5" s="61" t="s">
        <v>42</v>
      </c>
      <c r="B5" s="61"/>
      <c r="C5" s="61"/>
      <c r="D5" s="61"/>
      <c r="E5" s="61"/>
      <c r="F5" s="62"/>
    </row>
    <row r="6" spans="1:10" ht="15.75" x14ac:dyDescent="0.25">
      <c r="A6" s="61" t="s">
        <v>183</v>
      </c>
      <c r="B6" s="61"/>
      <c r="C6" s="61"/>
      <c r="D6" s="61"/>
      <c r="E6" s="61"/>
      <c r="F6" s="61"/>
    </row>
    <row r="7" spans="1:10" ht="23.25" x14ac:dyDescent="0.25">
      <c r="A7" s="63" t="s">
        <v>43</v>
      </c>
      <c r="B7" s="63"/>
      <c r="C7" s="64" t="s">
        <v>44</v>
      </c>
      <c r="D7" s="64"/>
      <c r="E7" s="65" t="s">
        <v>639</v>
      </c>
      <c r="F7" s="65"/>
    </row>
    <row r="8" spans="1:10" x14ac:dyDescent="0.25">
      <c r="A8" s="1" t="s">
        <v>46</v>
      </c>
      <c r="B8" s="2" t="s">
        <v>636</v>
      </c>
      <c r="C8" s="30">
        <v>808951579</v>
      </c>
      <c r="E8" s="1" t="s">
        <v>47</v>
      </c>
      <c r="F8" s="31" t="s">
        <v>472</v>
      </c>
      <c r="G8" s="32" t="s">
        <v>89</v>
      </c>
      <c r="H8" s="34" t="s">
        <v>634</v>
      </c>
    </row>
    <row r="9" spans="1:10" x14ac:dyDescent="0.25">
      <c r="A9" s="1" t="s">
        <v>48</v>
      </c>
      <c r="B9" s="33" t="s">
        <v>432</v>
      </c>
      <c r="C9" s="30">
        <v>808951584</v>
      </c>
      <c r="E9" s="1" t="s">
        <v>49</v>
      </c>
      <c r="G9" s="1" t="s">
        <v>90</v>
      </c>
      <c r="H9" s="34">
        <v>10000</v>
      </c>
    </row>
    <row r="10" spans="1:10" x14ac:dyDescent="0.25">
      <c r="A10" s="1" t="s">
        <v>50</v>
      </c>
      <c r="B10" s="2" t="s">
        <v>637</v>
      </c>
      <c r="C10" s="1">
        <v>808952866</v>
      </c>
      <c r="E10" s="1" t="s">
        <v>51</v>
      </c>
      <c r="G10" s="1" t="s">
        <v>91</v>
      </c>
    </row>
    <row r="11" spans="1:10" x14ac:dyDescent="0.25">
      <c r="A11" s="1" t="s">
        <v>52</v>
      </c>
      <c r="B11" s="33" t="s">
        <v>638</v>
      </c>
      <c r="C11" s="1">
        <v>808951594</v>
      </c>
      <c r="G11" s="1" t="s">
        <v>400</v>
      </c>
      <c r="I11" s="34"/>
    </row>
    <row r="12" spans="1:10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</row>
    <row r="13" spans="1:10" x14ac:dyDescent="0.25">
      <c r="A13" s="38">
        <v>40060030</v>
      </c>
      <c r="B13" s="38" t="s">
        <v>462</v>
      </c>
      <c r="C13" s="38">
        <v>100</v>
      </c>
      <c r="E13" s="33"/>
      <c r="F13" s="33"/>
      <c r="H13" s="34"/>
    </row>
    <row r="14" spans="1:10" x14ac:dyDescent="0.25">
      <c r="A14" s="38">
        <v>40065278</v>
      </c>
      <c r="B14" s="38" t="s">
        <v>559</v>
      </c>
      <c r="C14" s="38">
        <v>150</v>
      </c>
      <c r="E14" s="33"/>
      <c r="G14" s="34"/>
      <c r="H14" s="34"/>
    </row>
    <row r="15" spans="1:10" x14ac:dyDescent="0.25">
      <c r="A15" s="38">
        <v>40063747</v>
      </c>
      <c r="B15" s="38" t="s">
        <v>246</v>
      </c>
      <c r="C15" s="38">
        <v>105</v>
      </c>
      <c r="E15" s="33"/>
      <c r="H15" s="34"/>
    </row>
    <row r="16" spans="1:10" x14ac:dyDescent="0.25">
      <c r="A16" s="38">
        <v>40063018</v>
      </c>
      <c r="B16" s="38" t="s">
        <v>511</v>
      </c>
      <c r="C16" s="38">
        <v>100</v>
      </c>
      <c r="E16" s="33"/>
    </row>
    <row r="17" spans="1:9" x14ac:dyDescent="0.25">
      <c r="A17" s="38">
        <v>40063025</v>
      </c>
      <c r="B17" s="38" t="s">
        <v>263</v>
      </c>
      <c r="C17" s="38">
        <v>150</v>
      </c>
    </row>
    <row r="18" spans="1:9" x14ac:dyDescent="0.25">
      <c r="A18" s="38">
        <v>40063021</v>
      </c>
      <c r="B18" s="38" t="s">
        <v>266</v>
      </c>
      <c r="C18" s="38">
        <v>200</v>
      </c>
      <c r="D18" s="33"/>
      <c r="I18" s="1">
        <v>1006210212</v>
      </c>
    </row>
    <row r="19" spans="1:9" x14ac:dyDescent="0.25">
      <c r="A19" s="38">
        <v>40063020</v>
      </c>
      <c r="B19" s="38" t="s">
        <v>264</v>
      </c>
      <c r="C19" s="38">
        <v>100</v>
      </c>
      <c r="D19" s="33"/>
      <c r="I19" s="1">
        <v>5128546</v>
      </c>
    </row>
    <row r="20" spans="1:9" x14ac:dyDescent="0.25">
      <c r="A20" s="38">
        <v>40064562</v>
      </c>
      <c r="B20" s="38" t="s">
        <v>274</v>
      </c>
      <c r="C20" s="38">
        <v>200</v>
      </c>
      <c r="D20" s="33"/>
    </row>
    <row r="21" spans="1:9" x14ac:dyDescent="0.25">
      <c r="A21" s="38">
        <v>40062023</v>
      </c>
      <c r="B21" s="38" t="s">
        <v>278</v>
      </c>
      <c r="C21" s="38">
        <v>200</v>
      </c>
      <c r="D21" s="33"/>
    </row>
    <row r="22" spans="1:9" x14ac:dyDescent="0.25">
      <c r="A22" s="38">
        <v>40063178</v>
      </c>
      <c r="B22" s="38" t="s">
        <v>504</v>
      </c>
      <c r="C22" s="38">
        <v>126</v>
      </c>
      <c r="D22" s="33"/>
    </row>
    <row r="23" spans="1:9" x14ac:dyDescent="0.25">
      <c r="A23" s="38">
        <v>40063168</v>
      </c>
      <c r="B23" s="38" t="s">
        <v>277</v>
      </c>
      <c r="C23" s="38">
        <v>215</v>
      </c>
      <c r="D23" s="33"/>
    </row>
    <row r="24" spans="1:9" x14ac:dyDescent="0.25">
      <c r="A24" s="38">
        <v>40065917</v>
      </c>
      <c r="B24" s="38" t="s">
        <v>290</v>
      </c>
      <c r="C24" s="38">
        <v>200</v>
      </c>
      <c r="D24" s="33"/>
    </row>
    <row r="25" spans="1:9" x14ac:dyDescent="0.25">
      <c r="A25" s="38">
        <v>40065915</v>
      </c>
      <c r="B25" s="38" t="s">
        <v>292</v>
      </c>
      <c r="C25" s="38">
        <v>157</v>
      </c>
      <c r="D25" s="33"/>
    </row>
    <row r="26" spans="1:9" x14ac:dyDescent="0.25">
      <c r="A26" s="38">
        <v>40065336</v>
      </c>
      <c r="B26" s="38" t="s">
        <v>533</v>
      </c>
      <c r="C26" s="38">
        <v>128</v>
      </c>
      <c r="D26" s="33"/>
    </row>
    <row r="27" spans="1:9" x14ac:dyDescent="0.25">
      <c r="A27" s="38">
        <v>40060517</v>
      </c>
      <c r="B27" s="38" t="s">
        <v>549</v>
      </c>
      <c r="C27" s="38">
        <v>100</v>
      </c>
      <c r="D27" s="33"/>
    </row>
    <row r="28" spans="1:9" x14ac:dyDescent="0.25">
      <c r="A28" s="38">
        <v>40063483</v>
      </c>
      <c r="B28" s="38" t="s">
        <v>300</v>
      </c>
      <c r="C28" s="38">
        <v>220</v>
      </c>
      <c r="D28" s="33"/>
    </row>
    <row r="29" spans="1:9" x14ac:dyDescent="0.25">
      <c r="A29" s="38">
        <v>40060914</v>
      </c>
      <c r="B29" s="38" t="s">
        <v>531</v>
      </c>
      <c r="C29" s="38">
        <v>300</v>
      </c>
      <c r="D29" s="33"/>
    </row>
    <row r="30" spans="1:9" x14ac:dyDescent="0.25">
      <c r="A30" s="38"/>
      <c r="B30" s="38"/>
      <c r="C30" s="38"/>
      <c r="D30" s="33"/>
    </row>
    <row r="31" spans="1:9" x14ac:dyDescent="0.25">
      <c r="A31" s="38"/>
      <c r="B31" s="38"/>
      <c r="C31" s="38">
        <f>SUM(C13:C30)</f>
        <v>2751</v>
      </c>
      <c r="D31" s="33"/>
    </row>
    <row r="32" spans="1:9" x14ac:dyDescent="0.25">
      <c r="A32" s="38"/>
      <c r="B32" s="38" t="s">
        <v>640</v>
      </c>
      <c r="C32" s="38"/>
      <c r="D32" s="33"/>
    </row>
    <row r="33" spans="1:8" x14ac:dyDescent="0.25">
      <c r="A33" s="35" t="s">
        <v>53</v>
      </c>
      <c r="B33" s="36" t="s">
        <v>54</v>
      </c>
      <c r="C33" s="17" t="s">
        <v>55</v>
      </c>
      <c r="D33" s="36" t="s">
        <v>94</v>
      </c>
      <c r="E33" s="36" t="s">
        <v>56</v>
      </c>
      <c r="F33" s="33" t="s">
        <v>57</v>
      </c>
      <c r="G33" s="36" t="s">
        <v>58</v>
      </c>
      <c r="H33" s="37" t="s">
        <v>59</v>
      </c>
    </row>
    <row r="34" spans="1:8" x14ac:dyDescent="0.25">
      <c r="A34" s="38">
        <v>40049906</v>
      </c>
      <c r="B34" s="38" t="s">
        <v>587</v>
      </c>
      <c r="C34" s="38">
        <v>50</v>
      </c>
      <c r="D34" s="33"/>
    </row>
    <row r="35" spans="1:8" x14ac:dyDescent="0.25">
      <c r="A35" s="38">
        <v>40060737</v>
      </c>
      <c r="B35" s="38" t="s">
        <v>305</v>
      </c>
      <c r="C35" s="38">
        <v>5</v>
      </c>
      <c r="D35" s="33"/>
    </row>
    <row r="36" spans="1:8" x14ac:dyDescent="0.25">
      <c r="A36" s="38">
        <v>40050073</v>
      </c>
      <c r="B36" s="38" t="s">
        <v>540</v>
      </c>
      <c r="C36" s="38">
        <v>5</v>
      </c>
      <c r="D36" s="33"/>
    </row>
    <row r="37" spans="1:8" x14ac:dyDescent="0.25">
      <c r="A37" s="1">
        <v>40064472</v>
      </c>
      <c r="B37" s="1" t="s">
        <v>560</v>
      </c>
      <c r="C37" s="1">
        <v>30</v>
      </c>
      <c r="D37" s="33" t="s">
        <v>79</v>
      </c>
    </row>
    <row r="38" spans="1:8" x14ac:dyDescent="0.25">
      <c r="A38" s="38">
        <v>40049949</v>
      </c>
      <c r="B38" s="38" t="s">
        <v>354</v>
      </c>
      <c r="C38" s="38">
        <v>10</v>
      </c>
      <c r="D38" s="33"/>
    </row>
    <row r="39" spans="1:8" x14ac:dyDescent="0.25">
      <c r="A39" s="1">
        <v>40064430</v>
      </c>
      <c r="B39" s="1" t="s">
        <v>561</v>
      </c>
      <c r="C39" s="1">
        <v>2</v>
      </c>
      <c r="D39" s="33" t="s">
        <v>79</v>
      </c>
    </row>
    <row r="40" spans="1:8" x14ac:dyDescent="0.25">
      <c r="A40" s="1">
        <v>40064428</v>
      </c>
      <c r="B40" s="1" t="s">
        <v>336</v>
      </c>
      <c r="C40" s="1">
        <v>19</v>
      </c>
      <c r="D40" s="33" t="s">
        <v>79</v>
      </c>
    </row>
    <row r="41" spans="1:8" x14ac:dyDescent="0.25">
      <c r="A41" s="1">
        <v>40064558</v>
      </c>
      <c r="B41" s="1" t="s">
        <v>534</v>
      </c>
      <c r="C41" s="1">
        <v>10</v>
      </c>
      <c r="D41" s="33" t="s">
        <v>79</v>
      </c>
    </row>
    <row r="42" spans="1:8" x14ac:dyDescent="0.25">
      <c r="A42" s="38"/>
      <c r="B42" s="38"/>
      <c r="C42" s="38"/>
      <c r="D42" s="33"/>
    </row>
    <row r="43" spans="1:8" x14ac:dyDescent="0.25">
      <c r="A43" s="38"/>
      <c r="B43" s="38"/>
      <c r="C43" s="38">
        <f>SUM(C34:C42)</f>
        <v>131</v>
      </c>
      <c r="D43" s="33"/>
    </row>
    <row r="44" spans="1:8" x14ac:dyDescent="0.25">
      <c r="A44" s="33" t="s">
        <v>60</v>
      </c>
      <c r="B44" s="39"/>
      <c r="C44" s="33"/>
      <c r="D44" s="33" t="s">
        <v>61</v>
      </c>
    </row>
    <row r="45" spans="1:8" x14ac:dyDescent="0.25">
      <c r="A45" s="33" t="s">
        <v>62</v>
      </c>
      <c r="B45" s="33"/>
      <c r="C45" s="33"/>
      <c r="D45" s="33" t="s">
        <v>63</v>
      </c>
    </row>
    <row r="47" spans="1:8" x14ac:dyDescent="0.25">
      <c r="A47" s="1" t="s">
        <v>64</v>
      </c>
      <c r="B47" s="1" t="s">
        <v>65</v>
      </c>
      <c r="C47" s="1" t="s">
        <v>66</v>
      </c>
      <c r="D47" s="1" t="s">
        <v>67</v>
      </c>
      <c r="E47" s="1" t="s">
        <v>68</v>
      </c>
    </row>
    <row r="48" spans="1:8" x14ac:dyDescent="0.25">
      <c r="A48" s="1">
        <v>1</v>
      </c>
    </row>
    <row r="49" spans="1:4" x14ac:dyDescent="0.25">
      <c r="A49" s="1">
        <v>2</v>
      </c>
    </row>
    <row r="50" spans="1:4" x14ac:dyDescent="0.25">
      <c r="A50" s="1">
        <v>3</v>
      </c>
    </row>
    <row r="51" spans="1:4" x14ac:dyDescent="0.25">
      <c r="B51" s="7" t="s">
        <v>7</v>
      </c>
    </row>
    <row r="54" spans="1:4" x14ac:dyDescent="0.25">
      <c r="B54" s="1" t="s">
        <v>637</v>
      </c>
    </row>
    <row r="55" spans="1:4" x14ac:dyDescent="0.25">
      <c r="A55" s="74">
        <v>40065917</v>
      </c>
      <c r="B55" t="s">
        <v>290</v>
      </c>
      <c r="C55" s="1">
        <v>300</v>
      </c>
      <c r="D55" s="1" t="s">
        <v>269</v>
      </c>
    </row>
  </sheetData>
  <sortState xmlns:xlrd2="http://schemas.microsoft.com/office/spreadsheetml/2017/richdata2" ref="A34:D41">
    <sortCondition ref="B34:B41"/>
  </sortState>
  <mergeCells count="5">
    <mergeCell ref="A5:F5"/>
    <mergeCell ref="A6:F6"/>
    <mergeCell ref="A7:B7"/>
    <mergeCell ref="C7:D7"/>
    <mergeCell ref="E7:F7"/>
  </mergeCells>
  <conditionalFormatting sqref="B11">
    <cfRule type="duplicateValues" dxfId="31" priority="11"/>
  </conditionalFormatting>
  <conditionalFormatting sqref="A55:B55">
    <cfRule type="expression" dxfId="30" priority="2">
      <formula>$K55="H"</formula>
    </cfRule>
    <cfRule type="expression" dxfId="29" priority="3">
      <formula>$K55="G"</formula>
    </cfRule>
    <cfRule type="expression" dxfId="28" priority="4">
      <formula>$K55="F"</formula>
    </cfRule>
    <cfRule type="expression" dxfId="27" priority="5">
      <formula>$K55="E"</formula>
    </cfRule>
    <cfRule type="expression" dxfId="26" priority="7">
      <formula>$K55="D"</formula>
    </cfRule>
    <cfRule type="expression" dxfId="25" priority="8">
      <formula>$K55="B"</formula>
    </cfRule>
    <cfRule type="expression" dxfId="24" priority="9">
      <formula>$K55="A"</formula>
    </cfRule>
    <cfRule type="expression" dxfId="23" priority="10">
      <formula>$K55="C"</formula>
    </cfRule>
  </conditionalFormatting>
  <conditionalFormatting sqref="A55:B55">
    <cfRule type="expression" dxfId="22" priority="1">
      <formula>$K55="I"</formula>
    </cfRule>
  </conditionalFormatting>
  <conditionalFormatting sqref="A55:B55">
    <cfRule type="expression" dxfId="21" priority="6">
      <formula>$K55="W"</formula>
    </cfRule>
  </conditionalFormatting>
  <printOptions horizontalCentered="1" verticalCentered="1"/>
  <pageMargins left="0" right="0" top="0" bottom="0" header="0" footer="0"/>
  <pageSetup scale="9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 filterMode="1"/>
  <dimension ref="A1:J111"/>
  <sheetViews>
    <sheetView workbookViewId="0">
      <selection activeCell="I17" sqref="I17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10" ht="15.75" thickBot="1" x14ac:dyDescent="0.3">
      <c r="B1" s="19"/>
      <c r="C1" s="19"/>
      <c r="D1" s="19"/>
      <c r="E1" s="19"/>
      <c r="F1" s="19"/>
      <c r="I1" s="34">
        <v>6355.33</v>
      </c>
      <c r="J1" s="34">
        <v>26094197.84</v>
      </c>
    </row>
    <row r="2" spans="1:10" ht="15.75" x14ac:dyDescent="0.25">
      <c r="A2" s="20"/>
      <c r="B2" s="21"/>
      <c r="C2" s="22"/>
      <c r="D2" s="23"/>
      <c r="E2" s="22"/>
      <c r="F2" s="24"/>
      <c r="G2" s="25"/>
      <c r="I2" s="34">
        <v>11600.24</v>
      </c>
      <c r="J2" s="34">
        <v>35395402.950000003</v>
      </c>
    </row>
    <row r="3" spans="1:10" ht="16.5" thickBot="1" x14ac:dyDescent="0.3">
      <c r="A3" s="20"/>
      <c r="B3" s="26"/>
      <c r="C3" s="27"/>
      <c r="D3" s="28"/>
      <c r="E3" s="28"/>
      <c r="F3" s="28"/>
    </row>
    <row r="4" spans="1:10" x14ac:dyDescent="0.25">
      <c r="B4" s="29"/>
      <c r="C4" s="29"/>
      <c r="D4" s="29"/>
      <c r="E4" s="29"/>
      <c r="F4" s="44"/>
    </row>
    <row r="5" spans="1:10" ht="15.75" x14ac:dyDescent="0.25">
      <c r="A5" s="61" t="s">
        <v>42</v>
      </c>
      <c r="B5" s="61"/>
      <c r="C5" s="61"/>
      <c r="D5" s="61"/>
      <c r="E5" s="61"/>
      <c r="F5" s="62"/>
    </row>
    <row r="6" spans="1:10" ht="15.75" x14ac:dyDescent="0.25">
      <c r="A6" s="61" t="s">
        <v>183</v>
      </c>
      <c r="B6" s="61"/>
      <c r="C6" s="61"/>
      <c r="D6" s="61"/>
      <c r="E6" s="61"/>
      <c r="F6" s="61"/>
    </row>
    <row r="7" spans="1:10" ht="23.25" x14ac:dyDescent="0.25">
      <c r="A7" s="63" t="s">
        <v>43</v>
      </c>
      <c r="B7" s="63"/>
      <c r="C7" s="64" t="s">
        <v>44</v>
      </c>
      <c r="D7" s="64"/>
      <c r="E7" s="65" t="s">
        <v>644</v>
      </c>
      <c r="F7" s="65"/>
    </row>
    <row r="8" spans="1:10" x14ac:dyDescent="0.25">
      <c r="A8" s="1" t="s">
        <v>46</v>
      </c>
      <c r="B8" s="2" t="s">
        <v>636</v>
      </c>
      <c r="C8" s="30">
        <v>808951625</v>
      </c>
      <c r="E8" s="1" t="s">
        <v>47</v>
      </c>
      <c r="F8" s="31" t="s">
        <v>472</v>
      </c>
      <c r="G8" s="32" t="s">
        <v>89</v>
      </c>
      <c r="H8" s="34" t="s">
        <v>395</v>
      </c>
    </row>
    <row r="9" spans="1:10" x14ac:dyDescent="0.25">
      <c r="A9" s="1" t="s">
        <v>48</v>
      </c>
      <c r="B9" s="33" t="s">
        <v>460</v>
      </c>
      <c r="C9" s="30">
        <v>808951635</v>
      </c>
      <c r="E9" s="1" t="s">
        <v>49</v>
      </c>
      <c r="G9" s="1" t="s">
        <v>90</v>
      </c>
      <c r="H9" s="34">
        <v>62000</v>
      </c>
    </row>
    <row r="10" spans="1:10" x14ac:dyDescent="0.25">
      <c r="A10" s="1" t="s">
        <v>50</v>
      </c>
      <c r="B10" s="2" t="s">
        <v>642</v>
      </c>
      <c r="C10" s="1">
        <v>808952841</v>
      </c>
      <c r="E10" s="1" t="s">
        <v>51</v>
      </c>
      <c r="G10" s="1" t="s">
        <v>91</v>
      </c>
    </row>
    <row r="11" spans="1:10" x14ac:dyDescent="0.25">
      <c r="A11" s="1" t="s">
        <v>52</v>
      </c>
      <c r="B11" s="33" t="s">
        <v>643</v>
      </c>
      <c r="C11" s="1">
        <v>808952842</v>
      </c>
      <c r="G11" s="1" t="s">
        <v>416</v>
      </c>
      <c r="I11" s="34"/>
    </row>
    <row r="12" spans="1:10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</row>
    <row r="13" spans="1:10" x14ac:dyDescent="0.25">
      <c r="A13" s="38">
        <v>40043571</v>
      </c>
      <c r="B13" s="38" t="s">
        <v>207</v>
      </c>
      <c r="C13" s="38">
        <v>15</v>
      </c>
      <c r="D13" s="33"/>
      <c r="E13" s="38">
        <v>15</v>
      </c>
      <c r="F13" s="33"/>
      <c r="H13" s="34"/>
    </row>
    <row r="14" spans="1:10" x14ac:dyDescent="0.25">
      <c r="A14" s="38">
        <v>40043584</v>
      </c>
      <c r="B14" s="38" t="s">
        <v>242</v>
      </c>
      <c r="C14" s="38">
        <v>10</v>
      </c>
      <c r="D14" s="33"/>
      <c r="E14" s="38">
        <v>10</v>
      </c>
      <c r="G14" s="34"/>
      <c r="H14" s="34"/>
    </row>
    <row r="15" spans="1:10" x14ac:dyDescent="0.25">
      <c r="A15" s="38">
        <v>40062265</v>
      </c>
      <c r="B15" s="38" t="s">
        <v>443</v>
      </c>
      <c r="C15" s="38">
        <v>50</v>
      </c>
      <c r="D15" s="33"/>
      <c r="E15" s="38">
        <v>50</v>
      </c>
      <c r="H15" s="34"/>
    </row>
    <row r="16" spans="1:10" x14ac:dyDescent="0.25">
      <c r="A16" s="38">
        <v>40060029</v>
      </c>
      <c r="B16" s="38" t="s">
        <v>508</v>
      </c>
      <c r="C16" s="38">
        <v>35</v>
      </c>
      <c r="D16" s="33"/>
      <c r="E16" s="38">
        <v>35</v>
      </c>
    </row>
    <row r="17" spans="1:9" x14ac:dyDescent="0.25">
      <c r="A17" s="38">
        <v>40060034</v>
      </c>
      <c r="B17" s="38" t="s">
        <v>463</v>
      </c>
      <c r="C17" s="38">
        <v>200</v>
      </c>
      <c r="D17" s="33"/>
      <c r="E17" s="38">
        <v>200</v>
      </c>
      <c r="I17" s="1">
        <v>1006210180</v>
      </c>
    </row>
    <row r="18" spans="1:9" x14ac:dyDescent="0.25">
      <c r="A18" s="38">
        <v>40062345</v>
      </c>
      <c r="B18" s="38" t="s">
        <v>507</v>
      </c>
      <c r="C18" s="38">
        <v>34</v>
      </c>
      <c r="D18" s="33"/>
      <c r="E18" s="38">
        <v>34</v>
      </c>
      <c r="I18" s="1">
        <v>5128542</v>
      </c>
    </row>
    <row r="19" spans="1:9" x14ac:dyDescent="0.25">
      <c r="A19" s="38">
        <v>40041315</v>
      </c>
      <c r="B19" s="38" t="s">
        <v>440</v>
      </c>
      <c r="C19" s="38">
        <v>78</v>
      </c>
      <c r="D19" s="33"/>
      <c r="E19" s="38">
        <v>78</v>
      </c>
      <c r="I19" s="1">
        <v>5128541</v>
      </c>
    </row>
    <row r="20" spans="1:9" x14ac:dyDescent="0.25">
      <c r="A20" s="38">
        <v>40062464</v>
      </c>
      <c r="B20" s="38" t="s">
        <v>220</v>
      </c>
      <c r="C20" s="38">
        <v>27</v>
      </c>
      <c r="D20" s="33"/>
      <c r="E20" s="38">
        <v>27</v>
      </c>
      <c r="I20" s="1">
        <v>1006210178</v>
      </c>
    </row>
    <row r="21" spans="1:9" x14ac:dyDescent="0.25">
      <c r="A21" s="38">
        <v>40062014</v>
      </c>
      <c r="B21" s="38" t="s">
        <v>538</v>
      </c>
      <c r="C21" s="38">
        <v>5</v>
      </c>
      <c r="D21" s="33"/>
      <c r="E21" s="38">
        <v>5</v>
      </c>
    </row>
    <row r="22" spans="1:9" x14ac:dyDescent="0.25">
      <c r="A22" s="38">
        <v>40064164</v>
      </c>
      <c r="B22" s="38" t="s">
        <v>575</v>
      </c>
      <c r="C22" s="38">
        <v>9</v>
      </c>
      <c r="D22" s="33"/>
      <c r="E22" s="38">
        <v>9</v>
      </c>
    </row>
    <row r="23" spans="1:9" hidden="1" x14ac:dyDescent="0.25">
      <c r="A23" s="38">
        <v>40050858</v>
      </c>
      <c r="B23" s="38" t="s">
        <v>618</v>
      </c>
      <c r="C23" s="38">
        <v>4</v>
      </c>
      <c r="D23" s="33"/>
      <c r="E23" s="38">
        <v>0</v>
      </c>
    </row>
    <row r="24" spans="1:9" x14ac:dyDescent="0.25">
      <c r="A24" s="38">
        <v>40063022</v>
      </c>
      <c r="B24" s="38" t="s">
        <v>603</v>
      </c>
      <c r="C24" s="38">
        <v>65</v>
      </c>
      <c r="D24" s="33"/>
      <c r="E24" s="38">
        <v>65</v>
      </c>
    </row>
    <row r="25" spans="1:9" hidden="1" x14ac:dyDescent="0.25">
      <c r="A25" s="38">
        <v>40063752</v>
      </c>
      <c r="B25" s="38" t="s">
        <v>514</v>
      </c>
      <c r="C25" s="38">
        <v>41</v>
      </c>
      <c r="D25" s="33"/>
      <c r="E25" s="38">
        <v>0</v>
      </c>
    </row>
    <row r="26" spans="1:9" x14ac:dyDescent="0.25">
      <c r="A26" s="38">
        <v>40063753</v>
      </c>
      <c r="B26" s="38" t="s">
        <v>513</v>
      </c>
      <c r="C26" s="38">
        <v>40</v>
      </c>
      <c r="D26" s="33"/>
      <c r="E26" s="38">
        <v>40</v>
      </c>
    </row>
    <row r="27" spans="1:9" x14ac:dyDescent="0.25">
      <c r="A27" s="38">
        <v>40063700</v>
      </c>
      <c r="B27" s="38" t="s">
        <v>237</v>
      </c>
      <c r="C27" s="38">
        <v>12</v>
      </c>
      <c r="D27" s="33"/>
      <c r="E27" s="38">
        <v>12</v>
      </c>
    </row>
    <row r="28" spans="1:9" x14ac:dyDescent="0.25">
      <c r="A28" s="38">
        <v>40063699</v>
      </c>
      <c r="B28" s="38" t="s">
        <v>515</v>
      </c>
      <c r="C28" s="38">
        <v>26</v>
      </c>
      <c r="D28" s="33"/>
      <c r="E28" s="38">
        <v>26</v>
      </c>
    </row>
    <row r="29" spans="1:9" x14ac:dyDescent="0.25">
      <c r="A29" s="38">
        <v>40063688</v>
      </c>
      <c r="B29" s="38" t="s">
        <v>243</v>
      </c>
      <c r="C29" s="38">
        <v>75</v>
      </c>
      <c r="D29" s="33"/>
      <c r="E29" s="38">
        <v>75</v>
      </c>
    </row>
    <row r="30" spans="1:9" x14ac:dyDescent="0.25">
      <c r="A30" s="38">
        <v>40063689</v>
      </c>
      <c r="B30" s="38" t="s">
        <v>516</v>
      </c>
      <c r="C30" s="38">
        <v>25</v>
      </c>
      <c r="D30" s="33"/>
      <c r="E30" s="38">
        <v>25</v>
      </c>
    </row>
    <row r="31" spans="1:9" x14ac:dyDescent="0.25">
      <c r="A31" s="38">
        <v>40063794</v>
      </c>
      <c r="B31" s="38" t="s">
        <v>249</v>
      </c>
      <c r="C31" s="38">
        <v>1</v>
      </c>
      <c r="D31" s="33"/>
      <c r="E31" s="38">
        <v>1</v>
      </c>
    </row>
    <row r="32" spans="1:9" x14ac:dyDescent="0.25">
      <c r="A32" s="38">
        <v>40049729</v>
      </c>
      <c r="B32" s="38" t="s">
        <v>606</v>
      </c>
      <c r="C32" s="38">
        <v>17</v>
      </c>
      <c r="D32" s="33"/>
      <c r="E32" s="38">
        <v>17</v>
      </c>
    </row>
    <row r="33" spans="1:5" x14ac:dyDescent="0.25">
      <c r="A33" s="38">
        <v>40065273</v>
      </c>
      <c r="B33" s="38" t="s">
        <v>262</v>
      </c>
      <c r="C33" s="38">
        <v>28</v>
      </c>
      <c r="D33" s="33"/>
      <c r="E33" s="38">
        <v>28</v>
      </c>
    </row>
    <row r="34" spans="1:5" x14ac:dyDescent="0.25">
      <c r="A34" s="38">
        <v>40065167</v>
      </c>
      <c r="B34" s="38" t="s">
        <v>512</v>
      </c>
      <c r="C34" s="38">
        <v>1</v>
      </c>
      <c r="D34" s="33"/>
      <c r="E34" s="38">
        <v>1</v>
      </c>
    </row>
    <row r="35" spans="1:5" x14ac:dyDescent="0.25">
      <c r="A35" s="1">
        <v>40063581</v>
      </c>
      <c r="B35" s="1" t="s">
        <v>494</v>
      </c>
      <c r="C35" s="1">
        <v>34</v>
      </c>
      <c r="D35" s="1" t="s">
        <v>79</v>
      </c>
      <c r="E35" s="1">
        <v>34</v>
      </c>
    </row>
    <row r="36" spans="1:5" x14ac:dyDescent="0.25">
      <c r="A36" s="38">
        <v>40057928</v>
      </c>
      <c r="B36" s="38" t="s">
        <v>526</v>
      </c>
      <c r="C36" s="38">
        <v>30</v>
      </c>
      <c r="D36" s="33"/>
      <c r="E36" s="38">
        <v>30</v>
      </c>
    </row>
    <row r="37" spans="1:5" x14ac:dyDescent="0.25">
      <c r="A37" s="1">
        <v>40063757</v>
      </c>
      <c r="B37" s="1" t="s">
        <v>261</v>
      </c>
      <c r="C37" s="1">
        <v>130</v>
      </c>
      <c r="D37" s="1" t="s">
        <v>79</v>
      </c>
      <c r="E37" s="1">
        <v>130</v>
      </c>
    </row>
    <row r="38" spans="1:5" hidden="1" x14ac:dyDescent="0.25">
      <c r="A38" s="38">
        <v>40063808</v>
      </c>
      <c r="B38" s="38" t="s">
        <v>271</v>
      </c>
      <c r="C38" s="38">
        <v>30</v>
      </c>
      <c r="D38" s="33"/>
      <c r="E38" s="38">
        <v>0</v>
      </c>
    </row>
    <row r="39" spans="1:5" x14ac:dyDescent="0.25">
      <c r="A39" s="38">
        <v>40063756</v>
      </c>
      <c r="B39" s="38" t="s">
        <v>464</v>
      </c>
      <c r="C39" s="38">
        <v>31</v>
      </c>
      <c r="D39" s="33"/>
      <c r="E39" s="38">
        <v>31</v>
      </c>
    </row>
    <row r="40" spans="1:5" x14ac:dyDescent="0.25">
      <c r="A40" s="38">
        <v>40059774</v>
      </c>
      <c r="B40" s="38" t="s">
        <v>571</v>
      </c>
      <c r="C40" s="38">
        <v>5</v>
      </c>
      <c r="D40" s="33"/>
      <c r="E40" s="38">
        <v>5</v>
      </c>
    </row>
    <row r="41" spans="1:5" x14ac:dyDescent="0.25">
      <c r="A41" s="38">
        <v>40049658</v>
      </c>
      <c r="B41" s="38" t="s">
        <v>536</v>
      </c>
      <c r="C41" s="38">
        <v>5</v>
      </c>
      <c r="D41" s="33"/>
      <c r="E41" s="38">
        <v>5</v>
      </c>
    </row>
    <row r="42" spans="1:5" x14ac:dyDescent="0.25">
      <c r="A42" s="1">
        <v>40065039</v>
      </c>
      <c r="B42" s="1" t="s">
        <v>478</v>
      </c>
      <c r="C42" s="1">
        <v>4</v>
      </c>
      <c r="D42" s="1" t="s">
        <v>79</v>
      </c>
      <c r="E42" s="1">
        <v>4</v>
      </c>
    </row>
    <row r="43" spans="1:5" x14ac:dyDescent="0.25">
      <c r="A43" s="38">
        <v>40060449</v>
      </c>
      <c r="B43" s="38" t="s">
        <v>537</v>
      </c>
      <c r="C43" s="38">
        <v>5</v>
      </c>
      <c r="D43" s="33"/>
      <c r="E43" s="38">
        <v>5</v>
      </c>
    </row>
    <row r="44" spans="1:5" x14ac:dyDescent="0.25">
      <c r="A44" s="38">
        <v>40060450</v>
      </c>
      <c r="B44" s="38" t="s">
        <v>572</v>
      </c>
      <c r="C44" s="38">
        <v>5</v>
      </c>
      <c r="D44" s="33"/>
      <c r="E44" s="38">
        <v>5</v>
      </c>
    </row>
    <row r="45" spans="1:5" x14ac:dyDescent="0.25">
      <c r="A45" s="38">
        <v>40060535</v>
      </c>
      <c r="B45" s="38" t="s">
        <v>221</v>
      </c>
      <c r="C45" s="38">
        <v>7</v>
      </c>
      <c r="D45" s="33"/>
      <c r="E45" s="38">
        <v>7</v>
      </c>
    </row>
    <row r="46" spans="1:5" x14ac:dyDescent="0.25">
      <c r="A46" s="38">
        <v>40061000</v>
      </c>
      <c r="B46" s="38" t="s">
        <v>273</v>
      </c>
      <c r="C46" s="38">
        <v>11</v>
      </c>
      <c r="D46" s="33"/>
      <c r="E46" s="38">
        <v>11</v>
      </c>
    </row>
    <row r="47" spans="1:5" x14ac:dyDescent="0.25">
      <c r="A47" s="38">
        <v>40063637</v>
      </c>
      <c r="B47" s="38" t="s">
        <v>275</v>
      </c>
      <c r="C47" s="38">
        <v>29</v>
      </c>
      <c r="D47" s="33"/>
      <c r="E47" s="38">
        <v>29</v>
      </c>
    </row>
    <row r="48" spans="1:5" x14ac:dyDescent="0.25">
      <c r="A48" s="38">
        <v>40063016</v>
      </c>
      <c r="B48" s="38" t="s">
        <v>230</v>
      </c>
      <c r="C48" s="38">
        <v>32</v>
      </c>
      <c r="D48" s="33"/>
      <c r="E48" s="38">
        <v>32</v>
      </c>
    </row>
    <row r="49" spans="1:5" x14ac:dyDescent="0.25">
      <c r="A49" s="38">
        <v>40064885</v>
      </c>
      <c r="B49" s="38" t="s">
        <v>279</v>
      </c>
      <c r="C49" s="38">
        <v>19</v>
      </c>
      <c r="D49" s="33"/>
      <c r="E49" s="38">
        <v>19</v>
      </c>
    </row>
    <row r="50" spans="1:5" x14ac:dyDescent="0.25">
      <c r="A50" s="38">
        <v>40064886</v>
      </c>
      <c r="B50" s="38" t="s">
        <v>298</v>
      </c>
      <c r="C50" s="38">
        <v>5</v>
      </c>
      <c r="D50" s="33"/>
      <c r="E50" s="38">
        <v>5</v>
      </c>
    </row>
    <row r="51" spans="1:5" x14ac:dyDescent="0.25">
      <c r="A51" s="38">
        <v>40064881</v>
      </c>
      <c r="B51" s="38" t="s">
        <v>281</v>
      </c>
      <c r="C51" s="38">
        <v>24</v>
      </c>
      <c r="D51" s="33"/>
      <c r="E51" s="38">
        <v>24</v>
      </c>
    </row>
    <row r="52" spans="1:5" x14ac:dyDescent="0.25">
      <c r="A52" s="38">
        <v>40065346</v>
      </c>
      <c r="B52" s="38" t="s">
        <v>569</v>
      </c>
      <c r="C52" s="38">
        <v>5</v>
      </c>
      <c r="D52" s="33"/>
      <c r="E52" s="38">
        <v>5</v>
      </c>
    </row>
    <row r="53" spans="1:5" x14ac:dyDescent="0.25">
      <c r="A53" s="38">
        <v>40063659</v>
      </c>
      <c r="B53" s="38" t="s">
        <v>289</v>
      </c>
      <c r="C53" s="38">
        <v>50</v>
      </c>
      <c r="D53" s="33"/>
      <c r="E53" s="38">
        <v>50</v>
      </c>
    </row>
    <row r="54" spans="1:5" x14ac:dyDescent="0.25">
      <c r="A54" s="38">
        <v>40065256</v>
      </c>
      <c r="B54" s="38" t="s">
        <v>285</v>
      </c>
      <c r="C54" s="38">
        <v>1</v>
      </c>
      <c r="D54" s="33"/>
      <c r="E54" s="38">
        <v>1</v>
      </c>
    </row>
    <row r="55" spans="1:5" x14ac:dyDescent="0.25">
      <c r="A55" s="38">
        <v>40044138</v>
      </c>
      <c r="B55" s="38" t="s">
        <v>253</v>
      </c>
      <c r="C55" s="38">
        <v>34</v>
      </c>
      <c r="D55" s="33"/>
      <c r="E55" s="38">
        <v>34</v>
      </c>
    </row>
    <row r="56" spans="1:5" x14ac:dyDescent="0.25">
      <c r="A56" s="38">
        <v>40065350</v>
      </c>
      <c r="B56" s="38" t="s">
        <v>557</v>
      </c>
      <c r="C56" s="38">
        <v>40</v>
      </c>
      <c r="D56" s="33"/>
      <c r="E56" s="38">
        <v>40</v>
      </c>
    </row>
    <row r="57" spans="1:5" x14ac:dyDescent="0.25">
      <c r="A57" s="38">
        <v>40065345</v>
      </c>
      <c r="B57" s="38" t="s">
        <v>294</v>
      </c>
      <c r="C57" s="38">
        <v>41</v>
      </c>
      <c r="D57" s="33"/>
      <c r="E57" s="38">
        <v>41</v>
      </c>
    </row>
    <row r="58" spans="1:5" x14ac:dyDescent="0.25">
      <c r="A58" s="38">
        <v>40063476</v>
      </c>
      <c r="B58" s="38" t="s">
        <v>453</v>
      </c>
      <c r="C58" s="38">
        <v>10</v>
      </c>
      <c r="D58" s="33"/>
      <c r="E58" s="38">
        <v>10</v>
      </c>
    </row>
    <row r="59" spans="1:5" x14ac:dyDescent="0.25">
      <c r="A59" s="38">
        <v>40065338</v>
      </c>
      <c r="B59" s="38" t="s">
        <v>520</v>
      </c>
      <c r="C59" s="38">
        <v>7</v>
      </c>
      <c r="D59" s="33"/>
      <c r="E59" s="38">
        <v>7</v>
      </c>
    </row>
    <row r="60" spans="1:5" x14ac:dyDescent="0.25">
      <c r="A60" s="38">
        <v>40063573</v>
      </c>
      <c r="B60" s="38" t="s">
        <v>619</v>
      </c>
      <c r="C60" s="38">
        <v>3</v>
      </c>
      <c r="D60" s="33"/>
      <c r="E60" s="38">
        <v>3</v>
      </c>
    </row>
    <row r="61" spans="1:5" x14ac:dyDescent="0.25">
      <c r="A61" s="38">
        <v>40065352</v>
      </c>
      <c r="B61" s="38" t="s">
        <v>546</v>
      </c>
      <c r="C61" s="38">
        <v>9</v>
      </c>
      <c r="D61" s="33"/>
      <c r="E61" s="38">
        <v>9</v>
      </c>
    </row>
    <row r="62" spans="1:5" x14ac:dyDescent="0.25">
      <c r="A62" s="38">
        <v>40037927</v>
      </c>
      <c r="B62" s="38" t="s">
        <v>524</v>
      </c>
      <c r="C62" s="38">
        <v>3</v>
      </c>
      <c r="E62" s="38">
        <v>3</v>
      </c>
    </row>
    <row r="63" spans="1:5" x14ac:dyDescent="0.25">
      <c r="A63" s="38">
        <v>40062017</v>
      </c>
      <c r="B63" s="38" t="s">
        <v>307</v>
      </c>
      <c r="C63" s="38">
        <v>43</v>
      </c>
      <c r="D63" s="33"/>
      <c r="E63" s="38">
        <v>43</v>
      </c>
    </row>
    <row r="64" spans="1:5" x14ac:dyDescent="0.25">
      <c r="A64" s="38">
        <v>40064105</v>
      </c>
      <c r="B64" s="38" t="s">
        <v>545</v>
      </c>
      <c r="C64" s="38">
        <v>9</v>
      </c>
      <c r="D64" s="33"/>
      <c r="E64" s="38">
        <v>9</v>
      </c>
    </row>
    <row r="65" spans="1:5" x14ac:dyDescent="0.25">
      <c r="A65" s="38">
        <v>40065374</v>
      </c>
      <c r="B65" s="38" t="s">
        <v>505</v>
      </c>
      <c r="C65" s="38">
        <v>47</v>
      </c>
      <c r="D65" s="33"/>
      <c r="E65" s="38">
        <v>47</v>
      </c>
    </row>
    <row r="66" spans="1:5" x14ac:dyDescent="0.25">
      <c r="A66" s="38">
        <v>40038891</v>
      </c>
      <c r="B66" s="38" t="s">
        <v>502</v>
      </c>
      <c r="C66" s="38">
        <v>6</v>
      </c>
      <c r="D66" s="33"/>
      <c r="E66" s="38">
        <v>6</v>
      </c>
    </row>
    <row r="67" spans="1:5" x14ac:dyDescent="0.25">
      <c r="A67" s="38">
        <v>40062071</v>
      </c>
      <c r="B67" s="38" t="s">
        <v>224</v>
      </c>
      <c r="C67" s="38">
        <v>61</v>
      </c>
      <c r="D67" s="33"/>
      <c r="E67" s="38">
        <v>61</v>
      </c>
    </row>
    <row r="68" spans="1:5" x14ac:dyDescent="0.25">
      <c r="A68" s="38">
        <v>40064518</v>
      </c>
      <c r="B68" s="38" t="s">
        <v>613</v>
      </c>
      <c r="C68" s="38">
        <v>1</v>
      </c>
      <c r="D68" s="33"/>
      <c r="E68" s="38">
        <v>1</v>
      </c>
    </row>
    <row r="69" spans="1:5" x14ac:dyDescent="0.25">
      <c r="A69" s="38">
        <v>40062018</v>
      </c>
      <c r="B69" s="38" t="s">
        <v>272</v>
      </c>
      <c r="C69" s="38">
        <v>16</v>
      </c>
      <c r="D69" s="33"/>
      <c r="E69" s="38">
        <v>16</v>
      </c>
    </row>
    <row r="70" spans="1:5" x14ac:dyDescent="0.25">
      <c r="A70" s="38">
        <v>40050411</v>
      </c>
      <c r="B70" s="38" t="s">
        <v>296</v>
      </c>
      <c r="C70" s="38">
        <v>57</v>
      </c>
      <c r="D70" s="33"/>
      <c r="E70" s="38">
        <v>57</v>
      </c>
    </row>
    <row r="71" spans="1:5" x14ac:dyDescent="0.25">
      <c r="A71" s="38">
        <v>40063491</v>
      </c>
      <c r="B71" s="38" t="s">
        <v>304</v>
      </c>
      <c r="C71" s="38">
        <v>16</v>
      </c>
      <c r="D71" s="33"/>
      <c r="E71" s="38">
        <v>16</v>
      </c>
    </row>
    <row r="72" spans="1:5" x14ac:dyDescent="0.25">
      <c r="A72" s="38">
        <v>40063489</v>
      </c>
      <c r="B72" s="38" t="s">
        <v>306</v>
      </c>
      <c r="C72" s="38">
        <v>67</v>
      </c>
      <c r="D72" s="33"/>
      <c r="E72" s="38">
        <v>67</v>
      </c>
    </row>
    <row r="73" spans="1:5" x14ac:dyDescent="0.25">
      <c r="A73" s="38">
        <v>40064710</v>
      </c>
      <c r="B73" s="38" t="s">
        <v>570</v>
      </c>
      <c r="C73" s="38">
        <v>10</v>
      </c>
      <c r="D73" s="33"/>
      <c r="E73" s="38">
        <v>10</v>
      </c>
    </row>
    <row r="74" spans="1:5" x14ac:dyDescent="0.25">
      <c r="A74" s="38">
        <v>40059764</v>
      </c>
      <c r="B74" s="38" t="s">
        <v>452</v>
      </c>
      <c r="C74" s="38">
        <v>10</v>
      </c>
      <c r="D74" s="33"/>
      <c r="E74" s="38">
        <v>10</v>
      </c>
    </row>
    <row r="75" spans="1:5" x14ac:dyDescent="0.25">
      <c r="A75" s="38">
        <v>40062524</v>
      </c>
      <c r="B75" s="38" t="s">
        <v>308</v>
      </c>
      <c r="C75" s="38">
        <v>4</v>
      </c>
      <c r="D75" s="33"/>
      <c r="E75" s="38">
        <v>4</v>
      </c>
    </row>
    <row r="76" spans="1:5" x14ac:dyDescent="0.25">
      <c r="A76" s="38">
        <v>40062858</v>
      </c>
      <c r="B76" s="38" t="s">
        <v>309</v>
      </c>
      <c r="C76" s="38">
        <v>1</v>
      </c>
      <c r="D76" s="33"/>
      <c r="E76" s="38">
        <v>1</v>
      </c>
    </row>
    <row r="77" spans="1:5" x14ac:dyDescent="0.25">
      <c r="A77" s="38">
        <v>40062537</v>
      </c>
      <c r="B77" s="38" t="s">
        <v>310</v>
      </c>
      <c r="C77" s="38">
        <v>40</v>
      </c>
      <c r="D77" s="33"/>
      <c r="E77" s="38">
        <v>40</v>
      </c>
    </row>
    <row r="78" spans="1:5" x14ac:dyDescent="0.25">
      <c r="A78" s="38">
        <v>40062343</v>
      </c>
      <c r="B78" s="38" t="s">
        <v>543</v>
      </c>
      <c r="C78" s="38">
        <v>50</v>
      </c>
      <c r="D78" s="33"/>
      <c r="E78" s="38">
        <v>50</v>
      </c>
    </row>
    <row r="79" spans="1:5" x14ac:dyDescent="0.25">
      <c r="A79" s="38">
        <v>40058544</v>
      </c>
      <c r="B79" s="38" t="s">
        <v>311</v>
      </c>
      <c r="C79" s="38">
        <v>1</v>
      </c>
      <c r="D79" s="33"/>
      <c r="E79" s="38">
        <v>1</v>
      </c>
    </row>
    <row r="80" spans="1:5" x14ac:dyDescent="0.25">
      <c r="A80" s="38">
        <v>40062332</v>
      </c>
      <c r="B80" s="38" t="s">
        <v>318</v>
      </c>
      <c r="C80" s="38">
        <v>15</v>
      </c>
      <c r="D80" s="33"/>
      <c r="E80" s="38">
        <v>15</v>
      </c>
    </row>
    <row r="81" spans="1:5" x14ac:dyDescent="0.25">
      <c r="A81" s="38">
        <v>40059268</v>
      </c>
      <c r="B81" s="38" t="s">
        <v>317</v>
      </c>
      <c r="C81" s="38">
        <v>1</v>
      </c>
      <c r="D81" s="33"/>
      <c r="E81" s="38">
        <v>1</v>
      </c>
    </row>
    <row r="82" spans="1:5" x14ac:dyDescent="0.25">
      <c r="A82" s="38">
        <v>40062523</v>
      </c>
      <c r="B82" s="38" t="s">
        <v>319</v>
      </c>
      <c r="C82" s="38">
        <v>2</v>
      </c>
      <c r="D82" s="33"/>
      <c r="E82" s="38">
        <v>2</v>
      </c>
    </row>
    <row r="83" spans="1:5" x14ac:dyDescent="0.25">
      <c r="A83" s="38">
        <v>40058612</v>
      </c>
      <c r="B83" s="38" t="s">
        <v>321</v>
      </c>
      <c r="C83" s="38">
        <v>5</v>
      </c>
      <c r="D83" s="33"/>
      <c r="E83" s="38">
        <v>5</v>
      </c>
    </row>
    <row r="84" spans="1:5" x14ac:dyDescent="0.25">
      <c r="A84" s="38">
        <v>40062518</v>
      </c>
      <c r="B84" s="38" t="s">
        <v>544</v>
      </c>
      <c r="C84" s="38">
        <v>30</v>
      </c>
      <c r="D84" s="33"/>
      <c r="E84" s="38">
        <v>30</v>
      </c>
    </row>
    <row r="85" spans="1:5" x14ac:dyDescent="0.25">
      <c r="A85" s="38">
        <v>40062325</v>
      </c>
      <c r="B85" s="38" t="s">
        <v>323</v>
      </c>
      <c r="C85" s="38">
        <v>2</v>
      </c>
      <c r="D85" s="33"/>
      <c r="E85" s="38">
        <v>2</v>
      </c>
    </row>
    <row r="86" spans="1:5" x14ac:dyDescent="0.25">
      <c r="A86" s="38">
        <v>40062334</v>
      </c>
      <c r="B86" s="38" t="s">
        <v>324</v>
      </c>
      <c r="C86" s="38">
        <v>7</v>
      </c>
      <c r="D86" s="33"/>
      <c r="E86" s="38">
        <v>7</v>
      </c>
    </row>
    <row r="87" spans="1:5" x14ac:dyDescent="0.25">
      <c r="A87" s="38">
        <v>40059425</v>
      </c>
      <c r="B87" s="38" t="s">
        <v>325</v>
      </c>
      <c r="C87" s="38">
        <v>2</v>
      </c>
      <c r="D87" s="33"/>
      <c r="E87" s="38">
        <v>2</v>
      </c>
    </row>
    <row r="88" spans="1:5" x14ac:dyDescent="0.25">
      <c r="A88" s="38">
        <v>40062326</v>
      </c>
      <c r="B88" s="38" t="s">
        <v>328</v>
      </c>
      <c r="C88" s="38">
        <v>2</v>
      </c>
      <c r="D88" s="33"/>
      <c r="E88" s="38">
        <v>2</v>
      </c>
    </row>
    <row r="89" spans="1:5" x14ac:dyDescent="0.25">
      <c r="A89" s="38">
        <v>40062328</v>
      </c>
      <c r="B89" s="38" t="s">
        <v>329</v>
      </c>
      <c r="C89" s="38">
        <v>4</v>
      </c>
      <c r="D89" s="33"/>
      <c r="E89" s="38">
        <v>4</v>
      </c>
    </row>
    <row r="90" spans="1:5" x14ac:dyDescent="0.25">
      <c r="A90" s="38">
        <v>40059477</v>
      </c>
      <c r="B90" s="38" t="s">
        <v>330</v>
      </c>
      <c r="C90" s="38">
        <v>1</v>
      </c>
      <c r="D90" s="33"/>
      <c r="E90" s="38">
        <v>1</v>
      </c>
    </row>
    <row r="91" spans="1:5" x14ac:dyDescent="0.25">
      <c r="A91" s="38">
        <v>40062336</v>
      </c>
      <c r="B91" s="38" t="s">
        <v>332</v>
      </c>
      <c r="C91" s="38">
        <v>5</v>
      </c>
      <c r="D91" s="33"/>
      <c r="E91" s="38">
        <v>5</v>
      </c>
    </row>
    <row r="92" spans="1:5" x14ac:dyDescent="0.25">
      <c r="A92" s="38">
        <v>40064844</v>
      </c>
      <c r="B92" s="38" t="s">
        <v>267</v>
      </c>
      <c r="C92" s="38">
        <v>20</v>
      </c>
      <c r="D92" s="33"/>
      <c r="E92" s="38">
        <v>20</v>
      </c>
    </row>
    <row r="93" spans="1:5" x14ac:dyDescent="0.25">
      <c r="A93" s="38">
        <v>40064728</v>
      </c>
      <c r="B93" s="38" t="s">
        <v>353</v>
      </c>
      <c r="C93" s="38">
        <v>94</v>
      </c>
      <c r="D93" s="33"/>
      <c r="E93" s="38">
        <v>94</v>
      </c>
    </row>
    <row r="94" spans="1:5" x14ac:dyDescent="0.25">
      <c r="A94" s="1">
        <v>40063198</v>
      </c>
      <c r="B94" s="1" t="s">
        <v>338</v>
      </c>
      <c r="C94" s="1">
        <v>1</v>
      </c>
      <c r="D94" s="1" t="s">
        <v>79</v>
      </c>
      <c r="E94" s="1">
        <v>1</v>
      </c>
    </row>
    <row r="95" spans="1:5" x14ac:dyDescent="0.25">
      <c r="A95" s="38">
        <v>40063805</v>
      </c>
      <c r="B95" s="38" t="s">
        <v>287</v>
      </c>
      <c r="C95" s="38">
        <v>24</v>
      </c>
      <c r="D95" s="33"/>
      <c r="E95" s="38">
        <v>24</v>
      </c>
    </row>
    <row r="96" spans="1:5" x14ac:dyDescent="0.25">
      <c r="A96" s="38">
        <v>40050590</v>
      </c>
      <c r="B96" s="38" t="s">
        <v>337</v>
      </c>
      <c r="C96" s="38">
        <v>2</v>
      </c>
      <c r="D96" s="33"/>
      <c r="E96" s="38">
        <v>2</v>
      </c>
    </row>
    <row r="97" spans="1:5" x14ac:dyDescent="0.25">
      <c r="A97" s="38">
        <v>40059401</v>
      </c>
      <c r="B97" s="38" t="s">
        <v>293</v>
      </c>
      <c r="C97" s="38">
        <v>8</v>
      </c>
      <c r="D97" s="33"/>
      <c r="E97" s="38">
        <v>8</v>
      </c>
    </row>
    <row r="98" spans="1:5" x14ac:dyDescent="0.25">
      <c r="A98" s="38">
        <v>40063685</v>
      </c>
      <c r="B98" s="38" t="s">
        <v>236</v>
      </c>
      <c r="C98" s="38">
        <v>25</v>
      </c>
      <c r="D98" s="33"/>
      <c r="E98" s="38">
        <v>25</v>
      </c>
    </row>
    <row r="99" spans="1:5" x14ac:dyDescent="0.25">
      <c r="A99" s="38">
        <v>40063686</v>
      </c>
      <c r="B99" s="38" t="s">
        <v>349</v>
      </c>
      <c r="C99" s="38">
        <v>67</v>
      </c>
      <c r="D99" s="33"/>
      <c r="E99" s="38">
        <v>67</v>
      </c>
    </row>
    <row r="100" spans="1:5" x14ac:dyDescent="0.25">
      <c r="A100" s="38">
        <v>40064535</v>
      </c>
      <c r="B100" s="38" t="s">
        <v>450</v>
      </c>
      <c r="C100" s="38">
        <v>20</v>
      </c>
      <c r="D100" s="33"/>
      <c r="E100" s="38">
        <v>20</v>
      </c>
    </row>
    <row r="101" spans="1:5" x14ac:dyDescent="0.25">
      <c r="A101" s="38">
        <v>40064709</v>
      </c>
      <c r="B101" s="38" t="s">
        <v>347</v>
      </c>
      <c r="C101" s="38">
        <v>9</v>
      </c>
      <c r="D101" s="33"/>
      <c r="E101" s="38">
        <v>9</v>
      </c>
    </row>
    <row r="102" spans="1:5" x14ac:dyDescent="0.25">
      <c r="A102" s="38">
        <v>40057928</v>
      </c>
      <c r="B102" s="38"/>
      <c r="C102" s="38">
        <v>20</v>
      </c>
      <c r="D102" s="33"/>
      <c r="E102" s="38">
        <v>20</v>
      </c>
    </row>
    <row r="103" spans="1:5" x14ac:dyDescent="0.25">
      <c r="C103" s="7"/>
    </row>
    <row r="104" spans="1:5" x14ac:dyDescent="0.25">
      <c r="A104" s="33" t="s">
        <v>60</v>
      </c>
      <c r="B104" s="39"/>
      <c r="C104" s="33">
        <f>SUM(C13:C103)</f>
        <v>2212</v>
      </c>
      <c r="D104" s="33" t="s">
        <v>61</v>
      </c>
      <c r="E104" s="1">
        <f>SUM(E13:E103)</f>
        <v>2137</v>
      </c>
    </row>
    <row r="105" spans="1:5" x14ac:dyDescent="0.25">
      <c r="A105" s="33" t="s">
        <v>62</v>
      </c>
      <c r="B105" s="33"/>
      <c r="C105" s="33"/>
      <c r="D105" s="33" t="s">
        <v>63</v>
      </c>
    </row>
    <row r="107" spans="1:5" x14ac:dyDescent="0.25">
      <c r="A107" s="1" t="s">
        <v>64</v>
      </c>
      <c r="B107" s="1" t="s">
        <v>65</v>
      </c>
      <c r="C107" s="1" t="s">
        <v>66</v>
      </c>
      <c r="D107" s="1" t="s">
        <v>67</v>
      </c>
      <c r="E107" s="1" t="s">
        <v>68</v>
      </c>
    </row>
    <row r="108" spans="1:5" x14ac:dyDescent="0.25">
      <c r="A108" s="1">
        <v>1</v>
      </c>
    </row>
    <row r="109" spans="1:5" x14ac:dyDescent="0.25">
      <c r="A109" s="1">
        <v>2</v>
      </c>
    </row>
    <row r="110" spans="1:5" x14ac:dyDescent="0.25">
      <c r="A110" s="1">
        <v>3</v>
      </c>
    </row>
    <row r="111" spans="1:5" x14ac:dyDescent="0.25">
      <c r="B111" s="7" t="s">
        <v>7</v>
      </c>
    </row>
  </sheetData>
  <autoFilter ref="A12:J102" xr:uid="{00000000-0001-0000-0B00-000000000000}">
    <filterColumn colId="4">
      <filters>
        <filter val="1"/>
        <filter val="10"/>
        <filter val="11"/>
        <filter val="12"/>
        <filter val="130"/>
        <filter val="15"/>
        <filter val="16"/>
        <filter val="17"/>
        <filter val="19"/>
        <filter val="2"/>
        <filter val="20"/>
        <filter val="200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4"/>
        <filter val="35"/>
        <filter val="4"/>
        <filter val="40"/>
        <filter val="41"/>
        <filter val="43"/>
        <filter val="47"/>
        <filter val="5"/>
        <filter val="50"/>
        <filter val="57"/>
        <filter val="6"/>
        <filter val="61"/>
        <filter val="65"/>
        <filter val="67"/>
        <filter val="7"/>
        <filter val="75"/>
        <filter val="78"/>
        <filter val="8"/>
        <filter val="9"/>
        <filter val="94"/>
      </filters>
    </filterColumn>
  </autoFilter>
  <sortState xmlns:xlrd2="http://schemas.microsoft.com/office/spreadsheetml/2017/richdata2" ref="A13:D101">
    <sortCondition ref="B13:B101"/>
  </sortState>
  <mergeCells count="5">
    <mergeCell ref="A5:F5"/>
    <mergeCell ref="A6:F6"/>
    <mergeCell ref="A7:B7"/>
    <mergeCell ref="C7:D7"/>
    <mergeCell ref="E7:F7"/>
  </mergeCells>
  <conditionalFormatting sqref="B11">
    <cfRule type="duplicateValues" dxfId="20" priority="1"/>
  </conditionalFormatting>
  <printOptions horizontalCentered="1" verticalCentered="1"/>
  <pageMargins left="0" right="0" top="0" bottom="0" header="0" footer="0"/>
  <pageSetup scale="9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J35"/>
  <sheetViews>
    <sheetView workbookViewId="0">
      <selection activeCell="I16" sqref="I16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10" ht="15.75" thickBot="1" x14ac:dyDescent="0.3">
      <c r="B1" s="19"/>
      <c r="C1" s="19"/>
      <c r="D1" s="19"/>
      <c r="E1" s="19"/>
      <c r="F1" s="19"/>
      <c r="I1" s="34">
        <v>10974.96</v>
      </c>
      <c r="J1" s="34">
        <v>37732179.460000001</v>
      </c>
    </row>
    <row r="2" spans="1:10" ht="15.75" x14ac:dyDescent="0.25">
      <c r="A2" s="20"/>
      <c r="B2" s="21"/>
      <c r="C2" s="22"/>
      <c r="D2" s="23"/>
      <c r="E2" s="22"/>
      <c r="F2" s="24"/>
      <c r="G2" s="25"/>
      <c r="I2" s="34">
        <v>6959.88</v>
      </c>
      <c r="J2" s="34">
        <v>25453587.010000002</v>
      </c>
    </row>
    <row r="3" spans="1:10" ht="16.5" thickBot="1" x14ac:dyDescent="0.3">
      <c r="A3" s="20"/>
      <c r="B3" s="26"/>
      <c r="C3" s="27"/>
      <c r="D3" s="28"/>
      <c r="E3" s="28"/>
      <c r="F3" s="28"/>
    </row>
    <row r="4" spans="1:10" x14ac:dyDescent="0.25">
      <c r="B4" s="29"/>
      <c r="C4" s="29"/>
      <c r="D4" s="29"/>
      <c r="E4" s="29"/>
      <c r="F4" s="44"/>
    </row>
    <row r="5" spans="1:10" ht="15.75" x14ac:dyDescent="0.25">
      <c r="A5" s="61" t="s">
        <v>42</v>
      </c>
      <c r="B5" s="61"/>
      <c r="C5" s="61"/>
      <c r="D5" s="61"/>
      <c r="E5" s="61"/>
      <c r="F5" s="62"/>
    </row>
    <row r="6" spans="1:10" ht="15.75" x14ac:dyDescent="0.25">
      <c r="A6" s="61" t="s">
        <v>183</v>
      </c>
      <c r="B6" s="61"/>
      <c r="C6" s="61"/>
      <c r="D6" s="61"/>
      <c r="E6" s="61"/>
      <c r="F6" s="61"/>
    </row>
    <row r="7" spans="1:10" ht="23.25" x14ac:dyDescent="0.25">
      <c r="A7" s="63" t="s">
        <v>43</v>
      </c>
      <c r="B7" s="63"/>
      <c r="C7" s="64" t="s">
        <v>44</v>
      </c>
      <c r="D7" s="64"/>
      <c r="E7" s="65" t="s">
        <v>648</v>
      </c>
      <c r="F7" s="65"/>
    </row>
    <row r="8" spans="1:10" x14ac:dyDescent="0.25">
      <c r="A8" s="1" t="s">
        <v>46</v>
      </c>
      <c r="B8" s="2" t="s">
        <v>646</v>
      </c>
      <c r="C8" s="30">
        <v>808951659</v>
      </c>
      <c r="E8" s="1" t="s">
        <v>47</v>
      </c>
      <c r="F8" s="31" t="s">
        <v>472</v>
      </c>
      <c r="G8" s="32" t="s">
        <v>89</v>
      </c>
      <c r="H8" s="34" t="s">
        <v>395</v>
      </c>
    </row>
    <row r="9" spans="1:10" x14ac:dyDescent="0.25">
      <c r="A9" s="1" t="s">
        <v>48</v>
      </c>
      <c r="B9" s="33" t="s">
        <v>412</v>
      </c>
      <c r="C9" s="30">
        <v>808951667</v>
      </c>
      <c r="E9" s="1" t="s">
        <v>49</v>
      </c>
      <c r="G9" s="1" t="s">
        <v>90</v>
      </c>
      <c r="H9" s="34">
        <v>63000</v>
      </c>
    </row>
    <row r="10" spans="1:10" x14ac:dyDescent="0.25">
      <c r="A10" s="1" t="s">
        <v>50</v>
      </c>
      <c r="B10" s="2" t="s">
        <v>647</v>
      </c>
      <c r="C10" s="1">
        <v>808952833</v>
      </c>
      <c r="E10" s="1" t="s">
        <v>51</v>
      </c>
      <c r="G10" s="1" t="s">
        <v>91</v>
      </c>
    </row>
    <row r="11" spans="1:10" x14ac:dyDescent="0.25">
      <c r="A11" s="1" t="s">
        <v>52</v>
      </c>
      <c r="B11" s="33" t="s">
        <v>649</v>
      </c>
      <c r="G11" s="1" t="s">
        <v>678</v>
      </c>
      <c r="I11" s="34"/>
    </row>
    <row r="12" spans="1:10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</row>
    <row r="13" spans="1:10" x14ac:dyDescent="0.25">
      <c r="A13" s="38">
        <v>40043571</v>
      </c>
      <c r="B13" s="38" t="s">
        <v>207</v>
      </c>
      <c r="C13" s="38">
        <v>75</v>
      </c>
      <c r="E13" s="33"/>
      <c r="F13" s="33"/>
      <c r="H13" s="34"/>
    </row>
    <row r="14" spans="1:10" x14ac:dyDescent="0.25">
      <c r="A14" s="38">
        <v>40060030</v>
      </c>
      <c r="B14" s="38" t="s">
        <v>462</v>
      </c>
      <c r="C14" s="76">
        <v>1000</v>
      </c>
      <c r="D14" s="33"/>
      <c r="E14" s="33"/>
      <c r="G14" s="34"/>
      <c r="H14" s="34"/>
    </row>
    <row r="15" spans="1:10" x14ac:dyDescent="0.25">
      <c r="A15" s="38">
        <v>40060029</v>
      </c>
      <c r="B15" s="38" t="s">
        <v>508</v>
      </c>
      <c r="C15" s="38">
        <v>81</v>
      </c>
      <c r="E15" s="33"/>
      <c r="H15" s="34"/>
    </row>
    <row r="16" spans="1:10" x14ac:dyDescent="0.25">
      <c r="A16" s="38">
        <v>40063407</v>
      </c>
      <c r="B16" s="38" t="s">
        <v>645</v>
      </c>
      <c r="C16" s="38">
        <v>200</v>
      </c>
      <c r="D16" s="33" t="s">
        <v>650</v>
      </c>
      <c r="E16" s="33"/>
      <c r="I16" s="1">
        <v>1006210173</v>
      </c>
    </row>
    <row r="17" spans="1:9" x14ac:dyDescent="0.25">
      <c r="A17" s="38">
        <v>40060450</v>
      </c>
      <c r="B17" s="38" t="s">
        <v>572</v>
      </c>
      <c r="C17" s="38">
        <v>150</v>
      </c>
      <c r="D17" s="33"/>
      <c r="I17" s="1">
        <v>5128540</v>
      </c>
    </row>
    <row r="18" spans="1:9" x14ac:dyDescent="0.25">
      <c r="A18" s="38">
        <v>40059605</v>
      </c>
      <c r="B18" s="38" t="s">
        <v>355</v>
      </c>
      <c r="C18" s="38">
        <v>200</v>
      </c>
      <c r="D18" s="33" t="s">
        <v>650</v>
      </c>
      <c r="I18" s="1">
        <v>5128539</v>
      </c>
    </row>
    <row r="19" spans="1:9" x14ac:dyDescent="0.25">
      <c r="A19" s="38">
        <v>40063612</v>
      </c>
      <c r="B19" s="38" t="s">
        <v>529</v>
      </c>
      <c r="C19" s="38">
        <v>1</v>
      </c>
      <c r="D19" s="33"/>
      <c r="I19" s="1">
        <v>1006210172</v>
      </c>
    </row>
    <row r="20" spans="1:9" x14ac:dyDescent="0.25">
      <c r="A20" s="38">
        <v>40062332</v>
      </c>
      <c r="B20" s="38" t="s">
        <v>318</v>
      </c>
      <c r="C20" s="38">
        <v>50</v>
      </c>
      <c r="D20" s="33"/>
    </row>
    <row r="21" spans="1:9" x14ac:dyDescent="0.25">
      <c r="A21" s="38">
        <v>40062523</v>
      </c>
      <c r="B21" s="38" t="s">
        <v>319</v>
      </c>
      <c r="C21" s="38">
        <v>200</v>
      </c>
      <c r="D21" s="33"/>
    </row>
    <row r="22" spans="1:9" x14ac:dyDescent="0.25">
      <c r="A22" s="1">
        <v>40058326</v>
      </c>
      <c r="B22" s="1" t="s">
        <v>268</v>
      </c>
      <c r="C22" s="1">
        <v>80</v>
      </c>
      <c r="D22" s="1" t="s">
        <v>269</v>
      </c>
    </row>
    <row r="23" spans="1:9" x14ac:dyDescent="0.25">
      <c r="A23" s="38">
        <v>40060738</v>
      </c>
      <c r="B23" s="38" t="s">
        <v>312</v>
      </c>
      <c r="C23" s="38">
        <v>48</v>
      </c>
      <c r="D23" s="33"/>
    </row>
    <row r="24" spans="1:9" x14ac:dyDescent="0.25">
      <c r="A24" s="38">
        <v>40049949</v>
      </c>
      <c r="B24" s="38" t="s">
        <v>354</v>
      </c>
      <c r="C24" s="38">
        <v>250</v>
      </c>
    </row>
    <row r="25" spans="1:9" x14ac:dyDescent="0.25">
      <c r="A25" s="38">
        <v>40063685</v>
      </c>
      <c r="B25" s="38" t="s">
        <v>236</v>
      </c>
      <c r="C25" s="38">
        <v>128</v>
      </c>
      <c r="D25" s="33"/>
    </row>
    <row r="26" spans="1:9" x14ac:dyDescent="0.25">
      <c r="A26" s="38">
        <v>40064535</v>
      </c>
      <c r="B26" s="38" t="s">
        <v>450</v>
      </c>
      <c r="C26" s="38">
        <v>200</v>
      </c>
      <c r="D26" s="33"/>
    </row>
    <row r="27" spans="1:9" x14ac:dyDescent="0.25">
      <c r="C27" s="7"/>
    </row>
    <row r="28" spans="1:9" x14ac:dyDescent="0.25">
      <c r="A28" s="33" t="s">
        <v>60</v>
      </c>
      <c r="B28" s="39"/>
      <c r="C28" s="33">
        <f>SUM(C13:C27)</f>
        <v>2663</v>
      </c>
      <c r="D28" s="33" t="s">
        <v>61</v>
      </c>
    </row>
    <row r="29" spans="1:9" x14ac:dyDescent="0.25">
      <c r="A29" s="33" t="s">
        <v>62</v>
      </c>
      <c r="B29" s="33"/>
      <c r="C29" s="33"/>
      <c r="D29" s="33" t="s">
        <v>63</v>
      </c>
    </row>
    <row r="31" spans="1:9" x14ac:dyDescent="0.25">
      <c r="A31" s="1" t="s">
        <v>64</v>
      </c>
      <c r="B31" s="1" t="s">
        <v>65</v>
      </c>
      <c r="C31" s="1" t="s">
        <v>66</v>
      </c>
      <c r="D31" s="1" t="s">
        <v>67</v>
      </c>
      <c r="E31" s="1" t="s">
        <v>68</v>
      </c>
    </row>
    <row r="32" spans="1:9" x14ac:dyDescent="0.25">
      <c r="A32" s="1">
        <v>1</v>
      </c>
    </row>
    <row r="33" spans="1:2" x14ac:dyDescent="0.25">
      <c r="A33" s="1">
        <v>2</v>
      </c>
    </row>
    <row r="34" spans="1:2" x14ac:dyDescent="0.25">
      <c r="A34" s="1">
        <v>3</v>
      </c>
    </row>
    <row r="35" spans="1:2" x14ac:dyDescent="0.25">
      <c r="B35" s="7" t="s">
        <v>7</v>
      </c>
    </row>
  </sheetData>
  <sortState xmlns:xlrd2="http://schemas.microsoft.com/office/spreadsheetml/2017/richdata2" ref="A13:D26">
    <sortCondition ref="B13:B26"/>
  </sortState>
  <mergeCells count="5">
    <mergeCell ref="A5:F5"/>
    <mergeCell ref="A6:F6"/>
    <mergeCell ref="A7:B7"/>
    <mergeCell ref="C7:D7"/>
    <mergeCell ref="E7:F7"/>
  </mergeCells>
  <conditionalFormatting sqref="B11">
    <cfRule type="duplicateValues" dxfId="19" priority="1"/>
  </conditionalFormatting>
  <printOptions horizontalCentered="1" verticalCentered="1"/>
  <pageMargins left="0" right="0" top="0" bottom="0" header="0" footer="0"/>
  <pageSetup scale="9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 filterMode="1"/>
  <dimension ref="A1:J65"/>
  <sheetViews>
    <sheetView topLeftCell="A3" workbookViewId="0">
      <selection activeCell="I17" sqref="I17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10" ht="15.75" thickBot="1" x14ac:dyDescent="0.3">
      <c r="B1" s="19"/>
      <c r="C1" s="19"/>
      <c r="D1" s="19"/>
      <c r="E1" s="19"/>
      <c r="F1" s="19"/>
      <c r="I1" s="34">
        <v>7167.44</v>
      </c>
      <c r="J1" s="34">
        <v>25742365.34</v>
      </c>
    </row>
    <row r="2" spans="1:10" ht="15.75" x14ac:dyDescent="0.25">
      <c r="A2" s="20"/>
      <c r="B2" s="21"/>
      <c r="C2" s="22"/>
      <c r="D2" s="23"/>
      <c r="E2" s="22"/>
      <c r="F2" s="24"/>
      <c r="G2" s="25"/>
      <c r="I2" s="34">
        <v>1943.0619999999999</v>
      </c>
      <c r="J2" s="34">
        <v>5543136.7999999998</v>
      </c>
    </row>
    <row r="3" spans="1:10" ht="16.5" thickBot="1" x14ac:dyDescent="0.3">
      <c r="A3" s="20"/>
      <c r="B3" s="26"/>
      <c r="C3" s="27"/>
      <c r="D3" s="28"/>
      <c r="E3" s="28"/>
      <c r="F3" s="28"/>
      <c r="I3" s="34">
        <v>7776.634</v>
      </c>
      <c r="J3" s="34">
        <v>32028441.300000001</v>
      </c>
    </row>
    <row r="4" spans="1:10" x14ac:dyDescent="0.25">
      <c r="B4" s="29"/>
      <c r="C4" s="29"/>
      <c r="D4" s="29"/>
      <c r="E4" s="29"/>
      <c r="F4" s="44"/>
    </row>
    <row r="5" spans="1:10" ht="15.75" x14ac:dyDescent="0.25">
      <c r="A5" s="61" t="s">
        <v>42</v>
      </c>
      <c r="B5" s="61"/>
      <c r="C5" s="61"/>
      <c r="D5" s="61"/>
      <c r="E5" s="61"/>
      <c r="F5" s="62"/>
    </row>
    <row r="6" spans="1:10" ht="15.75" x14ac:dyDescent="0.25">
      <c r="A6" s="61" t="s">
        <v>183</v>
      </c>
      <c r="B6" s="61"/>
      <c r="C6" s="61"/>
      <c r="D6" s="61"/>
      <c r="E6" s="61"/>
      <c r="F6" s="61"/>
    </row>
    <row r="7" spans="1:10" ht="23.25" x14ac:dyDescent="0.25">
      <c r="A7" s="63" t="s">
        <v>43</v>
      </c>
      <c r="B7" s="63"/>
      <c r="C7" s="64" t="s">
        <v>44</v>
      </c>
      <c r="D7" s="64"/>
      <c r="E7" s="65" t="s">
        <v>654</v>
      </c>
      <c r="F7" s="65"/>
    </row>
    <row r="8" spans="1:10" x14ac:dyDescent="0.25">
      <c r="A8" s="1" t="s">
        <v>46</v>
      </c>
      <c r="B8" s="2" t="s">
        <v>652</v>
      </c>
      <c r="C8" s="30">
        <v>808951695</v>
      </c>
      <c r="E8" s="1" t="s">
        <v>47</v>
      </c>
      <c r="F8" s="31" t="s">
        <v>472</v>
      </c>
      <c r="G8" s="32" t="s">
        <v>89</v>
      </c>
      <c r="H8" s="34" t="s">
        <v>483</v>
      </c>
    </row>
    <row r="9" spans="1:10" x14ac:dyDescent="0.25">
      <c r="A9" s="1" t="s">
        <v>48</v>
      </c>
      <c r="B9" s="33" t="s">
        <v>632</v>
      </c>
      <c r="C9" s="30">
        <v>808951699</v>
      </c>
      <c r="E9" s="1" t="s">
        <v>49</v>
      </c>
      <c r="G9" s="1" t="s">
        <v>90</v>
      </c>
      <c r="H9" s="34">
        <v>65000</v>
      </c>
    </row>
    <row r="10" spans="1:10" x14ac:dyDescent="0.25">
      <c r="A10" s="1" t="s">
        <v>50</v>
      </c>
      <c r="B10" s="2" t="s">
        <v>405</v>
      </c>
      <c r="C10" s="1">
        <v>808951731</v>
      </c>
      <c r="E10" s="1" t="s">
        <v>51</v>
      </c>
      <c r="G10" s="1" t="s">
        <v>91</v>
      </c>
    </row>
    <row r="11" spans="1:10" x14ac:dyDescent="0.25">
      <c r="A11" s="1" t="s">
        <v>52</v>
      </c>
      <c r="B11" s="33" t="s">
        <v>653</v>
      </c>
      <c r="C11" s="1">
        <v>808952881</v>
      </c>
      <c r="G11" s="2" t="s">
        <v>408</v>
      </c>
      <c r="I11" s="34"/>
    </row>
    <row r="12" spans="1:10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  <c r="I12" s="36">
        <v>4400600881</v>
      </c>
    </row>
    <row r="13" spans="1:10" x14ac:dyDescent="0.25">
      <c r="A13" s="38">
        <v>40063614</v>
      </c>
      <c r="B13" s="38" t="s">
        <v>442</v>
      </c>
      <c r="C13" s="38">
        <v>100</v>
      </c>
      <c r="D13" s="33"/>
      <c r="E13" s="38">
        <v>100</v>
      </c>
    </row>
    <row r="14" spans="1:10" x14ac:dyDescent="0.25">
      <c r="A14" s="38">
        <v>40060030</v>
      </c>
      <c r="B14" s="38" t="s">
        <v>462</v>
      </c>
      <c r="C14" s="38">
        <v>100</v>
      </c>
      <c r="D14" s="33"/>
      <c r="E14" s="38">
        <v>100</v>
      </c>
    </row>
    <row r="15" spans="1:10" x14ac:dyDescent="0.25">
      <c r="A15" s="38">
        <v>40062265</v>
      </c>
      <c r="B15" s="38" t="s">
        <v>443</v>
      </c>
      <c r="C15" s="38">
        <v>50</v>
      </c>
      <c r="D15" s="33"/>
      <c r="E15" s="38">
        <v>50</v>
      </c>
    </row>
    <row r="16" spans="1:10" hidden="1" x14ac:dyDescent="0.25">
      <c r="A16" s="38">
        <v>40056914</v>
      </c>
      <c r="B16" s="38" t="s">
        <v>607</v>
      </c>
      <c r="C16" s="38">
        <v>3</v>
      </c>
      <c r="D16" s="33"/>
      <c r="E16" s="38">
        <v>0</v>
      </c>
    </row>
    <row r="17" spans="1:9" x14ac:dyDescent="0.25">
      <c r="A17" s="38">
        <v>40060029</v>
      </c>
      <c r="B17" s="38" t="s">
        <v>508</v>
      </c>
      <c r="C17" s="38">
        <v>12</v>
      </c>
      <c r="D17" s="33"/>
      <c r="E17" s="38">
        <v>12</v>
      </c>
      <c r="I17" s="1">
        <v>7000640966</v>
      </c>
    </row>
    <row r="18" spans="1:9" x14ac:dyDescent="0.25">
      <c r="A18" s="38">
        <v>40060032</v>
      </c>
      <c r="B18" s="38" t="s">
        <v>509</v>
      </c>
      <c r="C18" s="38">
        <v>23</v>
      </c>
      <c r="D18" s="33"/>
      <c r="E18" s="38">
        <v>23</v>
      </c>
    </row>
    <row r="19" spans="1:9" x14ac:dyDescent="0.25">
      <c r="A19" s="38">
        <v>40060034</v>
      </c>
      <c r="B19" s="38" t="s">
        <v>463</v>
      </c>
      <c r="C19" s="38">
        <v>100</v>
      </c>
      <c r="D19" s="33"/>
      <c r="E19" s="38">
        <v>100</v>
      </c>
    </row>
    <row r="20" spans="1:9" x14ac:dyDescent="0.25">
      <c r="A20" s="38">
        <v>40062301</v>
      </c>
      <c r="B20" s="38" t="s">
        <v>250</v>
      </c>
      <c r="C20" s="38">
        <v>9</v>
      </c>
      <c r="D20" s="33"/>
      <c r="E20" s="38">
        <v>9</v>
      </c>
    </row>
    <row r="21" spans="1:9" x14ac:dyDescent="0.25">
      <c r="A21" s="38">
        <v>40041316</v>
      </c>
      <c r="B21" s="38" t="s">
        <v>252</v>
      </c>
      <c r="C21" s="38">
        <v>19</v>
      </c>
      <c r="E21" s="38">
        <v>19</v>
      </c>
    </row>
    <row r="22" spans="1:9" x14ac:dyDescent="0.25">
      <c r="A22" s="38">
        <v>40062464</v>
      </c>
      <c r="B22" s="38" t="s">
        <v>220</v>
      </c>
      <c r="C22" s="38">
        <v>14</v>
      </c>
      <c r="D22" s="33"/>
      <c r="E22" s="38">
        <v>14</v>
      </c>
    </row>
    <row r="23" spans="1:9" x14ac:dyDescent="0.25">
      <c r="A23" s="38">
        <v>40041325</v>
      </c>
      <c r="B23" s="38" t="s">
        <v>193</v>
      </c>
      <c r="C23" s="38">
        <v>54</v>
      </c>
      <c r="E23" s="38">
        <v>54</v>
      </c>
    </row>
    <row r="24" spans="1:9" x14ac:dyDescent="0.25">
      <c r="A24" s="38">
        <v>40065278</v>
      </c>
      <c r="B24" s="38" t="s">
        <v>559</v>
      </c>
      <c r="C24" s="38">
        <v>120</v>
      </c>
      <c r="D24" s="33"/>
      <c r="E24" s="38">
        <v>120</v>
      </c>
    </row>
    <row r="25" spans="1:9" x14ac:dyDescent="0.25">
      <c r="A25" s="38">
        <v>40063169</v>
      </c>
      <c r="B25" s="38" t="s">
        <v>602</v>
      </c>
      <c r="C25" s="38">
        <v>80</v>
      </c>
      <c r="D25" s="33"/>
      <c r="E25" s="38">
        <v>80</v>
      </c>
    </row>
    <row r="26" spans="1:9" x14ac:dyDescent="0.25">
      <c r="A26" s="38">
        <v>40063022</v>
      </c>
      <c r="B26" s="38" t="s">
        <v>603</v>
      </c>
      <c r="C26" s="38">
        <v>65</v>
      </c>
      <c r="D26" s="33"/>
      <c r="E26" s="38">
        <v>65</v>
      </c>
    </row>
    <row r="27" spans="1:9" x14ac:dyDescent="0.25">
      <c r="A27" s="38">
        <v>40063794</v>
      </c>
      <c r="B27" s="38" t="s">
        <v>249</v>
      </c>
      <c r="C27" s="38">
        <v>5</v>
      </c>
      <c r="D27" s="33"/>
      <c r="E27" s="38">
        <v>5</v>
      </c>
    </row>
    <row r="28" spans="1:9" x14ac:dyDescent="0.25">
      <c r="A28" s="38">
        <v>40063018</v>
      </c>
      <c r="B28" s="38" t="s">
        <v>511</v>
      </c>
      <c r="C28" s="38">
        <v>100</v>
      </c>
      <c r="D28" s="33"/>
      <c r="E28" s="38">
        <v>100</v>
      </c>
    </row>
    <row r="29" spans="1:9" hidden="1" x14ac:dyDescent="0.25">
      <c r="A29" s="1">
        <v>40063421</v>
      </c>
      <c r="B29" s="1" t="s">
        <v>351</v>
      </c>
      <c r="C29" s="1">
        <v>100</v>
      </c>
      <c r="D29" s="1" t="s">
        <v>79</v>
      </c>
      <c r="E29" s="1">
        <v>0</v>
      </c>
      <c r="G29" s="34"/>
      <c r="H29" s="34"/>
    </row>
    <row r="30" spans="1:9" x14ac:dyDescent="0.25">
      <c r="A30" s="38">
        <v>40063020</v>
      </c>
      <c r="B30" s="38" t="s">
        <v>264</v>
      </c>
      <c r="C30" s="38">
        <v>100</v>
      </c>
      <c r="D30" s="33"/>
      <c r="E30" s="38">
        <v>100</v>
      </c>
    </row>
    <row r="31" spans="1:9" hidden="1" x14ac:dyDescent="0.25">
      <c r="A31" s="38">
        <v>40063808</v>
      </c>
      <c r="B31" s="38" t="s">
        <v>271</v>
      </c>
      <c r="C31" s="38">
        <v>60</v>
      </c>
      <c r="D31" s="33"/>
      <c r="E31" s="38">
        <v>0</v>
      </c>
    </row>
    <row r="32" spans="1:9" x14ac:dyDescent="0.25">
      <c r="A32" s="38">
        <v>40063781</v>
      </c>
      <c r="B32" s="38" t="s">
        <v>610</v>
      </c>
      <c r="C32" s="38">
        <v>76</v>
      </c>
      <c r="D32" s="33"/>
      <c r="E32" s="38">
        <v>76</v>
      </c>
    </row>
    <row r="33" spans="1:8" x14ac:dyDescent="0.25">
      <c r="A33" s="38">
        <v>40063698</v>
      </c>
      <c r="B33" s="38" t="s">
        <v>611</v>
      </c>
      <c r="C33" s="38">
        <v>1</v>
      </c>
      <c r="D33" s="33"/>
      <c r="E33" s="38">
        <v>1</v>
      </c>
    </row>
    <row r="34" spans="1:8" x14ac:dyDescent="0.25">
      <c r="A34" s="38">
        <v>40061084</v>
      </c>
      <c r="B34" s="38" t="s">
        <v>528</v>
      </c>
      <c r="C34" s="38">
        <v>3</v>
      </c>
      <c r="D34" s="33"/>
      <c r="E34" s="38">
        <v>3</v>
      </c>
    </row>
    <row r="35" spans="1:8" x14ac:dyDescent="0.25">
      <c r="A35" s="38">
        <v>40061000</v>
      </c>
      <c r="B35" s="38" t="s">
        <v>273</v>
      </c>
      <c r="C35" s="38">
        <v>4</v>
      </c>
      <c r="D35" s="33"/>
      <c r="E35" s="38">
        <v>4</v>
      </c>
    </row>
    <row r="36" spans="1:8" x14ac:dyDescent="0.25">
      <c r="A36" s="38">
        <v>40063016</v>
      </c>
      <c r="B36" s="38" t="s">
        <v>230</v>
      </c>
      <c r="C36" s="38">
        <v>8</v>
      </c>
      <c r="D36" s="33"/>
      <c r="E36" s="38">
        <v>8</v>
      </c>
    </row>
    <row r="37" spans="1:8" x14ac:dyDescent="0.25">
      <c r="A37" s="38">
        <v>40063168</v>
      </c>
      <c r="B37" s="38" t="s">
        <v>277</v>
      </c>
      <c r="C37" s="38">
        <v>13</v>
      </c>
      <c r="D37" s="33"/>
      <c r="E37" s="38">
        <v>13</v>
      </c>
    </row>
    <row r="38" spans="1:8" hidden="1" x14ac:dyDescent="0.25">
      <c r="A38" s="38">
        <v>40042647</v>
      </c>
      <c r="B38" s="38" t="s">
        <v>651</v>
      </c>
      <c r="C38" s="38">
        <v>2</v>
      </c>
      <c r="D38" s="33"/>
      <c r="E38" s="38">
        <v>0</v>
      </c>
    </row>
    <row r="39" spans="1:8" x14ac:dyDescent="0.25">
      <c r="A39" s="38">
        <v>40065292</v>
      </c>
      <c r="B39" s="38" t="s">
        <v>437</v>
      </c>
      <c r="C39" s="38">
        <v>50</v>
      </c>
      <c r="D39" s="33"/>
      <c r="E39" s="38">
        <v>50</v>
      </c>
    </row>
    <row r="40" spans="1:8" x14ac:dyDescent="0.25">
      <c r="A40" s="38">
        <v>40065335</v>
      </c>
      <c r="B40" s="38" t="s">
        <v>284</v>
      </c>
      <c r="C40" s="38">
        <v>8</v>
      </c>
      <c r="D40" s="33"/>
      <c r="E40" s="38">
        <v>8</v>
      </c>
    </row>
    <row r="41" spans="1:8" x14ac:dyDescent="0.25">
      <c r="A41" s="38">
        <v>40044138</v>
      </c>
      <c r="B41" s="38" t="s">
        <v>253</v>
      </c>
      <c r="C41" s="38">
        <v>23</v>
      </c>
      <c r="D41" s="33"/>
      <c r="E41" s="38">
        <v>23</v>
      </c>
    </row>
    <row r="42" spans="1:8" x14ac:dyDescent="0.25">
      <c r="A42" s="38">
        <v>40063476</v>
      </c>
      <c r="B42" s="38" t="s">
        <v>453</v>
      </c>
      <c r="C42" s="38">
        <v>20</v>
      </c>
      <c r="D42" s="33"/>
      <c r="E42" s="38">
        <v>20</v>
      </c>
    </row>
    <row r="43" spans="1:8" x14ac:dyDescent="0.25">
      <c r="A43" s="38">
        <v>40065338</v>
      </c>
      <c r="B43" s="38" t="s">
        <v>520</v>
      </c>
      <c r="C43" s="38">
        <v>250</v>
      </c>
      <c r="D43" s="33"/>
      <c r="E43" s="38">
        <v>250</v>
      </c>
    </row>
    <row r="44" spans="1:8" x14ac:dyDescent="0.25">
      <c r="A44" s="38">
        <v>40037927</v>
      </c>
      <c r="B44" s="38" t="s">
        <v>524</v>
      </c>
      <c r="C44" s="38">
        <v>2</v>
      </c>
      <c r="E44" s="38">
        <v>2</v>
      </c>
      <c r="H44" s="34"/>
    </row>
    <row r="45" spans="1:8" x14ac:dyDescent="0.25">
      <c r="A45" s="38">
        <v>40041820</v>
      </c>
      <c r="B45" s="38" t="s">
        <v>525</v>
      </c>
      <c r="C45" s="38">
        <v>3</v>
      </c>
      <c r="D45" s="33"/>
      <c r="E45" s="38">
        <v>3</v>
      </c>
    </row>
    <row r="46" spans="1:8" hidden="1" x14ac:dyDescent="0.25">
      <c r="A46" s="1">
        <v>40065002</v>
      </c>
      <c r="B46" s="1" t="s">
        <v>291</v>
      </c>
      <c r="C46" s="1">
        <v>83</v>
      </c>
      <c r="D46" s="1" t="s">
        <v>79</v>
      </c>
      <c r="E46" s="1">
        <v>0</v>
      </c>
      <c r="F46" s="33"/>
      <c r="H46" s="34"/>
    </row>
    <row r="47" spans="1:8" x14ac:dyDescent="0.25">
      <c r="A47" s="38">
        <v>40065002</v>
      </c>
      <c r="B47" s="38" t="s">
        <v>291</v>
      </c>
      <c r="C47" s="38">
        <v>17</v>
      </c>
      <c r="D47" s="33"/>
      <c r="E47" s="38">
        <v>17</v>
      </c>
    </row>
    <row r="48" spans="1:8" x14ac:dyDescent="0.25">
      <c r="A48" s="38">
        <v>40064108</v>
      </c>
      <c r="B48" s="38" t="s">
        <v>608</v>
      </c>
      <c r="C48" s="38">
        <v>5</v>
      </c>
      <c r="D48" s="33"/>
      <c r="E48" s="38">
        <v>5</v>
      </c>
    </row>
    <row r="49" spans="1:5" x14ac:dyDescent="0.25">
      <c r="A49" s="38">
        <v>40064109</v>
      </c>
      <c r="B49" s="38" t="s">
        <v>605</v>
      </c>
      <c r="C49" s="38">
        <v>10</v>
      </c>
      <c r="D49" s="33"/>
      <c r="E49" s="38">
        <v>10</v>
      </c>
    </row>
    <row r="50" spans="1:5" x14ac:dyDescent="0.25">
      <c r="A50" s="38">
        <v>40050877</v>
      </c>
      <c r="B50" s="38" t="s">
        <v>297</v>
      </c>
      <c r="C50" s="38">
        <v>17</v>
      </c>
      <c r="D50" s="33"/>
      <c r="E50" s="38">
        <v>17</v>
      </c>
    </row>
    <row r="51" spans="1:5" x14ac:dyDescent="0.25">
      <c r="A51" s="38">
        <v>40063500</v>
      </c>
      <c r="B51" s="38" t="s">
        <v>522</v>
      </c>
      <c r="C51" s="38">
        <v>6</v>
      </c>
      <c r="D51" s="33"/>
      <c r="E51" s="38">
        <v>6</v>
      </c>
    </row>
    <row r="52" spans="1:5" x14ac:dyDescent="0.25">
      <c r="A52" s="38">
        <v>40064727</v>
      </c>
      <c r="B52" s="38" t="s">
        <v>609</v>
      </c>
      <c r="C52" s="38">
        <v>110</v>
      </c>
      <c r="D52" s="33"/>
      <c r="E52" s="38">
        <v>110</v>
      </c>
    </row>
    <row r="53" spans="1:5" x14ac:dyDescent="0.25">
      <c r="A53" s="38">
        <v>40064497</v>
      </c>
      <c r="B53" s="38" t="s">
        <v>335</v>
      </c>
      <c r="C53" s="38">
        <v>100</v>
      </c>
      <c r="D53" s="33"/>
      <c r="E53" s="38">
        <v>100</v>
      </c>
    </row>
    <row r="54" spans="1:5" x14ac:dyDescent="0.25">
      <c r="A54" s="38">
        <v>40059401</v>
      </c>
      <c r="B54" s="38" t="s">
        <v>293</v>
      </c>
      <c r="C54" s="38">
        <v>56</v>
      </c>
      <c r="D54" s="33"/>
      <c r="E54" s="38">
        <v>56</v>
      </c>
    </row>
    <row r="55" spans="1:5" x14ac:dyDescent="0.25">
      <c r="A55" s="38">
        <v>40062859</v>
      </c>
      <c r="B55" s="38" t="s">
        <v>589</v>
      </c>
      <c r="C55" s="38">
        <v>11</v>
      </c>
      <c r="D55" s="33"/>
      <c r="E55" s="38">
        <v>11</v>
      </c>
    </row>
    <row r="56" spans="1:5" x14ac:dyDescent="0.25">
      <c r="A56" s="38">
        <v>40063758</v>
      </c>
      <c r="B56" s="38"/>
      <c r="C56" s="38">
        <v>20</v>
      </c>
      <c r="D56" s="33"/>
      <c r="E56" s="38">
        <v>20</v>
      </c>
    </row>
    <row r="57" spans="1:5" x14ac:dyDescent="0.25">
      <c r="C57" s="7"/>
    </row>
    <row r="58" spans="1:5" x14ac:dyDescent="0.25">
      <c r="A58" s="33" t="s">
        <v>60</v>
      </c>
      <c r="B58" s="39"/>
      <c r="C58" s="33">
        <f>SUM(C13:C57)</f>
        <v>2012</v>
      </c>
      <c r="D58" s="33" t="s">
        <v>61</v>
      </c>
      <c r="E58" s="1">
        <f>SUM(E13:E57)</f>
        <v>1764</v>
      </c>
    </row>
    <row r="59" spans="1:5" x14ac:dyDescent="0.25">
      <c r="A59" s="33" t="s">
        <v>62</v>
      </c>
      <c r="B59" s="33"/>
      <c r="C59" s="33"/>
      <c r="D59" s="33" t="s">
        <v>63</v>
      </c>
    </row>
    <row r="61" spans="1:5" x14ac:dyDescent="0.25">
      <c r="A61" s="1" t="s">
        <v>64</v>
      </c>
      <c r="B61" s="1" t="s">
        <v>65</v>
      </c>
      <c r="C61" s="1" t="s">
        <v>66</v>
      </c>
      <c r="D61" s="1" t="s">
        <v>67</v>
      </c>
      <c r="E61" s="1" t="s">
        <v>68</v>
      </c>
    </row>
    <row r="62" spans="1:5" x14ac:dyDescent="0.25">
      <c r="A62" s="1">
        <v>1</v>
      </c>
    </row>
    <row r="63" spans="1:5" x14ac:dyDescent="0.25">
      <c r="A63" s="1">
        <v>2</v>
      </c>
    </row>
    <row r="64" spans="1:5" x14ac:dyDescent="0.25">
      <c r="A64" s="1">
        <v>3</v>
      </c>
    </row>
    <row r="65" spans="2:2" x14ac:dyDescent="0.25">
      <c r="B65" s="7" t="s">
        <v>7</v>
      </c>
    </row>
  </sheetData>
  <autoFilter ref="A12:J56" xr:uid="{00000000-0001-0000-0D00-000000000000}">
    <filterColumn colId="4">
      <filters>
        <filter val="1"/>
        <filter val="10"/>
        <filter val="100"/>
        <filter val="11"/>
        <filter val="110"/>
        <filter val="12"/>
        <filter val="120"/>
        <filter val="13"/>
        <filter val="14"/>
        <filter val="17"/>
        <filter val="19"/>
        <filter val="2"/>
        <filter val="20"/>
        <filter val="23"/>
        <filter val="250"/>
        <filter val="3"/>
        <filter val="4"/>
        <filter val="5"/>
        <filter val="50"/>
        <filter val="54"/>
        <filter val="56"/>
        <filter val="6"/>
        <filter val="65"/>
        <filter val="76"/>
        <filter val="8"/>
        <filter val="80"/>
        <filter val="9"/>
      </filters>
    </filterColumn>
    <sortState xmlns:xlrd2="http://schemas.microsoft.com/office/spreadsheetml/2017/richdata2" ref="A13:J55">
      <sortCondition ref="B12"/>
    </sortState>
  </autoFilter>
  <mergeCells count="5">
    <mergeCell ref="A5:F5"/>
    <mergeCell ref="A6:F6"/>
    <mergeCell ref="A7:B7"/>
    <mergeCell ref="C7:D7"/>
    <mergeCell ref="E7:F7"/>
  </mergeCells>
  <conditionalFormatting sqref="B11">
    <cfRule type="duplicateValues" dxfId="18" priority="1"/>
  </conditionalFormatting>
  <printOptions horizontalCentered="1" verticalCentered="1"/>
  <pageMargins left="0" right="0" top="0" bottom="0" header="0" footer="0"/>
  <pageSetup scale="9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J34"/>
  <sheetViews>
    <sheetView topLeftCell="A2" workbookViewId="0">
      <selection activeCell="G10" sqref="G10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10" ht="15.75" thickBot="1" x14ac:dyDescent="0.3">
      <c r="B1" s="19"/>
      <c r="C1" s="19"/>
      <c r="D1" s="19"/>
      <c r="E1" s="19"/>
      <c r="F1" s="19"/>
      <c r="I1" s="34">
        <v>8771.08</v>
      </c>
      <c r="J1" s="1">
        <v>25000</v>
      </c>
    </row>
    <row r="2" spans="1:10" ht="15.75" x14ac:dyDescent="0.25">
      <c r="A2" s="20"/>
      <c r="B2" s="21"/>
      <c r="C2" s="22"/>
      <c r="D2" s="23"/>
      <c r="E2" s="22"/>
      <c r="F2" s="24"/>
      <c r="G2" s="25"/>
    </row>
    <row r="3" spans="1:10" ht="16.5" thickBot="1" x14ac:dyDescent="0.3">
      <c r="A3" s="20"/>
      <c r="B3" s="26"/>
      <c r="C3" s="27"/>
      <c r="D3" s="28"/>
      <c r="E3" s="28"/>
      <c r="F3" s="28"/>
    </row>
    <row r="4" spans="1:10" x14ac:dyDescent="0.25">
      <c r="B4" s="29"/>
      <c r="C4" s="29"/>
      <c r="D4" s="29"/>
      <c r="E4" s="29"/>
      <c r="F4" s="44"/>
    </row>
    <row r="5" spans="1:10" ht="15.75" x14ac:dyDescent="0.25">
      <c r="A5" s="61" t="s">
        <v>42</v>
      </c>
      <c r="B5" s="61"/>
      <c r="C5" s="61"/>
      <c r="D5" s="61"/>
      <c r="E5" s="61"/>
      <c r="F5" s="62"/>
    </row>
    <row r="6" spans="1:10" ht="15.75" x14ac:dyDescent="0.25">
      <c r="A6" s="61" t="s">
        <v>183</v>
      </c>
      <c r="B6" s="61"/>
      <c r="C6" s="61"/>
      <c r="D6" s="61"/>
      <c r="E6" s="61"/>
      <c r="F6" s="61"/>
    </row>
    <row r="7" spans="1:10" ht="23.25" x14ac:dyDescent="0.25">
      <c r="A7" s="63" t="s">
        <v>43</v>
      </c>
      <c r="B7" s="63"/>
      <c r="C7" s="64" t="s">
        <v>44</v>
      </c>
      <c r="D7" s="64"/>
      <c r="E7" s="65" t="s">
        <v>657</v>
      </c>
      <c r="F7" s="65"/>
    </row>
    <row r="8" spans="1:10" x14ac:dyDescent="0.25">
      <c r="A8" s="1" t="s">
        <v>46</v>
      </c>
      <c r="B8" s="2" t="s">
        <v>487</v>
      </c>
      <c r="C8" s="30">
        <v>808951784</v>
      </c>
      <c r="E8" s="1" t="s">
        <v>47</v>
      </c>
      <c r="F8" s="31" t="s">
        <v>472</v>
      </c>
      <c r="G8" s="32" t="s">
        <v>89</v>
      </c>
      <c r="H8" s="34" t="s">
        <v>658</v>
      </c>
    </row>
    <row r="9" spans="1:10" x14ac:dyDescent="0.25">
      <c r="A9" s="1" t="s">
        <v>48</v>
      </c>
      <c r="B9" s="33" t="s">
        <v>424</v>
      </c>
      <c r="C9" s="30">
        <v>808952388</v>
      </c>
      <c r="E9" s="1" t="s">
        <v>49</v>
      </c>
      <c r="G9" s="1" t="s">
        <v>90</v>
      </c>
      <c r="H9" s="34">
        <v>25000</v>
      </c>
    </row>
    <row r="10" spans="1:10" x14ac:dyDescent="0.25">
      <c r="A10" s="1" t="s">
        <v>50</v>
      </c>
      <c r="B10" s="2" t="s">
        <v>655</v>
      </c>
      <c r="C10" s="1">
        <v>808952517</v>
      </c>
      <c r="E10" s="1" t="s">
        <v>51</v>
      </c>
      <c r="G10" s="1" t="s">
        <v>91</v>
      </c>
    </row>
    <row r="11" spans="1:10" x14ac:dyDescent="0.25">
      <c r="A11" s="1" t="s">
        <v>52</v>
      </c>
      <c r="B11" s="33" t="s">
        <v>656</v>
      </c>
      <c r="G11" s="2" t="s">
        <v>407</v>
      </c>
      <c r="I11" s="34"/>
    </row>
    <row r="12" spans="1:10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  <c r="I12" s="36">
        <v>4400600882</v>
      </c>
      <c r="J12" s="36">
        <v>4400600903</v>
      </c>
    </row>
    <row r="13" spans="1:10" x14ac:dyDescent="0.25">
      <c r="A13" s="40">
        <v>40063025</v>
      </c>
      <c r="B13" s="40" t="s">
        <v>263</v>
      </c>
      <c r="C13" s="66">
        <v>200</v>
      </c>
      <c r="D13" s="38"/>
      <c r="E13" s="38"/>
      <c r="G13" s="66">
        <v>200</v>
      </c>
    </row>
    <row r="14" spans="1:10" x14ac:dyDescent="0.25">
      <c r="A14" s="56">
        <v>40063021</v>
      </c>
      <c r="B14" s="56" t="s">
        <v>266</v>
      </c>
      <c r="C14" s="78">
        <v>150</v>
      </c>
      <c r="D14" s="1" t="s">
        <v>79</v>
      </c>
      <c r="E14" s="38"/>
      <c r="G14" s="78">
        <v>150</v>
      </c>
      <c r="H14" s="34"/>
      <c r="I14" s="1">
        <v>1001154408</v>
      </c>
    </row>
    <row r="15" spans="1:10" x14ac:dyDescent="0.25">
      <c r="A15" s="56">
        <v>40064157</v>
      </c>
      <c r="B15" s="56" t="s">
        <v>495</v>
      </c>
      <c r="C15" s="78">
        <v>242</v>
      </c>
      <c r="D15" s="1" t="s">
        <v>79</v>
      </c>
      <c r="E15" s="38"/>
      <c r="G15" s="78">
        <v>0</v>
      </c>
    </row>
    <row r="16" spans="1:10" x14ac:dyDescent="0.25">
      <c r="A16" s="56">
        <v>40063179</v>
      </c>
      <c r="B16" s="56" t="s">
        <v>280</v>
      </c>
      <c r="C16" s="78">
        <v>100</v>
      </c>
      <c r="D16" s="1" t="s">
        <v>79</v>
      </c>
      <c r="E16" s="38"/>
      <c r="G16" s="78">
        <v>0</v>
      </c>
      <c r="I16" s="1">
        <v>7000640957</v>
      </c>
    </row>
    <row r="17" spans="1:8" x14ac:dyDescent="0.25">
      <c r="A17" s="40">
        <v>40064503</v>
      </c>
      <c r="B17" s="40" t="s">
        <v>352</v>
      </c>
      <c r="C17" s="66">
        <v>120</v>
      </c>
      <c r="D17" s="38"/>
      <c r="E17" s="38"/>
      <c r="G17" s="66">
        <v>120</v>
      </c>
    </row>
    <row r="18" spans="1:8" x14ac:dyDescent="0.25">
      <c r="A18" s="56">
        <v>40059678</v>
      </c>
      <c r="B18" s="56" t="s">
        <v>449</v>
      </c>
      <c r="C18" s="78">
        <v>60</v>
      </c>
      <c r="D18" s="1" t="s">
        <v>79</v>
      </c>
      <c r="E18" s="38"/>
      <c r="F18" s="33"/>
      <c r="G18" s="78">
        <v>60</v>
      </c>
      <c r="H18" s="34"/>
    </row>
    <row r="19" spans="1:8" x14ac:dyDescent="0.25">
      <c r="A19" s="56">
        <v>40063581</v>
      </c>
      <c r="B19" s="56" t="s">
        <v>494</v>
      </c>
      <c r="C19" s="78">
        <v>65</v>
      </c>
      <c r="E19" s="38"/>
      <c r="F19" s="33"/>
      <c r="G19" s="78">
        <v>65</v>
      </c>
      <c r="H19" s="34"/>
    </row>
    <row r="20" spans="1:8" x14ac:dyDescent="0.25">
      <c r="A20" s="56">
        <v>40063757</v>
      </c>
      <c r="B20" s="56" t="s">
        <v>261</v>
      </c>
      <c r="C20" s="78">
        <v>50</v>
      </c>
      <c r="E20" s="38"/>
      <c r="F20" s="33"/>
      <c r="G20" s="78">
        <v>50</v>
      </c>
      <c r="H20" s="34"/>
    </row>
    <row r="21" spans="1:8" x14ac:dyDescent="0.25">
      <c r="A21" s="56">
        <v>40064503</v>
      </c>
      <c r="B21" s="56" t="s">
        <v>352</v>
      </c>
      <c r="C21" s="78">
        <v>60</v>
      </c>
      <c r="E21" s="38"/>
      <c r="F21" s="33"/>
      <c r="G21" s="78">
        <v>60</v>
      </c>
      <c r="H21" s="34"/>
    </row>
    <row r="22" spans="1:8" x14ac:dyDescent="0.25">
      <c r="A22" s="56">
        <v>40063685</v>
      </c>
      <c r="B22" s="56" t="s">
        <v>236</v>
      </c>
      <c r="C22" s="78">
        <v>50</v>
      </c>
      <c r="E22" s="38"/>
      <c r="F22" s="33"/>
      <c r="G22" s="78">
        <v>50</v>
      </c>
      <c r="H22" s="34"/>
    </row>
    <row r="23" spans="1:8" x14ac:dyDescent="0.25">
      <c r="A23" s="56">
        <v>40063686</v>
      </c>
      <c r="B23" s="56" t="s">
        <v>349</v>
      </c>
      <c r="C23" s="78">
        <v>75</v>
      </c>
      <c r="E23" s="38"/>
      <c r="F23" s="33"/>
      <c r="G23" s="78">
        <v>75</v>
      </c>
      <c r="H23" s="34"/>
    </row>
    <row r="24" spans="1:8" x14ac:dyDescent="0.25">
      <c r="A24" s="56"/>
      <c r="B24" s="56"/>
      <c r="C24" s="78"/>
      <c r="E24" s="38"/>
      <c r="F24" s="33"/>
      <c r="H24" s="34"/>
    </row>
    <row r="25" spans="1:8" x14ac:dyDescent="0.25">
      <c r="A25" s="38"/>
      <c r="B25" s="38"/>
      <c r="C25" s="38"/>
      <c r="D25" s="33"/>
    </row>
    <row r="26" spans="1:8" x14ac:dyDescent="0.25">
      <c r="C26" s="7"/>
    </row>
    <row r="27" spans="1:8" x14ac:dyDescent="0.25">
      <c r="A27" s="33" t="s">
        <v>60</v>
      </c>
      <c r="B27" s="39"/>
      <c r="C27" s="33">
        <f>SUM(C13:C26)</f>
        <v>1172</v>
      </c>
      <c r="D27" s="33" t="s">
        <v>61</v>
      </c>
      <c r="G27" s="1">
        <f>SUM(G13:G26)</f>
        <v>830</v>
      </c>
    </row>
    <row r="28" spans="1:8" x14ac:dyDescent="0.25">
      <c r="A28" s="33" t="s">
        <v>62</v>
      </c>
      <c r="B28" s="33"/>
      <c r="C28" s="33"/>
      <c r="D28" s="33" t="s">
        <v>63</v>
      </c>
    </row>
    <row r="30" spans="1:8" x14ac:dyDescent="0.25">
      <c r="A30" s="1" t="s">
        <v>64</v>
      </c>
      <c r="B30" s="1" t="s">
        <v>65</v>
      </c>
      <c r="C30" s="1" t="s">
        <v>66</v>
      </c>
      <c r="D30" s="1" t="s">
        <v>67</v>
      </c>
      <c r="E30" s="1" t="s">
        <v>68</v>
      </c>
    </row>
    <row r="31" spans="1:8" x14ac:dyDescent="0.25">
      <c r="A31" s="1">
        <v>1</v>
      </c>
    </row>
    <row r="32" spans="1:8" x14ac:dyDescent="0.25">
      <c r="A32" s="1">
        <v>2</v>
      </c>
    </row>
    <row r="33" spans="1:2" x14ac:dyDescent="0.25">
      <c r="A33" s="1">
        <v>3</v>
      </c>
    </row>
    <row r="34" spans="1:2" x14ac:dyDescent="0.25">
      <c r="B34" s="7" t="s">
        <v>7</v>
      </c>
    </row>
  </sheetData>
  <autoFilter ref="A12:J12" xr:uid="{00000000-0001-0000-0E00-000000000000}">
    <sortState xmlns:xlrd2="http://schemas.microsoft.com/office/spreadsheetml/2017/richdata2" ref="A13:J18">
      <sortCondition ref="B12"/>
    </sortState>
  </autoFilter>
  <mergeCells count="5">
    <mergeCell ref="A5:F5"/>
    <mergeCell ref="A6:F6"/>
    <mergeCell ref="A7:B7"/>
    <mergeCell ref="C7:D7"/>
    <mergeCell ref="E7:F7"/>
  </mergeCells>
  <conditionalFormatting sqref="B11">
    <cfRule type="duplicateValues" dxfId="17" priority="1"/>
  </conditionalFormatting>
  <printOptions horizontalCentered="1" verticalCentered="1"/>
  <pageMargins left="0" right="0" top="0" bottom="0" header="0" footer="0"/>
  <pageSetup scale="9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 filterMode="1"/>
  <dimension ref="A1:J92"/>
  <sheetViews>
    <sheetView topLeftCell="A5" workbookViewId="0">
      <selection activeCell="C9" sqref="C9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10" ht="15.75" thickBot="1" x14ac:dyDescent="0.3">
      <c r="B1" s="19"/>
      <c r="C1" s="19"/>
      <c r="D1" s="19"/>
      <c r="E1" s="19"/>
      <c r="F1" s="19"/>
      <c r="I1" s="34">
        <v>6852.13</v>
      </c>
      <c r="J1" s="34">
        <v>23791019.859999999</v>
      </c>
    </row>
    <row r="2" spans="1:10" ht="15.75" x14ac:dyDescent="0.25">
      <c r="A2" s="20"/>
      <c r="B2" s="21"/>
      <c r="C2" s="22"/>
      <c r="D2" s="23"/>
      <c r="E2" s="22"/>
      <c r="F2" s="24"/>
      <c r="G2" s="25"/>
      <c r="I2" s="34">
        <v>2760.2849999999999</v>
      </c>
      <c r="J2" s="34">
        <v>4540621.0599999996</v>
      </c>
    </row>
    <row r="3" spans="1:10" ht="16.5" thickBot="1" x14ac:dyDescent="0.3">
      <c r="A3" s="20"/>
      <c r="B3" s="26"/>
      <c r="C3" s="27"/>
      <c r="D3" s="28"/>
      <c r="E3" s="28"/>
      <c r="F3" s="28"/>
      <c r="I3" s="34">
        <v>5227.8</v>
      </c>
      <c r="J3" s="32">
        <v>10125198</v>
      </c>
    </row>
    <row r="4" spans="1:10" x14ac:dyDescent="0.25">
      <c r="B4" s="29"/>
      <c r="C4" s="29"/>
      <c r="D4" s="29"/>
      <c r="E4" s="29"/>
      <c r="F4" s="44"/>
    </row>
    <row r="5" spans="1:10" ht="15.75" x14ac:dyDescent="0.25">
      <c r="A5" s="61" t="s">
        <v>42</v>
      </c>
      <c r="B5" s="61"/>
      <c r="C5" s="61"/>
      <c r="D5" s="61"/>
      <c r="E5" s="61"/>
      <c r="F5" s="62"/>
    </row>
    <row r="6" spans="1:10" ht="15.75" x14ac:dyDescent="0.25">
      <c r="A6" s="61" t="s">
        <v>183</v>
      </c>
      <c r="B6" s="61"/>
      <c r="C6" s="61"/>
      <c r="D6" s="61"/>
      <c r="E6" s="61"/>
      <c r="F6" s="61"/>
    </row>
    <row r="7" spans="1:10" ht="23.25" x14ac:dyDescent="0.25">
      <c r="A7" s="63" t="s">
        <v>43</v>
      </c>
      <c r="B7" s="63"/>
      <c r="C7" s="64" t="s">
        <v>44</v>
      </c>
      <c r="D7" s="64"/>
      <c r="E7" s="65" t="s">
        <v>662</v>
      </c>
      <c r="F7" s="65"/>
    </row>
    <row r="8" spans="1:10" x14ac:dyDescent="0.25">
      <c r="A8" s="1" t="s">
        <v>46</v>
      </c>
      <c r="B8" s="2" t="s">
        <v>659</v>
      </c>
      <c r="C8" s="30">
        <v>808951844</v>
      </c>
      <c r="E8" s="1" t="s">
        <v>47</v>
      </c>
      <c r="F8" s="31" t="s">
        <v>472</v>
      </c>
      <c r="G8" s="32" t="s">
        <v>89</v>
      </c>
      <c r="H8" s="34" t="s">
        <v>433</v>
      </c>
    </row>
    <row r="9" spans="1:10" x14ac:dyDescent="0.25">
      <c r="A9" s="1" t="s">
        <v>48</v>
      </c>
      <c r="B9" s="33" t="s">
        <v>633</v>
      </c>
      <c r="C9" s="30"/>
      <c r="E9" s="1" t="s">
        <v>49</v>
      </c>
      <c r="G9" s="1" t="s">
        <v>90</v>
      </c>
      <c r="H9" s="34">
        <v>40000</v>
      </c>
    </row>
    <row r="10" spans="1:10" x14ac:dyDescent="0.25">
      <c r="A10" s="1" t="s">
        <v>50</v>
      </c>
      <c r="B10" s="2" t="s">
        <v>660</v>
      </c>
      <c r="E10" s="1" t="s">
        <v>51</v>
      </c>
      <c r="G10" s="1" t="s">
        <v>91</v>
      </c>
    </row>
    <row r="11" spans="1:10" x14ac:dyDescent="0.25">
      <c r="A11" s="1" t="s">
        <v>52</v>
      </c>
      <c r="B11" s="33" t="s">
        <v>661</v>
      </c>
      <c r="G11" s="2" t="s">
        <v>409</v>
      </c>
      <c r="I11" s="34"/>
    </row>
    <row r="12" spans="1:10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  <c r="I12" s="36">
        <v>4400600883</v>
      </c>
    </row>
    <row r="13" spans="1:10" x14ac:dyDescent="0.25">
      <c r="A13" s="38">
        <v>40050728</v>
      </c>
      <c r="B13" s="38" t="s">
        <v>214</v>
      </c>
      <c r="C13" s="38">
        <v>37</v>
      </c>
      <c r="D13" s="33"/>
      <c r="E13" s="38">
        <v>37</v>
      </c>
    </row>
    <row r="14" spans="1:10" x14ac:dyDescent="0.25">
      <c r="A14" s="38">
        <v>40050204</v>
      </c>
      <c r="B14" s="38" t="s">
        <v>218</v>
      </c>
      <c r="C14" s="38">
        <v>3</v>
      </c>
      <c r="D14" s="33"/>
      <c r="E14" s="38">
        <v>3</v>
      </c>
    </row>
    <row r="15" spans="1:10" x14ac:dyDescent="0.25">
      <c r="A15" s="38">
        <v>40060033</v>
      </c>
      <c r="B15" s="38" t="s">
        <v>510</v>
      </c>
      <c r="C15" s="38">
        <v>11</v>
      </c>
      <c r="D15" s="33"/>
      <c r="E15" s="38">
        <v>11</v>
      </c>
      <c r="I15" s="1">
        <v>808952808</v>
      </c>
    </row>
    <row r="16" spans="1:10" x14ac:dyDescent="0.25">
      <c r="A16" s="38">
        <v>40062345</v>
      </c>
      <c r="B16" s="38" t="s">
        <v>507</v>
      </c>
      <c r="C16" s="38">
        <v>7</v>
      </c>
      <c r="D16" s="33"/>
      <c r="E16" s="38">
        <v>7</v>
      </c>
    </row>
    <row r="17" spans="1:10" x14ac:dyDescent="0.25">
      <c r="A17" s="38">
        <v>40062014</v>
      </c>
      <c r="B17" s="38" t="s">
        <v>538</v>
      </c>
      <c r="C17" s="38">
        <v>20</v>
      </c>
      <c r="D17" s="33"/>
      <c r="E17" s="38">
        <v>20</v>
      </c>
    </row>
    <row r="18" spans="1:10" x14ac:dyDescent="0.25">
      <c r="A18" s="38">
        <v>40064164</v>
      </c>
      <c r="B18" s="38" t="s">
        <v>575</v>
      </c>
      <c r="C18" s="38">
        <v>10</v>
      </c>
      <c r="D18" s="33"/>
      <c r="E18" s="38">
        <v>10</v>
      </c>
    </row>
    <row r="19" spans="1:10" hidden="1" x14ac:dyDescent="0.25">
      <c r="A19" s="38">
        <v>40063752</v>
      </c>
      <c r="B19" s="38" t="s">
        <v>514</v>
      </c>
      <c r="C19" s="38">
        <v>12</v>
      </c>
      <c r="D19" s="33"/>
      <c r="E19" s="38">
        <v>0</v>
      </c>
    </row>
    <row r="20" spans="1:10" x14ac:dyDescent="0.25">
      <c r="A20" s="38">
        <v>40063699</v>
      </c>
      <c r="B20" s="38" t="s">
        <v>515</v>
      </c>
      <c r="C20" s="38">
        <v>1</v>
      </c>
      <c r="D20" s="33"/>
      <c r="E20" s="38">
        <v>1</v>
      </c>
      <c r="J20" s="1">
        <v>7000640962</v>
      </c>
    </row>
    <row r="21" spans="1:10" hidden="1" x14ac:dyDescent="0.25">
      <c r="A21" s="38">
        <v>40064998</v>
      </c>
      <c r="B21" s="38" t="s">
        <v>493</v>
      </c>
      <c r="C21" s="38">
        <v>11</v>
      </c>
      <c r="D21" s="1" t="s">
        <v>79</v>
      </c>
      <c r="E21" s="38">
        <v>0</v>
      </c>
      <c r="H21" s="34"/>
    </row>
    <row r="22" spans="1:10" x14ac:dyDescent="0.25">
      <c r="A22" s="38">
        <v>40064957</v>
      </c>
      <c r="B22" s="38" t="s">
        <v>532</v>
      </c>
      <c r="C22" s="38">
        <v>30</v>
      </c>
      <c r="D22" s="33"/>
      <c r="E22" s="38">
        <v>30</v>
      </c>
    </row>
    <row r="23" spans="1:10" hidden="1" x14ac:dyDescent="0.25">
      <c r="A23" s="38">
        <v>40064999</v>
      </c>
      <c r="B23" s="38" t="s">
        <v>436</v>
      </c>
      <c r="C23" s="38">
        <v>55</v>
      </c>
      <c r="D23" s="1" t="s">
        <v>79</v>
      </c>
      <c r="E23" s="38">
        <v>0</v>
      </c>
    </row>
    <row r="24" spans="1:10" x14ac:dyDescent="0.25">
      <c r="A24" s="38">
        <v>40049658</v>
      </c>
      <c r="B24" s="38" t="s">
        <v>536</v>
      </c>
      <c r="C24" s="38">
        <v>10</v>
      </c>
      <c r="D24" s="33"/>
      <c r="E24" s="38">
        <v>10</v>
      </c>
    </row>
    <row r="25" spans="1:10" x14ac:dyDescent="0.25">
      <c r="A25" s="38">
        <v>40065039</v>
      </c>
      <c r="B25" s="38" t="s">
        <v>478</v>
      </c>
      <c r="C25" s="38">
        <v>10</v>
      </c>
      <c r="D25" s="1" t="s">
        <v>79</v>
      </c>
      <c r="E25" s="38">
        <v>10</v>
      </c>
    </row>
    <row r="26" spans="1:10" x14ac:dyDescent="0.25">
      <c r="A26" s="38">
        <v>40060449</v>
      </c>
      <c r="B26" s="38" t="s">
        <v>537</v>
      </c>
      <c r="C26" s="38">
        <v>20</v>
      </c>
      <c r="D26" s="33"/>
      <c r="E26" s="38">
        <v>20</v>
      </c>
    </row>
    <row r="27" spans="1:10" x14ac:dyDescent="0.25">
      <c r="A27" s="38">
        <v>40060450</v>
      </c>
      <c r="B27" s="38" t="s">
        <v>572</v>
      </c>
      <c r="C27" s="38">
        <v>5</v>
      </c>
      <c r="D27" s="33"/>
      <c r="E27" s="38">
        <v>5</v>
      </c>
    </row>
    <row r="28" spans="1:10" x14ac:dyDescent="0.25">
      <c r="A28" s="38">
        <v>40060535</v>
      </c>
      <c r="B28" s="38" t="s">
        <v>221</v>
      </c>
      <c r="C28" s="38">
        <v>3</v>
      </c>
      <c r="D28" s="33"/>
      <c r="E28" s="38">
        <v>3</v>
      </c>
    </row>
    <row r="29" spans="1:10" x14ac:dyDescent="0.25">
      <c r="A29" s="38">
        <v>40060996</v>
      </c>
      <c r="B29" s="38" t="s">
        <v>506</v>
      </c>
      <c r="C29" s="38">
        <v>8</v>
      </c>
      <c r="D29" s="33"/>
      <c r="E29" s="38">
        <v>8</v>
      </c>
    </row>
    <row r="30" spans="1:10" x14ac:dyDescent="0.25">
      <c r="A30" s="38">
        <v>40063637</v>
      </c>
      <c r="B30" s="38" t="s">
        <v>275</v>
      </c>
      <c r="C30" s="38">
        <v>5</v>
      </c>
      <c r="D30" s="33"/>
      <c r="E30" s="38">
        <v>5</v>
      </c>
    </row>
    <row r="31" spans="1:10" x14ac:dyDescent="0.25">
      <c r="A31" s="38">
        <v>40062024</v>
      </c>
      <c r="B31" s="38" t="s">
        <v>276</v>
      </c>
      <c r="C31" s="38">
        <v>49</v>
      </c>
      <c r="D31" s="33"/>
      <c r="E31" s="38">
        <v>49</v>
      </c>
    </row>
    <row r="32" spans="1:10" x14ac:dyDescent="0.25">
      <c r="A32" s="38">
        <v>40064885</v>
      </c>
      <c r="B32" s="38" t="s">
        <v>279</v>
      </c>
      <c r="C32" s="38">
        <v>10</v>
      </c>
      <c r="D32" s="33"/>
      <c r="E32" s="38">
        <v>10</v>
      </c>
    </row>
    <row r="33" spans="1:5" hidden="1" x14ac:dyDescent="0.25">
      <c r="A33" s="38">
        <v>40064883</v>
      </c>
      <c r="B33" s="38" t="s">
        <v>567</v>
      </c>
      <c r="C33" s="38">
        <v>100</v>
      </c>
      <c r="D33" s="33" t="s">
        <v>79</v>
      </c>
      <c r="E33" s="38">
        <v>0</v>
      </c>
    </row>
    <row r="34" spans="1:5" x14ac:dyDescent="0.25">
      <c r="A34" s="38">
        <v>40064886</v>
      </c>
      <c r="B34" s="38" t="s">
        <v>298</v>
      </c>
      <c r="C34" s="38">
        <v>66</v>
      </c>
      <c r="D34" s="33"/>
      <c r="E34" s="38">
        <v>66</v>
      </c>
    </row>
    <row r="35" spans="1:5" x14ac:dyDescent="0.25">
      <c r="A35" s="38">
        <v>40064881</v>
      </c>
      <c r="B35" s="38" t="s">
        <v>281</v>
      </c>
      <c r="C35" s="38">
        <v>8</v>
      </c>
      <c r="D35" s="33"/>
      <c r="E35" s="38">
        <v>8</v>
      </c>
    </row>
    <row r="36" spans="1:5" x14ac:dyDescent="0.25">
      <c r="A36" s="38">
        <v>40063606</v>
      </c>
      <c r="B36" s="38" t="s">
        <v>438</v>
      </c>
      <c r="C36" s="38">
        <v>10</v>
      </c>
      <c r="D36" s="33"/>
      <c r="E36" s="38">
        <v>10</v>
      </c>
    </row>
    <row r="37" spans="1:5" x14ac:dyDescent="0.25">
      <c r="A37" s="38">
        <v>40063604</v>
      </c>
      <c r="B37" s="38" t="s">
        <v>282</v>
      </c>
      <c r="C37" s="38">
        <v>18</v>
      </c>
      <c r="D37" s="33"/>
      <c r="E37" s="38">
        <v>15</v>
      </c>
    </row>
    <row r="38" spans="1:5" x14ac:dyDescent="0.25">
      <c r="A38" s="38">
        <v>40065256</v>
      </c>
      <c r="B38" s="38" t="s">
        <v>285</v>
      </c>
      <c r="C38" s="38">
        <v>34</v>
      </c>
      <c r="D38" s="33"/>
      <c r="E38" s="38">
        <v>34</v>
      </c>
    </row>
    <row r="39" spans="1:5" x14ac:dyDescent="0.25">
      <c r="A39" s="38">
        <v>40065274</v>
      </c>
      <c r="B39" s="38" t="s">
        <v>288</v>
      </c>
      <c r="C39" s="38">
        <v>53</v>
      </c>
      <c r="D39" s="33"/>
      <c r="E39" s="38">
        <v>53</v>
      </c>
    </row>
    <row r="40" spans="1:5" x14ac:dyDescent="0.25">
      <c r="A40" s="38">
        <v>40044139</v>
      </c>
      <c r="B40" s="38" t="s">
        <v>562</v>
      </c>
      <c r="C40" s="38">
        <v>6</v>
      </c>
      <c r="D40" s="33"/>
      <c r="E40" s="38">
        <v>6</v>
      </c>
    </row>
    <row r="41" spans="1:5" x14ac:dyDescent="0.25">
      <c r="A41" s="38">
        <v>40065350</v>
      </c>
      <c r="B41" s="38" t="s">
        <v>557</v>
      </c>
      <c r="C41" s="38">
        <v>20</v>
      </c>
      <c r="D41" s="33"/>
      <c r="E41" s="38">
        <v>20</v>
      </c>
    </row>
    <row r="42" spans="1:5" x14ac:dyDescent="0.25">
      <c r="A42" s="38">
        <v>40064893</v>
      </c>
      <c r="B42" s="38" t="s">
        <v>350</v>
      </c>
      <c r="C42" s="38">
        <v>5</v>
      </c>
      <c r="D42" s="33"/>
      <c r="E42" s="38">
        <v>5</v>
      </c>
    </row>
    <row r="43" spans="1:5" x14ac:dyDescent="0.25">
      <c r="A43" s="38">
        <v>40065374</v>
      </c>
      <c r="B43" s="38" t="s">
        <v>505</v>
      </c>
      <c r="C43" s="38">
        <v>9</v>
      </c>
      <c r="D43" s="33"/>
      <c r="E43" s="38">
        <v>9</v>
      </c>
    </row>
    <row r="44" spans="1:5" x14ac:dyDescent="0.25">
      <c r="A44" s="38">
        <v>40056378</v>
      </c>
      <c r="B44" s="38" t="s">
        <v>518</v>
      </c>
      <c r="C44" s="38">
        <v>2</v>
      </c>
      <c r="D44" s="33"/>
      <c r="E44" s="38">
        <v>2</v>
      </c>
    </row>
    <row r="45" spans="1:5" x14ac:dyDescent="0.25">
      <c r="A45" s="38">
        <v>40059499</v>
      </c>
      <c r="B45" s="38" t="s">
        <v>295</v>
      </c>
      <c r="C45" s="38">
        <v>16</v>
      </c>
      <c r="D45" s="33"/>
      <c r="E45" s="38">
        <v>16</v>
      </c>
    </row>
    <row r="46" spans="1:5" x14ac:dyDescent="0.25">
      <c r="A46" s="38">
        <v>40064685</v>
      </c>
      <c r="B46" s="38" t="s">
        <v>301</v>
      </c>
      <c r="C46" s="38">
        <v>50</v>
      </c>
      <c r="D46" s="33"/>
      <c r="E46" s="38">
        <v>50</v>
      </c>
    </row>
    <row r="47" spans="1:5" x14ac:dyDescent="0.25">
      <c r="A47" s="38">
        <v>40064688</v>
      </c>
      <c r="B47" s="38" t="s">
        <v>521</v>
      </c>
      <c r="C47" s="38">
        <v>14</v>
      </c>
      <c r="D47" s="33"/>
      <c r="E47" s="38">
        <v>14</v>
      </c>
    </row>
    <row r="48" spans="1:5" x14ac:dyDescent="0.25">
      <c r="A48" s="38">
        <v>40064907</v>
      </c>
      <c r="B48" s="38" t="s">
        <v>302</v>
      </c>
      <c r="C48" s="38">
        <v>30</v>
      </c>
      <c r="D48" s="33"/>
      <c r="E48" s="38">
        <v>30</v>
      </c>
    </row>
    <row r="49" spans="1:8" x14ac:dyDescent="0.25">
      <c r="A49" s="38">
        <v>40059534</v>
      </c>
      <c r="B49" s="38" t="s">
        <v>217</v>
      </c>
      <c r="C49" s="38">
        <v>4</v>
      </c>
      <c r="D49" s="33"/>
      <c r="E49" s="38">
        <v>4</v>
      </c>
    </row>
    <row r="50" spans="1:8" x14ac:dyDescent="0.25">
      <c r="A50" s="38">
        <v>40062343</v>
      </c>
      <c r="B50" s="38" t="s">
        <v>543</v>
      </c>
      <c r="C50" s="38">
        <v>30</v>
      </c>
      <c r="D50" s="33"/>
      <c r="E50" s="38">
        <v>30</v>
      </c>
    </row>
    <row r="51" spans="1:8" x14ac:dyDescent="0.25">
      <c r="A51" s="38">
        <v>40062519</v>
      </c>
      <c r="B51" s="38" t="s">
        <v>591</v>
      </c>
      <c r="C51" s="38">
        <v>5</v>
      </c>
      <c r="D51" s="33"/>
      <c r="E51" s="38">
        <v>5</v>
      </c>
    </row>
    <row r="52" spans="1:8" x14ac:dyDescent="0.25">
      <c r="A52" s="38">
        <v>40062536</v>
      </c>
      <c r="B52" s="38" t="s">
        <v>542</v>
      </c>
      <c r="C52" s="38">
        <v>30</v>
      </c>
      <c r="D52" s="33"/>
      <c r="E52" s="38">
        <v>30</v>
      </c>
    </row>
    <row r="53" spans="1:8" x14ac:dyDescent="0.25">
      <c r="A53" s="38">
        <v>40062518</v>
      </c>
      <c r="B53" s="38" t="s">
        <v>544</v>
      </c>
      <c r="C53" s="38">
        <v>50</v>
      </c>
      <c r="D53" s="33"/>
      <c r="E53" s="38">
        <v>50</v>
      </c>
    </row>
    <row r="54" spans="1:8" hidden="1" x14ac:dyDescent="0.25">
      <c r="A54" s="38">
        <v>40058547</v>
      </c>
      <c r="B54" s="38" t="s">
        <v>219</v>
      </c>
      <c r="C54" s="38">
        <v>1</v>
      </c>
      <c r="D54" s="33"/>
      <c r="E54" s="38">
        <v>0</v>
      </c>
    </row>
    <row r="55" spans="1:8" hidden="1" x14ac:dyDescent="0.25">
      <c r="A55" s="38">
        <v>40063964</v>
      </c>
      <c r="B55" s="38" t="s">
        <v>499</v>
      </c>
      <c r="C55" s="38">
        <v>5</v>
      </c>
      <c r="D55" s="1" t="s">
        <v>79</v>
      </c>
      <c r="E55" s="38">
        <v>0</v>
      </c>
    </row>
    <row r="56" spans="1:8" x14ac:dyDescent="0.25">
      <c r="A56" s="38">
        <v>40064844</v>
      </c>
      <c r="B56" s="38" t="s">
        <v>267</v>
      </c>
      <c r="C56" s="38">
        <v>200</v>
      </c>
      <c r="D56" s="33" t="s">
        <v>79</v>
      </c>
      <c r="E56" s="38">
        <v>200</v>
      </c>
    </row>
    <row r="57" spans="1:8" x14ac:dyDescent="0.25">
      <c r="A57" s="38">
        <v>40063198</v>
      </c>
      <c r="B57" s="38" t="s">
        <v>338</v>
      </c>
      <c r="C57" s="38">
        <v>28</v>
      </c>
      <c r="D57" s="1" t="s">
        <v>79</v>
      </c>
      <c r="E57" s="38">
        <v>28</v>
      </c>
      <c r="G57" s="34"/>
      <c r="H57" s="34"/>
    </row>
    <row r="58" spans="1:8" hidden="1" x14ac:dyDescent="0.25">
      <c r="A58" s="38">
        <v>40063193</v>
      </c>
      <c r="B58" s="38" t="s">
        <v>500</v>
      </c>
      <c r="C58" s="38">
        <v>32</v>
      </c>
      <c r="D58" s="1" t="s">
        <v>79</v>
      </c>
      <c r="E58" s="38">
        <v>0</v>
      </c>
    </row>
    <row r="59" spans="1:8" x14ac:dyDescent="0.25">
      <c r="A59" s="38">
        <v>40050590</v>
      </c>
      <c r="B59" s="38" t="s">
        <v>337</v>
      </c>
      <c r="C59" s="38">
        <v>1</v>
      </c>
      <c r="D59" s="33"/>
      <c r="E59" s="38">
        <v>1</v>
      </c>
    </row>
    <row r="60" spans="1:8" x14ac:dyDescent="0.25">
      <c r="A60" s="38">
        <v>40064377</v>
      </c>
      <c r="B60" s="38" t="s">
        <v>581</v>
      </c>
      <c r="C60" s="38">
        <v>10</v>
      </c>
      <c r="D60" s="33"/>
      <c r="E60" s="38">
        <v>10</v>
      </c>
    </row>
    <row r="61" spans="1:8" x14ac:dyDescent="0.25">
      <c r="A61" s="38">
        <v>40064695</v>
      </c>
      <c r="B61" s="38" t="s">
        <v>585</v>
      </c>
      <c r="C61" s="38">
        <v>25</v>
      </c>
      <c r="D61" s="33"/>
      <c r="E61" s="38">
        <v>25</v>
      </c>
    </row>
    <row r="62" spans="1:8" x14ac:dyDescent="0.25">
      <c r="A62" s="38">
        <v>40064472</v>
      </c>
      <c r="B62" s="38" t="s">
        <v>560</v>
      </c>
      <c r="C62" s="38">
        <v>35</v>
      </c>
      <c r="D62" s="1" t="s">
        <v>79</v>
      </c>
      <c r="E62" s="38">
        <v>35</v>
      </c>
    </row>
    <row r="63" spans="1:8" x14ac:dyDescent="0.25">
      <c r="A63" s="38">
        <v>40062828</v>
      </c>
      <c r="B63" s="38" t="s">
        <v>582</v>
      </c>
      <c r="C63" s="38">
        <v>2</v>
      </c>
      <c r="D63" s="33"/>
      <c r="E63" s="38">
        <v>2</v>
      </c>
    </row>
    <row r="64" spans="1:8" x14ac:dyDescent="0.25">
      <c r="A64" s="38">
        <v>40064430</v>
      </c>
      <c r="B64" s="38" t="s">
        <v>561</v>
      </c>
      <c r="C64" s="38">
        <v>20</v>
      </c>
      <c r="D64" s="1" t="s">
        <v>79</v>
      </c>
      <c r="E64" s="38">
        <v>20</v>
      </c>
    </row>
    <row r="65" spans="1:8" x14ac:dyDescent="0.25">
      <c r="A65" s="38">
        <v>40064428</v>
      </c>
      <c r="B65" s="38" t="s">
        <v>336</v>
      </c>
      <c r="C65" s="38">
        <v>13</v>
      </c>
      <c r="D65" s="1" t="s">
        <v>79</v>
      </c>
      <c r="E65" s="38">
        <v>13</v>
      </c>
      <c r="F65" s="33"/>
      <c r="H65" s="34"/>
    </row>
    <row r="66" spans="1:8" x14ac:dyDescent="0.25">
      <c r="A66" s="38">
        <v>40064535</v>
      </c>
      <c r="B66" s="38" t="s">
        <v>450</v>
      </c>
      <c r="C66" s="38">
        <v>20</v>
      </c>
      <c r="D66" s="33"/>
      <c r="E66" s="38">
        <v>20</v>
      </c>
    </row>
    <row r="67" spans="1:8" x14ac:dyDescent="0.25">
      <c r="A67" s="40">
        <v>40055905</v>
      </c>
      <c r="B67" s="40" t="s">
        <v>574</v>
      </c>
      <c r="C67" s="66">
        <v>10</v>
      </c>
      <c r="D67" s="33"/>
      <c r="E67" s="66">
        <v>10</v>
      </c>
    </row>
    <row r="68" spans="1:8" hidden="1" x14ac:dyDescent="0.25">
      <c r="A68" s="40">
        <v>40059593</v>
      </c>
      <c r="B68" s="40" t="s">
        <v>539</v>
      </c>
      <c r="C68" s="66">
        <v>30</v>
      </c>
      <c r="D68" s="33"/>
      <c r="E68" s="66">
        <v>0</v>
      </c>
    </row>
    <row r="69" spans="1:8" hidden="1" x14ac:dyDescent="0.25">
      <c r="A69" s="40">
        <v>40060282</v>
      </c>
      <c r="B69" s="40" t="s">
        <v>565</v>
      </c>
      <c r="C69" s="66">
        <v>10</v>
      </c>
      <c r="D69" s="33"/>
      <c r="E69" s="66">
        <v>0</v>
      </c>
    </row>
    <row r="70" spans="1:8" x14ac:dyDescent="0.25">
      <c r="A70" s="40">
        <v>40063685</v>
      </c>
      <c r="B70" s="40" t="s">
        <v>236</v>
      </c>
      <c r="C70" s="1">
        <v>80</v>
      </c>
      <c r="D70" s="33"/>
      <c r="E70" s="1">
        <v>80</v>
      </c>
    </row>
    <row r="71" spans="1:8" x14ac:dyDescent="0.25">
      <c r="A71" s="40">
        <v>40063686</v>
      </c>
      <c r="B71" s="40" t="s">
        <v>349</v>
      </c>
      <c r="C71" s="1">
        <v>80</v>
      </c>
      <c r="D71" s="33"/>
      <c r="E71" s="1">
        <v>80</v>
      </c>
    </row>
    <row r="72" spans="1:8" x14ac:dyDescent="0.25">
      <c r="A72" s="40"/>
      <c r="B72" s="40"/>
      <c r="D72" s="33"/>
    </row>
    <row r="73" spans="1:8" x14ac:dyDescent="0.25">
      <c r="A73" s="33" t="s">
        <v>60</v>
      </c>
      <c r="B73" s="39"/>
      <c r="C73" s="33">
        <f>SUM(C13:C71)</f>
        <v>1479</v>
      </c>
      <c r="D73" s="33" t="s">
        <v>61</v>
      </c>
      <c r="E73" s="1">
        <f>SUM(E13:E71)</f>
        <v>1220</v>
      </c>
    </row>
    <row r="74" spans="1:8" x14ac:dyDescent="0.25">
      <c r="A74" s="33" t="s">
        <v>62</v>
      </c>
      <c r="B74" s="33"/>
      <c r="C74" s="33"/>
      <c r="D74" s="33" t="s">
        <v>63</v>
      </c>
    </row>
    <row r="76" spans="1:8" x14ac:dyDescent="0.25">
      <c r="A76" s="1" t="s">
        <v>64</v>
      </c>
      <c r="B76" s="1" t="s">
        <v>65</v>
      </c>
      <c r="C76" s="1" t="s">
        <v>66</v>
      </c>
      <c r="D76" s="1" t="s">
        <v>67</v>
      </c>
      <c r="E76" s="1" t="s">
        <v>68</v>
      </c>
    </row>
    <row r="77" spans="1:8" x14ac:dyDescent="0.25">
      <c r="A77" s="1">
        <v>1</v>
      </c>
    </row>
    <row r="78" spans="1:8" x14ac:dyDescent="0.25">
      <c r="A78" s="1">
        <v>2</v>
      </c>
    </row>
    <row r="79" spans="1:8" x14ac:dyDescent="0.25">
      <c r="A79" s="1">
        <v>3</v>
      </c>
    </row>
    <row r="80" spans="1:8" x14ac:dyDescent="0.25">
      <c r="B80" s="7" t="s">
        <v>7</v>
      </c>
    </row>
    <row r="84" spans="1:4" x14ac:dyDescent="0.25">
      <c r="B84" s="1" t="s">
        <v>677</v>
      </c>
    </row>
    <row r="85" spans="1:4" x14ac:dyDescent="0.25">
      <c r="A85" s="9" t="s">
        <v>0</v>
      </c>
      <c r="B85" s="9" t="s">
        <v>1</v>
      </c>
      <c r="C85" s="42" t="s">
        <v>82</v>
      </c>
    </row>
    <row r="86" spans="1:4" x14ac:dyDescent="0.25">
      <c r="A86" s="40">
        <v>40055905</v>
      </c>
      <c r="B86" s="40" t="s">
        <v>574</v>
      </c>
      <c r="C86" s="66">
        <v>10</v>
      </c>
      <c r="D86" s="1" t="s">
        <v>269</v>
      </c>
    </row>
    <row r="87" spans="1:4" x14ac:dyDescent="0.25">
      <c r="A87" s="40">
        <v>40059593</v>
      </c>
      <c r="B87" s="40" t="s">
        <v>539</v>
      </c>
      <c r="C87" s="66">
        <v>30</v>
      </c>
      <c r="D87" s="1" t="s">
        <v>269</v>
      </c>
    </row>
    <row r="88" spans="1:4" x14ac:dyDescent="0.25">
      <c r="A88" s="40">
        <v>40060282</v>
      </c>
      <c r="B88" s="40" t="s">
        <v>565</v>
      </c>
      <c r="C88" s="66">
        <v>10</v>
      </c>
      <c r="D88" s="1" t="s">
        <v>269</v>
      </c>
    </row>
    <row r="89" spans="1:4" x14ac:dyDescent="0.25">
      <c r="A89" s="40">
        <v>40063685</v>
      </c>
      <c r="B89" s="40" t="s">
        <v>236</v>
      </c>
      <c r="C89" s="1">
        <v>80</v>
      </c>
    </row>
    <row r="90" spans="1:4" x14ac:dyDescent="0.25">
      <c r="A90" s="40">
        <v>40063686</v>
      </c>
      <c r="B90" s="40" t="s">
        <v>349</v>
      </c>
      <c r="C90" s="1">
        <v>80</v>
      </c>
    </row>
    <row r="92" spans="1:4" x14ac:dyDescent="0.25">
      <c r="C92" s="1">
        <f>SUBTOTAL(9,C86:C91)</f>
        <v>210</v>
      </c>
    </row>
  </sheetData>
  <autoFilter ref="A12:J71" xr:uid="{00000000-0001-0000-0F00-000000000000}">
    <filterColumn colId="4">
      <filters>
        <filter val="1"/>
        <filter val="10"/>
        <filter val="11"/>
        <filter val="13"/>
        <filter val="14"/>
        <filter val="15"/>
        <filter val="16"/>
        <filter val="2"/>
        <filter val="20"/>
        <filter val="200"/>
        <filter val="25"/>
        <filter val="28"/>
        <filter val="3"/>
        <filter val="30"/>
        <filter val="34"/>
        <filter val="35"/>
        <filter val="37"/>
        <filter val="4"/>
        <filter val="49"/>
        <filter val="5"/>
        <filter val="50"/>
        <filter val="53"/>
        <filter val="6"/>
        <filter val="66"/>
        <filter val="7"/>
        <filter val="8"/>
        <filter val="80"/>
        <filter val="9"/>
      </filters>
    </filterColumn>
    <sortState xmlns:xlrd2="http://schemas.microsoft.com/office/spreadsheetml/2017/richdata2" ref="A13:J66">
      <sortCondition ref="B12:B66"/>
    </sortState>
  </autoFilter>
  <mergeCells count="5">
    <mergeCell ref="A5:F5"/>
    <mergeCell ref="A6:F6"/>
    <mergeCell ref="A7:B7"/>
    <mergeCell ref="C7:D7"/>
    <mergeCell ref="E7:F7"/>
  </mergeCells>
  <conditionalFormatting sqref="B11">
    <cfRule type="duplicateValues" dxfId="16" priority="1"/>
  </conditionalFormatting>
  <printOptions horizontalCentered="1" verticalCentered="1"/>
  <pageMargins left="0" right="0" top="0" bottom="0" header="0" footer="0"/>
  <pageSetup scale="9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J31"/>
  <sheetViews>
    <sheetView workbookViewId="0">
      <selection activeCell="I15" sqref="I15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10" ht="15.75" thickBot="1" x14ac:dyDescent="0.3">
      <c r="B1" s="19"/>
      <c r="C1" s="19"/>
      <c r="D1" s="19"/>
      <c r="E1" s="19"/>
      <c r="F1" s="19"/>
      <c r="I1" s="34">
        <v>1664.4</v>
      </c>
      <c r="J1" s="34">
        <v>2447017.5</v>
      </c>
    </row>
    <row r="2" spans="1:10" ht="15.75" x14ac:dyDescent="0.25">
      <c r="A2" s="20"/>
      <c r="B2" s="21"/>
      <c r="C2" s="22"/>
      <c r="D2" s="23"/>
      <c r="E2" s="22"/>
      <c r="F2" s="24"/>
      <c r="G2" s="25"/>
      <c r="I2" s="34">
        <v>7073.76</v>
      </c>
      <c r="J2" s="34">
        <v>17557082.899999999</v>
      </c>
    </row>
    <row r="3" spans="1:10" ht="16.5" thickBot="1" x14ac:dyDescent="0.3">
      <c r="A3" s="20"/>
      <c r="B3" s="26"/>
      <c r="C3" s="27"/>
      <c r="D3" s="28"/>
      <c r="E3" s="28"/>
      <c r="F3" s="28"/>
    </row>
    <row r="4" spans="1:10" x14ac:dyDescent="0.25">
      <c r="B4" s="29"/>
      <c r="C4" s="29"/>
      <c r="D4" s="29"/>
      <c r="E4" s="29"/>
      <c r="F4" s="44"/>
    </row>
    <row r="5" spans="1:10" ht="15.75" x14ac:dyDescent="0.25">
      <c r="A5" s="61" t="s">
        <v>42</v>
      </c>
      <c r="B5" s="61"/>
      <c r="C5" s="61"/>
      <c r="D5" s="61"/>
      <c r="E5" s="61"/>
      <c r="F5" s="62"/>
    </row>
    <row r="6" spans="1:10" ht="15.75" x14ac:dyDescent="0.25">
      <c r="A6" s="61" t="s">
        <v>183</v>
      </c>
      <c r="B6" s="61"/>
      <c r="C6" s="61"/>
      <c r="D6" s="61"/>
      <c r="E6" s="61"/>
      <c r="F6" s="61"/>
    </row>
    <row r="7" spans="1:10" ht="23.25" x14ac:dyDescent="0.25">
      <c r="A7" s="63" t="s">
        <v>43</v>
      </c>
      <c r="B7" s="63"/>
      <c r="C7" s="64" t="s">
        <v>44</v>
      </c>
      <c r="D7" s="64"/>
      <c r="E7" s="65" t="s">
        <v>665</v>
      </c>
      <c r="F7" s="65"/>
    </row>
    <row r="8" spans="1:10" x14ac:dyDescent="0.25">
      <c r="A8" s="1" t="s">
        <v>46</v>
      </c>
      <c r="B8" s="2" t="s">
        <v>487</v>
      </c>
      <c r="C8" s="30">
        <v>808951883</v>
      </c>
      <c r="E8" s="1" t="s">
        <v>47</v>
      </c>
      <c r="F8" s="31" t="s">
        <v>472</v>
      </c>
      <c r="G8" s="32" t="s">
        <v>89</v>
      </c>
      <c r="H8" s="34" t="s">
        <v>658</v>
      </c>
    </row>
    <row r="9" spans="1:10" x14ac:dyDescent="0.25">
      <c r="A9" s="1" t="s">
        <v>48</v>
      </c>
      <c r="B9" s="33" t="s">
        <v>425</v>
      </c>
      <c r="C9" s="30">
        <v>808952505</v>
      </c>
      <c r="E9" s="1" t="s">
        <v>49</v>
      </c>
      <c r="G9" s="1" t="s">
        <v>90</v>
      </c>
      <c r="H9" s="34">
        <v>21000</v>
      </c>
    </row>
    <row r="10" spans="1:10" x14ac:dyDescent="0.25">
      <c r="A10" s="1" t="s">
        <v>50</v>
      </c>
      <c r="B10" s="2" t="s">
        <v>663</v>
      </c>
      <c r="E10" s="1" t="s">
        <v>51</v>
      </c>
      <c r="G10" s="1" t="s">
        <v>91</v>
      </c>
    </row>
    <row r="11" spans="1:10" x14ac:dyDescent="0.25">
      <c r="A11" s="1" t="s">
        <v>52</v>
      </c>
      <c r="B11" s="33" t="s">
        <v>664</v>
      </c>
      <c r="I11" s="34"/>
    </row>
    <row r="12" spans="1:10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  <c r="I12" s="36">
        <v>4400600889</v>
      </c>
    </row>
    <row r="13" spans="1:10" x14ac:dyDescent="0.25">
      <c r="A13" s="1">
        <v>40063581</v>
      </c>
      <c r="B13" s="1" t="s">
        <v>494</v>
      </c>
      <c r="C13" s="1">
        <v>75</v>
      </c>
      <c r="D13" s="1" t="s">
        <v>79</v>
      </c>
      <c r="E13" s="33"/>
      <c r="F13" s="33"/>
      <c r="H13" s="34"/>
    </row>
    <row r="14" spans="1:10" x14ac:dyDescent="0.25">
      <c r="A14" s="1">
        <v>40063757</v>
      </c>
      <c r="B14" s="1" t="s">
        <v>261</v>
      </c>
      <c r="C14" s="1">
        <v>50</v>
      </c>
      <c r="D14" s="1" t="s">
        <v>79</v>
      </c>
      <c r="E14" s="33"/>
      <c r="G14" s="34"/>
      <c r="H14" s="34"/>
      <c r="I14" s="1">
        <v>1001154406</v>
      </c>
    </row>
    <row r="15" spans="1:10" x14ac:dyDescent="0.25">
      <c r="A15" s="38">
        <v>40065157</v>
      </c>
      <c r="B15" s="38" t="s">
        <v>444</v>
      </c>
      <c r="C15" s="38">
        <v>100</v>
      </c>
      <c r="D15" s="33"/>
    </row>
    <row r="16" spans="1:10" x14ac:dyDescent="0.25">
      <c r="A16" s="38">
        <v>40064503</v>
      </c>
      <c r="B16" s="38" t="s">
        <v>352</v>
      </c>
      <c r="C16" s="38">
        <v>120</v>
      </c>
      <c r="I16" s="1">
        <v>7000640956</v>
      </c>
    </row>
    <row r="17" spans="1:8" x14ac:dyDescent="0.25">
      <c r="A17" s="38">
        <v>40049906</v>
      </c>
      <c r="B17" s="38" t="s">
        <v>587</v>
      </c>
      <c r="C17" s="38">
        <v>100</v>
      </c>
      <c r="E17" s="33"/>
    </row>
    <row r="18" spans="1:8" x14ac:dyDescent="0.25">
      <c r="A18" s="38">
        <v>40057243</v>
      </c>
      <c r="B18" s="38" t="s">
        <v>448</v>
      </c>
      <c r="C18" s="38">
        <v>100</v>
      </c>
      <c r="E18" s="33"/>
      <c r="H18" s="34"/>
    </row>
    <row r="19" spans="1:8" x14ac:dyDescent="0.25">
      <c r="A19" s="38">
        <v>40063685</v>
      </c>
      <c r="B19" s="38" t="s">
        <v>236</v>
      </c>
      <c r="C19" s="38">
        <v>50</v>
      </c>
      <c r="D19" s="33"/>
    </row>
    <row r="20" spans="1:8" x14ac:dyDescent="0.25">
      <c r="A20" s="38">
        <v>40063686</v>
      </c>
      <c r="B20" s="38" t="s">
        <v>349</v>
      </c>
      <c r="C20" s="38">
        <v>75</v>
      </c>
      <c r="D20" s="33"/>
    </row>
    <row r="21" spans="1:8" x14ac:dyDescent="0.25">
      <c r="A21" s="38"/>
      <c r="B21" s="38"/>
      <c r="C21" s="38"/>
      <c r="D21" s="33"/>
    </row>
    <row r="22" spans="1:8" x14ac:dyDescent="0.25">
      <c r="A22" s="38"/>
      <c r="B22" s="38"/>
      <c r="C22" s="38"/>
      <c r="D22" s="33"/>
    </row>
    <row r="23" spans="1:8" x14ac:dyDescent="0.25">
      <c r="C23" s="7"/>
    </row>
    <row r="24" spans="1:8" x14ac:dyDescent="0.25">
      <c r="A24" s="33" t="s">
        <v>60</v>
      </c>
      <c r="B24" s="39"/>
      <c r="C24" s="33">
        <f>SUM(C13:C23)</f>
        <v>670</v>
      </c>
      <c r="D24" s="33" t="s">
        <v>61</v>
      </c>
    </row>
    <row r="25" spans="1:8" x14ac:dyDescent="0.25">
      <c r="A25" s="33" t="s">
        <v>62</v>
      </c>
      <c r="B25" s="33"/>
      <c r="C25" s="33"/>
      <c r="D25" s="33" t="s">
        <v>63</v>
      </c>
    </row>
    <row r="27" spans="1:8" x14ac:dyDescent="0.25">
      <c r="A27" s="1" t="s">
        <v>64</v>
      </c>
      <c r="B27" s="1" t="s">
        <v>65</v>
      </c>
      <c r="C27" s="1" t="s">
        <v>66</v>
      </c>
      <c r="D27" s="1" t="s">
        <v>67</v>
      </c>
      <c r="E27" s="1" t="s">
        <v>68</v>
      </c>
    </row>
    <row r="28" spans="1:8" x14ac:dyDescent="0.25">
      <c r="A28" s="1">
        <v>1</v>
      </c>
    </row>
    <row r="29" spans="1:8" x14ac:dyDescent="0.25">
      <c r="A29" s="1">
        <v>2</v>
      </c>
    </row>
    <row r="30" spans="1:8" x14ac:dyDescent="0.25">
      <c r="A30" s="1">
        <v>3</v>
      </c>
    </row>
    <row r="31" spans="1:8" x14ac:dyDescent="0.25">
      <c r="B31" s="7" t="s">
        <v>7</v>
      </c>
    </row>
  </sheetData>
  <autoFilter ref="A12:J12" xr:uid="{00000000-0001-0000-1000-000000000000}">
    <sortState xmlns:xlrd2="http://schemas.microsoft.com/office/spreadsheetml/2017/richdata2" ref="A13:J20">
      <sortCondition ref="B12"/>
    </sortState>
  </autoFilter>
  <mergeCells count="5">
    <mergeCell ref="A5:F5"/>
    <mergeCell ref="A6:F6"/>
    <mergeCell ref="A7:B7"/>
    <mergeCell ref="C7:D7"/>
    <mergeCell ref="E7:F7"/>
  </mergeCells>
  <conditionalFormatting sqref="B11">
    <cfRule type="duplicateValues" dxfId="15" priority="1"/>
  </conditionalFormatting>
  <printOptions horizontalCentered="1" verticalCentered="1"/>
  <pageMargins left="0" right="0" top="0" bottom="0" header="0" footer="0"/>
  <pageSetup scale="9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J44"/>
  <sheetViews>
    <sheetView topLeftCell="A3" workbookViewId="0">
      <selection activeCell="I28" sqref="I28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10" ht="15.75" thickBot="1" x14ac:dyDescent="0.3">
      <c r="B1" s="19"/>
      <c r="C1" s="19"/>
      <c r="D1" s="19"/>
      <c r="E1" s="19"/>
      <c r="F1" s="19"/>
      <c r="I1" s="34">
        <v>5906.0159999999996</v>
      </c>
      <c r="J1" s="34">
        <v>22197933.629999999</v>
      </c>
    </row>
    <row r="2" spans="1:10" ht="15.75" x14ac:dyDescent="0.25">
      <c r="A2" s="20"/>
      <c r="B2" s="21"/>
      <c r="C2" s="22"/>
      <c r="D2" s="23"/>
      <c r="E2" s="22"/>
      <c r="F2" s="24"/>
      <c r="G2" s="25"/>
      <c r="I2" s="34">
        <v>21621.398000000001</v>
      </c>
      <c r="J2" s="34">
        <v>74592645.840000004</v>
      </c>
    </row>
    <row r="3" spans="1:10" ht="16.5" thickBot="1" x14ac:dyDescent="0.3">
      <c r="A3" s="20"/>
      <c r="B3" s="26"/>
      <c r="C3" s="27"/>
      <c r="D3" s="28"/>
      <c r="E3" s="28"/>
      <c r="F3" s="28"/>
    </row>
    <row r="4" spans="1:10" x14ac:dyDescent="0.25">
      <c r="B4" s="29"/>
      <c r="C4" s="29"/>
      <c r="D4" s="29"/>
      <c r="E4" s="29"/>
      <c r="F4" s="44"/>
    </row>
    <row r="5" spans="1:10" ht="15.75" x14ac:dyDescent="0.25">
      <c r="A5" s="61" t="s">
        <v>42</v>
      </c>
      <c r="B5" s="61"/>
      <c r="C5" s="61"/>
      <c r="D5" s="61"/>
      <c r="E5" s="61"/>
      <c r="F5" s="62"/>
    </row>
    <row r="6" spans="1:10" ht="15.75" x14ac:dyDescent="0.25">
      <c r="A6" s="61" t="s">
        <v>183</v>
      </c>
      <c r="B6" s="61"/>
      <c r="C6" s="61"/>
      <c r="D6" s="61"/>
      <c r="E6" s="61"/>
      <c r="F6" s="61"/>
    </row>
    <row r="7" spans="1:10" ht="23.25" x14ac:dyDescent="0.25">
      <c r="A7" s="63" t="s">
        <v>43</v>
      </c>
      <c r="B7" s="63"/>
      <c r="C7" s="64" t="s">
        <v>44</v>
      </c>
      <c r="D7" s="64"/>
      <c r="E7" s="65" t="s">
        <v>668</v>
      </c>
      <c r="F7" s="65"/>
    </row>
    <row r="8" spans="1:10" x14ac:dyDescent="0.25">
      <c r="A8" s="1" t="s">
        <v>46</v>
      </c>
      <c r="B8" s="2" t="s">
        <v>399</v>
      </c>
      <c r="C8" s="30">
        <v>808951928</v>
      </c>
      <c r="E8" s="1" t="s">
        <v>47</v>
      </c>
      <c r="F8" s="31" t="s">
        <v>472</v>
      </c>
      <c r="G8" s="32" t="s">
        <v>89</v>
      </c>
      <c r="H8" s="34" t="s">
        <v>634</v>
      </c>
    </row>
    <row r="9" spans="1:10" x14ac:dyDescent="0.25">
      <c r="A9" s="1" t="s">
        <v>48</v>
      </c>
      <c r="B9" s="33" t="s">
        <v>635</v>
      </c>
      <c r="C9" s="30">
        <v>808951943</v>
      </c>
      <c r="E9" s="1" t="s">
        <v>49</v>
      </c>
      <c r="G9" s="1" t="s">
        <v>90</v>
      </c>
      <c r="H9" s="34">
        <v>95000</v>
      </c>
    </row>
    <row r="10" spans="1:10" x14ac:dyDescent="0.25">
      <c r="A10" s="1" t="s">
        <v>50</v>
      </c>
      <c r="B10" s="2" t="s">
        <v>666</v>
      </c>
      <c r="E10" s="1" t="s">
        <v>51</v>
      </c>
      <c r="G10" s="1" t="s">
        <v>91</v>
      </c>
    </row>
    <row r="11" spans="1:10" x14ac:dyDescent="0.25">
      <c r="A11" s="1" t="s">
        <v>52</v>
      </c>
      <c r="B11" s="33" t="s">
        <v>667</v>
      </c>
      <c r="G11" s="1" t="s">
        <v>679</v>
      </c>
      <c r="I11" s="34"/>
    </row>
    <row r="12" spans="1:10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  <c r="I12" s="36">
        <v>4400600892</v>
      </c>
    </row>
    <row r="13" spans="1:10" x14ac:dyDescent="0.25">
      <c r="A13" s="38">
        <v>40043584</v>
      </c>
      <c r="B13" s="38" t="s">
        <v>242</v>
      </c>
      <c r="C13" s="38">
        <v>100</v>
      </c>
      <c r="E13" s="33"/>
      <c r="F13" s="33"/>
      <c r="H13" s="34"/>
    </row>
    <row r="14" spans="1:10" x14ac:dyDescent="0.25">
      <c r="A14" s="38">
        <v>40049658</v>
      </c>
      <c r="B14" s="38" t="s">
        <v>536</v>
      </c>
      <c r="C14" s="38">
        <v>200</v>
      </c>
      <c r="E14" s="33"/>
      <c r="G14" s="34"/>
      <c r="H14" s="34"/>
    </row>
    <row r="15" spans="1:10" x14ac:dyDescent="0.25">
      <c r="A15" s="38">
        <v>40050728</v>
      </c>
      <c r="B15" s="38" t="s">
        <v>214</v>
      </c>
      <c r="C15" s="38">
        <v>109</v>
      </c>
      <c r="E15" s="33"/>
      <c r="H15" s="34"/>
    </row>
    <row r="16" spans="1:10" x14ac:dyDescent="0.25">
      <c r="A16" s="38">
        <v>40057243</v>
      </c>
      <c r="B16" s="38" t="s">
        <v>448</v>
      </c>
      <c r="C16" s="38">
        <v>200</v>
      </c>
      <c r="E16" s="33"/>
    </row>
    <row r="17" spans="1:9" x14ac:dyDescent="0.25">
      <c r="A17" s="38">
        <v>40057975</v>
      </c>
      <c r="B17" s="38" t="s">
        <v>481</v>
      </c>
      <c r="C17" s="38">
        <v>150</v>
      </c>
      <c r="I17" s="1">
        <v>808952975</v>
      </c>
    </row>
    <row r="18" spans="1:9" x14ac:dyDescent="0.25">
      <c r="A18" s="38">
        <v>40059648</v>
      </c>
      <c r="B18" s="38" t="s">
        <v>228</v>
      </c>
      <c r="C18" s="38">
        <v>70</v>
      </c>
      <c r="D18" s="33"/>
      <c r="I18" s="1">
        <v>808952976</v>
      </c>
    </row>
    <row r="19" spans="1:9" x14ac:dyDescent="0.25">
      <c r="A19" s="38">
        <v>40060029</v>
      </c>
      <c r="B19" s="38" t="s">
        <v>508</v>
      </c>
      <c r="C19" s="38">
        <v>566</v>
      </c>
      <c r="D19" s="33"/>
    </row>
    <row r="20" spans="1:9" x14ac:dyDescent="0.25">
      <c r="A20" s="38">
        <v>40060030</v>
      </c>
      <c r="B20" s="38" t="s">
        <v>462</v>
      </c>
      <c r="C20" s="38">
        <v>400</v>
      </c>
      <c r="D20" s="33"/>
    </row>
    <row r="21" spans="1:9" x14ac:dyDescent="0.25">
      <c r="A21" s="38">
        <v>40060034</v>
      </c>
      <c r="B21" s="38" t="s">
        <v>463</v>
      </c>
      <c r="C21" s="38">
        <v>100</v>
      </c>
      <c r="D21" s="33"/>
    </row>
    <row r="22" spans="1:9" x14ac:dyDescent="0.25">
      <c r="A22" s="38">
        <v>40060450</v>
      </c>
      <c r="B22" s="38" t="s">
        <v>572</v>
      </c>
      <c r="C22" s="38">
        <v>170</v>
      </c>
      <c r="D22" s="33"/>
      <c r="I22" s="1">
        <v>1006210391</v>
      </c>
    </row>
    <row r="23" spans="1:9" x14ac:dyDescent="0.25">
      <c r="A23" s="38">
        <v>40062265</v>
      </c>
      <c r="B23" s="38" t="s">
        <v>443</v>
      </c>
      <c r="C23" s="38">
        <v>100</v>
      </c>
      <c r="D23" s="33"/>
      <c r="I23" s="1">
        <v>5128551</v>
      </c>
    </row>
    <row r="24" spans="1:9" x14ac:dyDescent="0.25">
      <c r="A24" s="38">
        <v>40062332</v>
      </c>
      <c r="B24" s="38" t="s">
        <v>318</v>
      </c>
      <c r="C24" s="38">
        <v>78</v>
      </c>
      <c r="D24" s="33"/>
      <c r="I24" s="1">
        <v>5128550</v>
      </c>
    </row>
    <row r="25" spans="1:9" x14ac:dyDescent="0.25">
      <c r="A25" s="38">
        <v>40062519</v>
      </c>
      <c r="B25" s="38" t="s">
        <v>591</v>
      </c>
      <c r="C25" s="38">
        <v>30</v>
      </c>
      <c r="D25" s="33"/>
      <c r="I25" s="1">
        <v>1006210390</v>
      </c>
    </row>
    <row r="26" spans="1:9" x14ac:dyDescent="0.25">
      <c r="A26" s="38">
        <v>40063275</v>
      </c>
      <c r="B26" s="38" t="s">
        <v>447</v>
      </c>
      <c r="C26" s="38">
        <v>10</v>
      </c>
      <c r="D26" s="33"/>
    </row>
    <row r="27" spans="1:9" x14ac:dyDescent="0.25">
      <c r="A27" s="38">
        <v>40063500</v>
      </c>
      <c r="B27" s="38" t="s">
        <v>522</v>
      </c>
      <c r="C27" s="38">
        <v>46</v>
      </c>
      <c r="D27" s="33"/>
    </row>
    <row r="28" spans="1:9" x14ac:dyDescent="0.25">
      <c r="A28" s="38">
        <v>40063612</v>
      </c>
      <c r="B28" s="38" t="s">
        <v>529</v>
      </c>
      <c r="C28" s="38">
        <v>1</v>
      </c>
      <c r="D28" s="33"/>
    </row>
    <row r="29" spans="1:9" x14ac:dyDescent="0.25">
      <c r="A29" s="38">
        <v>40063686</v>
      </c>
      <c r="B29" s="38" t="s">
        <v>349</v>
      </c>
      <c r="C29" s="38">
        <v>200</v>
      </c>
      <c r="D29" s="33"/>
    </row>
    <row r="30" spans="1:9" x14ac:dyDescent="0.25">
      <c r="A30" s="38">
        <v>40063967</v>
      </c>
      <c r="B30" s="38" t="s">
        <v>239</v>
      </c>
      <c r="C30" s="38">
        <v>100</v>
      </c>
      <c r="D30" s="33"/>
    </row>
    <row r="31" spans="1:9" x14ac:dyDescent="0.25">
      <c r="A31" s="38">
        <v>40064427</v>
      </c>
      <c r="B31" s="38" t="s">
        <v>334</v>
      </c>
      <c r="C31" s="38">
        <v>27</v>
      </c>
      <c r="D31" s="33"/>
    </row>
    <row r="32" spans="1:9" x14ac:dyDescent="0.25">
      <c r="A32" s="38">
        <v>40065292</v>
      </c>
      <c r="B32" s="38" t="s">
        <v>437</v>
      </c>
      <c r="C32" s="38">
        <v>300</v>
      </c>
      <c r="D32" s="33"/>
    </row>
    <row r="33" spans="1:5" x14ac:dyDescent="0.25">
      <c r="A33" s="38">
        <v>40065336</v>
      </c>
      <c r="B33" s="38" t="s">
        <v>533</v>
      </c>
      <c r="C33" s="38">
        <v>175</v>
      </c>
      <c r="D33" s="33"/>
    </row>
    <row r="34" spans="1:5" x14ac:dyDescent="0.25">
      <c r="A34" s="38">
        <v>40065352</v>
      </c>
      <c r="B34" s="38" t="s">
        <v>546</v>
      </c>
      <c r="C34" s="38">
        <v>120</v>
      </c>
      <c r="D34" s="33"/>
    </row>
    <row r="35" spans="1:5" x14ac:dyDescent="0.25">
      <c r="A35" s="38"/>
      <c r="B35" s="38"/>
      <c r="C35" s="38"/>
      <c r="D35" s="33"/>
    </row>
    <row r="36" spans="1:5" x14ac:dyDescent="0.25">
      <c r="C36" s="7"/>
    </row>
    <row r="37" spans="1:5" x14ac:dyDescent="0.25">
      <c r="A37" s="33" t="s">
        <v>60</v>
      </c>
      <c r="B37" s="39"/>
      <c r="C37" s="33">
        <f>SUM(C13:C36)</f>
        <v>3252</v>
      </c>
      <c r="D37" s="33" t="s">
        <v>61</v>
      </c>
    </row>
    <row r="38" spans="1:5" x14ac:dyDescent="0.25">
      <c r="A38" s="33" t="s">
        <v>62</v>
      </c>
      <c r="B38" s="33"/>
      <c r="C38" s="33"/>
      <c r="D38" s="33" t="s">
        <v>63</v>
      </c>
    </row>
    <row r="40" spans="1:5" x14ac:dyDescent="0.25">
      <c r="A40" s="1" t="s">
        <v>64</v>
      </c>
      <c r="B40" s="1" t="s">
        <v>65</v>
      </c>
      <c r="C40" s="1" t="s">
        <v>66</v>
      </c>
      <c r="D40" s="1" t="s">
        <v>67</v>
      </c>
      <c r="E40" s="1" t="s">
        <v>68</v>
      </c>
    </row>
    <row r="41" spans="1:5" x14ac:dyDescent="0.25">
      <c r="A41" s="1">
        <v>1</v>
      </c>
    </row>
    <row r="42" spans="1:5" x14ac:dyDescent="0.25">
      <c r="A42" s="1">
        <v>2</v>
      </c>
    </row>
    <row r="43" spans="1:5" x14ac:dyDescent="0.25">
      <c r="A43" s="1">
        <v>3</v>
      </c>
    </row>
    <row r="44" spans="1:5" x14ac:dyDescent="0.25">
      <c r="B44" s="7" t="s">
        <v>7</v>
      </c>
    </row>
  </sheetData>
  <autoFilter ref="A12:J12" xr:uid="{00000000-0001-0000-1100-000000000000}">
    <sortState xmlns:xlrd2="http://schemas.microsoft.com/office/spreadsheetml/2017/richdata2" ref="A13:J34">
      <sortCondition ref="A12"/>
    </sortState>
  </autoFilter>
  <mergeCells count="5">
    <mergeCell ref="A5:F5"/>
    <mergeCell ref="A6:F6"/>
    <mergeCell ref="A7:B7"/>
    <mergeCell ref="C7:D7"/>
    <mergeCell ref="E7:F7"/>
  </mergeCells>
  <conditionalFormatting sqref="B11">
    <cfRule type="duplicateValues" dxfId="14" priority="1"/>
  </conditionalFormatting>
  <printOptions horizontalCentered="1" verticalCentered="1"/>
  <pageMargins left="0" right="0" top="0" bottom="0" header="0" footer="0"/>
  <pageSetup scale="9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J41"/>
  <sheetViews>
    <sheetView topLeftCell="A7" zoomScaleNormal="100" workbookViewId="0">
      <selection activeCell="I18" sqref="I18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10" ht="15.75" thickBot="1" x14ac:dyDescent="0.3">
      <c r="B1" s="19"/>
      <c r="C1" s="19"/>
      <c r="D1" s="19"/>
      <c r="E1" s="19"/>
      <c r="F1" s="19"/>
      <c r="I1" s="34">
        <v>3663.84</v>
      </c>
      <c r="J1" s="34">
        <v>13435779.859999999</v>
      </c>
    </row>
    <row r="2" spans="1:10" ht="15.75" x14ac:dyDescent="0.25">
      <c r="A2" s="20"/>
      <c r="B2" s="21"/>
      <c r="C2" s="22"/>
      <c r="D2" s="23"/>
      <c r="E2" s="22"/>
      <c r="F2" s="24"/>
      <c r="G2" s="25"/>
      <c r="I2" s="34">
        <v>13946.124</v>
      </c>
      <c r="J2" s="34">
        <v>50642045.880000003</v>
      </c>
    </row>
    <row r="3" spans="1:10" ht="16.5" thickBot="1" x14ac:dyDescent="0.3">
      <c r="A3" s="20"/>
      <c r="B3" s="26"/>
      <c r="C3" s="27"/>
      <c r="D3" s="28"/>
      <c r="E3" s="28"/>
      <c r="F3" s="28"/>
    </row>
    <row r="4" spans="1:10" x14ac:dyDescent="0.25">
      <c r="B4" s="29"/>
      <c r="C4" s="29"/>
      <c r="D4" s="29"/>
      <c r="E4" s="29"/>
      <c r="F4" s="44"/>
    </row>
    <row r="5" spans="1:10" ht="15.75" x14ac:dyDescent="0.25">
      <c r="A5" s="61" t="s">
        <v>42</v>
      </c>
      <c r="B5" s="61"/>
      <c r="C5" s="61"/>
      <c r="D5" s="61"/>
      <c r="E5" s="61"/>
      <c r="F5" s="62"/>
    </row>
    <row r="6" spans="1:10" ht="15.75" x14ac:dyDescent="0.25">
      <c r="A6" s="61" t="s">
        <v>183</v>
      </c>
      <c r="B6" s="61"/>
      <c r="C6" s="61"/>
      <c r="D6" s="61"/>
      <c r="E6" s="61"/>
      <c r="F6" s="61"/>
    </row>
    <row r="7" spans="1:10" ht="23.25" x14ac:dyDescent="0.25">
      <c r="A7" s="63" t="s">
        <v>43</v>
      </c>
      <c r="B7" s="63"/>
      <c r="C7" s="64" t="s">
        <v>44</v>
      </c>
      <c r="D7" s="64"/>
      <c r="E7" s="65" t="s">
        <v>671</v>
      </c>
      <c r="F7" s="65"/>
    </row>
    <row r="8" spans="1:10" x14ac:dyDescent="0.25">
      <c r="A8" s="1" t="s">
        <v>46</v>
      </c>
      <c r="B8" s="2" t="s">
        <v>485</v>
      </c>
      <c r="C8" s="30">
        <v>808951969</v>
      </c>
      <c r="E8" s="1" t="s">
        <v>47</v>
      </c>
      <c r="F8" s="31" t="s">
        <v>472</v>
      </c>
      <c r="G8" s="32" t="s">
        <v>89</v>
      </c>
      <c r="H8" s="34" t="s">
        <v>395</v>
      </c>
      <c r="J8" s="1">
        <v>4400600894</v>
      </c>
    </row>
    <row r="9" spans="1:10" x14ac:dyDescent="0.25">
      <c r="A9" s="1" t="s">
        <v>48</v>
      </c>
      <c r="B9" s="33" t="s">
        <v>435</v>
      </c>
      <c r="C9" s="30">
        <v>808951981</v>
      </c>
      <c r="E9" s="1" t="s">
        <v>49</v>
      </c>
      <c r="G9" s="1" t="s">
        <v>90</v>
      </c>
      <c r="H9" s="34">
        <v>65000</v>
      </c>
    </row>
    <row r="10" spans="1:10" x14ac:dyDescent="0.25">
      <c r="A10" s="1" t="s">
        <v>50</v>
      </c>
      <c r="B10" s="2" t="s">
        <v>669</v>
      </c>
      <c r="E10" s="1" t="s">
        <v>51</v>
      </c>
      <c r="G10" s="1" t="s">
        <v>91</v>
      </c>
    </row>
    <row r="11" spans="1:10" x14ac:dyDescent="0.25">
      <c r="A11" s="1" t="s">
        <v>52</v>
      </c>
      <c r="B11" s="33" t="s">
        <v>670</v>
      </c>
      <c r="G11" s="1" t="s">
        <v>681</v>
      </c>
      <c r="I11" s="34"/>
    </row>
    <row r="12" spans="1:10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</row>
    <row r="13" spans="1:10" x14ac:dyDescent="0.25">
      <c r="A13" s="38">
        <v>40060030</v>
      </c>
      <c r="B13" s="38" t="s">
        <v>462</v>
      </c>
      <c r="C13" s="38">
        <v>200</v>
      </c>
      <c r="E13" s="33"/>
    </row>
    <row r="14" spans="1:10" x14ac:dyDescent="0.25">
      <c r="A14" s="38">
        <v>40062265</v>
      </c>
      <c r="B14" s="38" t="s">
        <v>443</v>
      </c>
      <c r="C14" s="38">
        <v>139</v>
      </c>
      <c r="D14" s="33"/>
    </row>
    <row r="15" spans="1:10" x14ac:dyDescent="0.25">
      <c r="A15" s="38">
        <v>40060029</v>
      </c>
      <c r="B15" s="38" t="s">
        <v>508</v>
      </c>
      <c r="C15" s="38">
        <v>247</v>
      </c>
      <c r="E15" s="33"/>
      <c r="H15" s="34"/>
    </row>
    <row r="16" spans="1:10" x14ac:dyDescent="0.25">
      <c r="A16" s="38">
        <v>40060034</v>
      </c>
      <c r="B16" s="38" t="s">
        <v>463</v>
      </c>
      <c r="C16" s="38">
        <v>10</v>
      </c>
    </row>
    <row r="17" spans="1:9" x14ac:dyDescent="0.25">
      <c r="A17" s="38">
        <v>40060449</v>
      </c>
      <c r="B17" s="38" t="s">
        <v>537</v>
      </c>
      <c r="C17" s="38">
        <v>50</v>
      </c>
      <c r="D17" s="33"/>
    </row>
    <row r="18" spans="1:9" x14ac:dyDescent="0.25">
      <c r="A18" s="38">
        <v>40060450</v>
      </c>
      <c r="B18" s="38" t="s">
        <v>572</v>
      </c>
      <c r="C18" s="38">
        <v>50</v>
      </c>
      <c r="D18" s="33"/>
      <c r="I18" s="1">
        <v>1006210377</v>
      </c>
    </row>
    <row r="19" spans="1:9" x14ac:dyDescent="0.25">
      <c r="A19" s="38">
        <v>40060535</v>
      </c>
      <c r="B19" s="38" t="s">
        <v>221</v>
      </c>
      <c r="C19" s="38">
        <v>2</v>
      </c>
      <c r="D19" s="33"/>
      <c r="I19" s="1">
        <v>5128549</v>
      </c>
    </row>
    <row r="20" spans="1:9" x14ac:dyDescent="0.25">
      <c r="A20" s="38">
        <v>40065292</v>
      </c>
      <c r="B20" s="38" t="s">
        <v>437</v>
      </c>
      <c r="C20" s="38">
        <v>300</v>
      </c>
      <c r="D20" s="33"/>
      <c r="I20" s="1">
        <v>5128548</v>
      </c>
    </row>
    <row r="21" spans="1:9" x14ac:dyDescent="0.25">
      <c r="A21" s="38">
        <v>40063483</v>
      </c>
      <c r="B21" s="38" t="s">
        <v>300</v>
      </c>
      <c r="C21" s="38">
        <v>100</v>
      </c>
      <c r="D21" s="33"/>
      <c r="I21" s="1">
        <v>1006210376</v>
      </c>
    </row>
    <row r="22" spans="1:9" x14ac:dyDescent="0.25">
      <c r="A22" s="38">
        <v>40064907</v>
      </c>
      <c r="B22" s="38" t="s">
        <v>302</v>
      </c>
      <c r="C22" s="38">
        <v>25</v>
      </c>
      <c r="D22" s="33"/>
    </row>
    <row r="23" spans="1:9" x14ac:dyDescent="0.25">
      <c r="A23" s="38">
        <v>40062523</v>
      </c>
      <c r="B23" s="38" t="s">
        <v>319</v>
      </c>
      <c r="C23" s="38">
        <v>100</v>
      </c>
      <c r="D23" s="33"/>
    </row>
    <row r="24" spans="1:9" x14ac:dyDescent="0.25">
      <c r="A24" s="38">
        <v>40064695</v>
      </c>
      <c r="B24" s="38" t="s">
        <v>585</v>
      </c>
      <c r="C24" s="38">
        <v>40</v>
      </c>
      <c r="D24" s="33"/>
    </row>
    <row r="25" spans="1:9" x14ac:dyDescent="0.25">
      <c r="A25" s="38">
        <v>40059654</v>
      </c>
      <c r="B25" s="38" t="s">
        <v>343</v>
      </c>
      <c r="C25" s="38">
        <v>100</v>
      </c>
      <c r="E25" s="33"/>
      <c r="G25" s="34"/>
      <c r="H25" s="34"/>
    </row>
    <row r="26" spans="1:9" x14ac:dyDescent="0.25">
      <c r="A26" s="38">
        <v>40061999</v>
      </c>
      <c r="B26" s="38" t="s">
        <v>316</v>
      </c>
      <c r="C26" s="38">
        <v>130</v>
      </c>
      <c r="D26" s="33"/>
    </row>
    <row r="27" spans="1:9" x14ac:dyDescent="0.25">
      <c r="A27" s="38">
        <v>40063967</v>
      </c>
      <c r="B27" s="38" t="s">
        <v>239</v>
      </c>
      <c r="C27" s="38">
        <v>150</v>
      </c>
      <c r="D27" s="33"/>
    </row>
    <row r="28" spans="1:9" x14ac:dyDescent="0.25">
      <c r="A28" s="38">
        <v>40064088</v>
      </c>
      <c r="B28" s="38" t="s">
        <v>258</v>
      </c>
      <c r="C28" s="38">
        <v>200</v>
      </c>
      <c r="D28" s="33"/>
    </row>
    <row r="29" spans="1:9" x14ac:dyDescent="0.25">
      <c r="A29" s="38">
        <v>40049949</v>
      </c>
      <c r="B29" s="38" t="s">
        <v>354</v>
      </c>
      <c r="C29" s="38">
        <v>120</v>
      </c>
      <c r="E29" s="33"/>
      <c r="F29" s="33"/>
      <c r="H29" s="34"/>
    </row>
    <row r="30" spans="1:9" x14ac:dyDescent="0.25">
      <c r="A30" s="38">
        <v>40063685</v>
      </c>
      <c r="B30" s="38" t="s">
        <v>236</v>
      </c>
      <c r="C30" s="38">
        <v>49</v>
      </c>
      <c r="D30" s="33"/>
    </row>
    <row r="31" spans="1:9" x14ac:dyDescent="0.25">
      <c r="A31" s="38">
        <v>40063686</v>
      </c>
      <c r="B31" s="38" t="s">
        <v>349</v>
      </c>
      <c r="C31" s="38">
        <v>64</v>
      </c>
      <c r="D31" s="33"/>
    </row>
    <row r="32" spans="1:9" x14ac:dyDescent="0.25">
      <c r="A32" s="38">
        <v>40064535</v>
      </c>
      <c r="B32" s="38" t="s">
        <v>450</v>
      </c>
      <c r="C32" s="38">
        <v>150</v>
      </c>
      <c r="D32" s="33"/>
    </row>
    <row r="33" spans="1:5" x14ac:dyDescent="0.25">
      <c r="C33" s="7"/>
    </row>
    <row r="34" spans="1:5" x14ac:dyDescent="0.25">
      <c r="A34" s="33" t="s">
        <v>60</v>
      </c>
      <c r="B34" s="39"/>
      <c r="C34" s="33">
        <f>SUM(C13:C33)</f>
        <v>2226</v>
      </c>
      <c r="D34" s="33" t="s">
        <v>61</v>
      </c>
    </row>
    <row r="35" spans="1:5" x14ac:dyDescent="0.25">
      <c r="A35" s="33" t="s">
        <v>62</v>
      </c>
      <c r="B35" s="33"/>
      <c r="C35" s="33"/>
      <c r="D35" s="33" t="s">
        <v>63</v>
      </c>
    </row>
    <row r="37" spans="1:5" x14ac:dyDescent="0.25">
      <c r="A37" s="1" t="s">
        <v>64</v>
      </c>
      <c r="B37" s="1" t="s">
        <v>65</v>
      </c>
      <c r="C37" s="1" t="s">
        <v>66</v>
      </c>
      <c r="D37" s="1" t="s">
        <v>67</v>
      </c>
      <c r="E37" s="1" t="s">
        <v>68</v>
      </c>
    </row>
    <row r="38" spans="1:5" x14ac:dyDescent="0.25">
      <c r="A38" s="1">
        <v>1</v>
      </c>
    </row>
    <row r="39" spans="1:5" x14ac:dyDescent="0.25">
      <c r="A39" s="1">
        <v>2</v>
      </c>
    </row>
    <row r="40" spans="1:5" x14ac:dyDescent="0.25">
      <c r="A40" s="1">
        <v>3</v>
      </c>
    </row>
    <row r="41" spans="1:5" x14ac:dyDescent="0.25">
      <c r="B41" s="7" t="s">
        <v>7</v>
      </c>
    </row>
  </sheetData>
  <autoFilter ref="A12:J12" xr:uid="{00000000-0001-0000-1200-000000000000}">
    <sortState xmlns:xlrd2="http://schemas.microsoft.com/office/spreadsheetml/2017/richdata2" ref="A13:J32">
      <sortCondition ref="B12"/>
    </sortState>
  </autoFilter>
  <mergeCells count="5">
    <mergeCell ref="A5:F5"/>
    <mergeCell ref="A6:F6"/>
    <mergeCell ref="A7:B7"/>
    <mergeCell ref="C7:D7"/>
    <mergeCell ref="E7:F7"/>
  </mergeCells>
  <conditionalFormatting sqref="B11">
    <cfRule type="duplicateValues" dxfId="13" priority="1"/>
  </conditionalFormatting>
  <printOptions horizontalCentered="1" verticalCentered="1"/>
  <pageMargins left="0" right="0" top="0" bottom="0" header="0" footer="0"/>
  <pageSetup scale="9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 filterMode="1"/>
  <dimension ref="A1:J69"/>
  <sheetViews>
    <sheetView topLeftCell="A5" workbookViewId="0">
      <selection activeCell="I21" sqref="I21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10" ht="15.75" thickBot="1" x14ac:dyDescent="0.3">
      <c r="B1" s="19"/>
      <c r="C1" s="19"/>
      <c r="D1" s="19"/>
      <c r="E1" s="19"/>
      <c r="F1" s="19"/>
      <c r="I1" s="34">
        <v>7568.6239999999998</v>
      </c>
      <c r="J1" s="34">
        <v>30624223.420000002</v>
      </c>
    </row>
    <row r="2" spans="1:10" ht="15.75" x14ac:dyDescent="0.25">
      <c r="A2" s="20"/>
      <c r="B2" s="21"/>
      <c r="C2" s="22"/>
      <c r="D2" s="23"/>
      <c r="E2" s="22"/>
      <c r="F2" s="24"/>
      <c r="G2" s="25"/>
      <c r="I2" s="1">
        <v>432.48</v>
      </c>
      <c r="J2" s="32">
        <v>2832696</v>
      </c>
    </row>
    <row r="3" spans="1:10" ht="16.5" thickBot="1" x14ac:dyDescent="0.3">
      <c r="A3" s="20"/>
      <c r="B3" s="26"/>
      <c r="C3" s="27"/>
      <c r="D3" s="28"/>
      <c r="E3" s="28"/>
      <c r="F3" s="28"/>
      <c r="I3" s="34">
        <v>2267.85</v>
      </c>
      <c r="J3" s="34">
        <v>14092617.25</v>
      </c>
    </row>
    <row r="4" spans="1:10" x14ac:dyDescent="0.25">
      <c r="B4" s="29"/>
      <c r="C4" s="29"/>
      <c r="D4" s="29"/>
      <c r="E4" s="29"/>
      <c r="F4" s="44"/>
      <c r="I4" s="34">
        <v>4807.92</v>
      </c>
      <c r="J4" s="34">
        <v>12538145.5</v>
      </c>
    </row>
    <row r="5" spans="1:10" ht="15.75" x14ac:dyDescent="0.25">
      <c r="A5" s="61" t="s">
        <v>42</v>
      </c>
      <c r="B5" s="61"/>
      <c r="C5" s="61"/>
      <c r="D5" s="61"/>
      <c r="E5" s="61"/>
      <c r="F5" s="62"/>
    </row>
    <row r="6" spans="1:10" ht="15.75" x14ac:dyDescent="0.25">
      <c r="A6" s="61" t="s">
        <v>183</v>
      </c>
      <c r="B6" s="61"/>
      <c r="C6" s="61"/>
      <c r="D6" s="61"/>
      <c r="E6" s="61"/>
      <c r="F6" s="61"/>
    </row>
    <row r="7" spans="1:10" ht="23.25" x14ac:dyDescent="0.25">
      <c r="A7" s="63" t="s">
        <v>43</v>
      </c>
      <c r="B7" s="63"/>
      <c r="C7" s="64" t="s">
        <v>44</v>
      </c>
      <c r="D7" s="64"/>
      <c r="E7" s="65" t="s">
        <v>680</v>
      </c>
      <c r="F7" s="65"/>
    </row>
    <row r="8" spans="1:10" x14ac:dyDescent="0.25">
      <c r="A8" s="1" t="s">
        <v>46</v>
      </c>
      <c r="B8" s="2" t="s">
        <v>396</v>
      </c>
      <c r="C8" s="30">
        <v>808952011</v>
      </c>
      <c r="E8" s="1" t="s">
        <v>47</v>
      </c>
      <c r="F8" s="31" t="s">
        <v>472</v>
      </c>
      <c r="G8" s="32" t="s">
        <v>89</v>
      </c>
      <c r="H8" s="34" t="s">
        <v>433</v>
      </c>
      <c r="J8" s="1">
        <v>4400600895</v>
      </c>
    </row>
    <row r="9" spans="1:10" x14ac:dyDescent="0.25">
      <c r="A9" s="1" t="s">
        <v>48</v>
      </c>
      <c r="B9" s="33" t="s">
        <v>461</v>
      </c>
      <c r="C9" s="30">
        <v>808952025</v>
      </c>
      <c r="E9" s="1" t="s">
        <v>49</v>
      </c>
      <c r="G9" s="1" t="s">
        <v>90</v>
      </c>
      <c r="H9" s="34">
        <v>60000</v>
      </c>
    </row>
    <row r="10" spans="1:10" x14ac:dyDescent="0.25">
      <c r="A10" s="1" t="s">
        <v>50</v>
      </c>
      <c r="B10" s="2" t="s">
        <v>672</v>
      </c>
      <c r="C10" s="1">
        <v>808952085</v>
      </c>
      <c r="E10" s="1" t="s">
        <v>51</v>
      </c>
      <c r="G10" s="1" t="s">
        <v>91</v>
      </c>
    </row>
    <row r="11" spans="1:10" x14ac:dyDescent="0.25">
      <c r="A11" s="1" t="s">
        <v>52</v>
      </c>
      <c r="B11" s="33" t="s">
        <v>673</v>
      </c>
      <c r="G11" s="1" t="s">
        <v>415</v>
      </c>
      <c r="I11" s="34"/>
    </row>
    <row r="12" spans="1:10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</row>
    <row r="13" spans="1:10" x14ac:dyDescent="0.25">
      <c r="A13" s="38">
        <v>40038891</v>
      </c>
      <c r="B13" s="38" t="s">
        <v>502</v>
      </c>
      <c r="C13" s="38">
        <v>1</v>
      </c>
      <c r="E13" s="38">
        <v>1</v>
      </c>
    </row>
    <row r="14" spans="1:10" x14ac:dyDescent="0.25">
      <c r="A14" s="38">
        <v>40041315</v>
      </c>
      <c r="B14" s="38" t="s">
        <v>440</v>
      </c>
      <c r="C14" s="38">
        <v>18</v>
      </c>
      <c r="D14" s="33"/>
      <c r="E14" s="38">
        <v>18</v>
      </c>
      <c r="H14" s="34"/>
    </row>
    <row r="15" spans="1:10" x14ac:dyDescent="0.25">
      <c r="A15" s="38">
        <v>40041820</v>
      </c>
      <c r="B15" s="38" t="s">
        <v>525</v>
      </c>
      <c r="C15" s="38">
        <v>1</v>
      </c>
      <c r="D15" s="33"/>
      <c r="E15" s="38">
        <v>1</v>
      </c>
    </row>
    <row r="16" spans="1:10" x14ac:dyDescent="0.25">
      <c r="A16" s="38">
        <v>40042746</v>
      </c>
      <c r="B16" s="38" t="s">
        <v>455</v>
      </c>
      <c r="C16" s="38">
        <v>5</v>
      </c>
      <c r="D16" s="33"/>
      <c r="E16" s="38">
        <v>5</v>
      </c>
      <c r="I16" s="1">
        <v>808952971</v>
      </c>
    </row>
    <row r="17" spans="1:9" x14ac:dyDescent="0.25">
      <c r="A17" s="38">
        <v>40049729</v>
      </c>
      <c r="B17" s="38" t="s">
        <v>606</v>
      </c>
      <c r="C17" s="38">
        <v>65</v>
      </c>
      <c r="D17" s="33"/>
      <c r="E17" s="38">
        <v>65</v>
      </c>
      <c r="I17" s="1">
        <v>808952972</v>
      </c>
    </row>
    <row r="18" spans="1:9" x14ac:dyDescent="0.25">
      <c r="A18" s="38">
        <v>40050728</v>
      </c>
      <c r="B18" s="38" t="s">
        <v>214</v>
      </c>
      <c r="C18" s="38">
        <v>30</v>
      </c>
      <c r="D18" s="33"/>
      <c r="E18" s="38">
        <v>30</v>
      </c>
      <c r="F18" s="33"/>
      <c r="H18" s="34"/>
    </row>
    <row r="19" spans="1:9" x14ac:dyDescent="0.25">
      <c r="A19" s="38">
        <v>40059678</v>
      </c>
      <c r="B19" s="38" t="s">
        <v>449</v>
      </c>
      <c r="C19" s="38">
        <v>40</v>
      </c>
      <c r="D19" s="1" t="s">
        <v>79</v>
      </c>
      <c r="E19" s="38">
        <v>40</v>
      </c>
    </row>
    <row r="20" spans="1:9" x14ac:dyDescent="0.25">
      <c r="A20" s="38">
        <v>40060034</v>
      </c>
      <c r="B20" s="38" t="s">
        <v>463</v>
      </c>
      <c r="C20" s="38">
        <v>70</v>
      </c>
      <c r="D20" s="33"/>
      <c r="E20" s="38">
        <v>70</v>
      </c>
      <c r="G20" s="34"/>
      <c r="H20" s="34"/>
    </row>
    <row r="21" spans="1:9" x14ac:dyDescent="0.25">
      <c r="A21" s="38">
        <v>40060535</v>
      </c>
      <c r="B21" s="38" t="s">
        <v>221</v>
      </c>
      <c r="C21" s="38">
        <v>7</v>
      </c>
      <c r="D21" s="33"/>
      <c r="E21" s="38">
        <v>7</v>
      </c>
      <c r="I21" s="1">
        <v>7000640968</v>
      </c>
    </row>
    <row r="22" spans="1:9" x14ac:dyDescent="0.25">
      <c r="A22" s="40">
        <v>40060848</v>
      </c>
      <c r="B22" s="40" t="s">
        <v>548</v>
      </c>
      <c r="C22" s="38">
        <v>80</v>
      </c>
      <c r="D22" s="33" t="s">
        <v>269</v>
      </c>
      <c r="E22" s="38">
        <v>80</v>
      </c>
    </row>
    <row r="23" spans="1:9" x14ac:dyDescent="0.25">
      <c r="A23" s="38">
        <v>40062018</v>
      </c>
      <c r="B23" s="38" t="s">
        <v>272</v>
      </c>
      <c r="C23" s="38">
        <v>6</v>
      </c>
      <c r="D23" s="33"/>
      <c r="E23" s="38">
        <v>6</v>
      </c>
    </row>
    <row r="24" spans="1:9" x14ac:dyDescent="0.25">
      <c r="A24" s="40">
        <v>40062023</v>
      </c>
      <c r="B24" s="40" t="s">
        <v>278</v>
      </c>
      <c r="C24" s="66">
        <v>150</v>
      </c>
      <c r="D24" s="33"/>
      <c r="E24" s="66">
        <v>150</v>
      </c>
    </row>
    <row r="25" spans="1:9" hidden="1" x14ac:dyDescent="0.25">
      <c r="A25" s="38">
        <v>40063421</v>
      </c>
      <c r="B25" s="38" t="s">
        <v>351</v>
      </c>
      <c r="C25" s="38">
        <v>100</v>
      </c>
      <c r="D25" s="1" t="s">
        <v>79</v>
      </c>
      <c r="E25" s="38">
        <v>0</v>
      </c>
    </row>
    <row r="26" spans="1:9" x14ac:dyDescent="0.25">
      <c r="A26" s="38">
        <v>40063016</v>
      </c>
      <c r="B26" s="38" t="s">
        <v>230</v>
      </c>
      <c r="C26" s="38">
        <v>4</v>
      </c>
      <c r="D26" s="33"/>
      <c r="E26" s="38">
        <v>4</v>
      </c>
    </row>
    <row r="27" spans="1:9" x14ac:dyDescent="0.25">
      <c r="A27" s="38">
        <v>40063018</v>
      </c>
      <c r="B27" s="38" t="s">
        <v>511</v>
      </c>
      <c r="C27" s="38">
        <v>50</v>
      </c>
      <c r="D27" s="33"/>
      <c r="E27" s="38">
        <v>50</v>
      </c>
    </row>
    <row r="28" spans="1:9" x14ac:dyDescent="0.25">
      <c r="A28" s="38">
        <v>40063020</v>
      </c>
      <c r="B28" s="38" t="s">
        <v>264</v>
      </c>
      <c r="C28" s="38">
        <v>75</v>
      </c>
      <c r="D28" s="33"/>
      <c r="E28" s="38">
        <v>75</v>
      </c>
    </row>
    <row r="29" spans="1:9" x14ac:dyDescent="0.25">
      <c r="A29" s="38">
        <v>40063021</v>
      </c>
      <c r="B29" s="38" t="s">
        <v>266</v>
      </c>
      <c r="C29" s="38">
        <v>100</v>
      </c>
      <c r="D29" s="33"/>
      <c r="E29" s="38">
        <v>100</v>
      </c>
    </row>
    <row r="30" spans="1:9" hidden="1" x14ac:dyDescent="0.25">
      <c r="A30" s="38">
        <v>40064886</v>
      </c>
      <c r="B30" s="38" t="s">
        <v>298</v>
      </c>
      <c r="C30" s="38">
        <v>286</v>
      </c>
      <c r="D30" s="1" t="s">
        <v>79</v>
      </c>
      <c r="E30" s="38">
        <v>0</v>
      </c>
    </row>
    <row r="31" spans="1:9" hidden="1" x14ac:dyDescent="0.25">
      <c r="A31" s="38">
        <v>40064886</v>
      </c>
      <c r="B31" s="38" t="s">
        <v>298</v>
      </c>
      <c r="C31" s="38">
        <v>29</v>
      </c>
      <c r="E31" s="38">
        <v>0</v>
      </c>
    </row>
    <row r="32" spans="1:9" x14ac:dyDescent="0.25">
      <c r="A32" s="38">
        <v>40063025</v>
      </c>
      <c r="B32" s="38" t="s">
        <v>263</v>
      </c>
      <c r="C32" s="38">
        <v>100</v>
      </c>
      <c r="D32" s="33"/>
      <c r="E32" s="38">
        <v>100</v>
      </c>
    </row>
    <row r="33" spans="1:6" x14ac:dyDescent="0.25">
      <c r="A33" s="38">
        <v>40063045</v>
      </c>
      <c r="B33" s="38" t="s">
        <v>523</v>
      </c>
      <c r="C33" s="38">
        <v>77</v>
      </c>
      <c r="D33" s="33"/>
      <c r="E33" s="38">
        <v>77</v>
      </c>
    </row>
    <row r="34" spans="1:6" x14ac:dyDescent="0.25">
      <c r="A34" s="38">
        <v>40063483</v>
      </c>
      <c r="B34" s="38" t="s">
        <v>300</v>
      </c>
      <c r="C34" s="38">
        <v>156</v>
      </c>
      <c r="D34" s="33"/>
      <c r="E34" s="38">
        <v>156</v>
      </c>
    </row>
    <row r="35" spans="1:6" x14ac:dyDescent="0.25">
      <c r="A35" s="38">
        <v>40063491</v>
      </c>
      <c r="B35" s="38" t="s">
        <v>304</v>
      </c>
      <c r="C35" s="38">
        <v>7</v>
      </c>
      <c r="D35" s="33"/>
      <c r="E35" s="38">
        <v>7</v>
      </c>
    </row>
    <row r="36" spans="1:6" x14ac:dyDescent="0.25">
      <c r="A36" s="38">
        <v>40063500</v>
      </c>
      <c r="B36" s="38" t="s">
        <v>522</v>
      </c>
      <c r="C36" s="38">
        <v>7</v>
      </c>
      <c r="D36" s="33"/>
      <c r="E36" s="38">
        <v>7</v>
      </c>
    </row>
    <row r="37" spans="1:6" x14ac:dyDescent="0.25">
      <c r="A37" s="38">
        <v>40063685</v>
      </c>
      <c r="B37" s="38" t="s">
        <v>236</v>
      </c>
      <c r="C37" s="38">
        <v>20</v>
      </c>
      <c r="D37" s="33"/>
      <c r="E37" s="38">
        <v>20</v>
      </c>
    </row>
    <row r="38" spans="1:6" x14ac:dyDescent="0.25">
      <c r="A38" s="38">
        <v>40063686</v>
      </c>
      <c r="B38" s="38" t="s">
        <v>349</v>
      </c>
      <c r="C38" s="38">
        <v>80</v>
      </c>
      <c r="D38" s="33"/>
      <c r="E38" s="38">
        <v>80</v>
      </c>
    </row>
    <row r="39" spans="1:6" x14ac:dyDescent="0.25">
      <c r="A39" s="40">
        <v>40063688</v>
      </c>
      <c r="B39" s="40" t="s">
        <v>243</v>
      </c>
      <c r="C39" s="66">
        <v>122</v>
      </c>
      <c r="D39" s="33"/>
      <c r="E39" s="66">
        <v>122</v>
      </c>
      <c r="F39" s="1">
        <f>122-57</f>
        <v>65</v>
      </c>
    </row>
    <row r="40" spans="1:6" x14ac:dyDescent="0.25">
      <c r="A40" s="38">
        <v>40063699</v>
      </c>
      <c r="B40" s="38" t="s">
        <v>515</v>
      </c>
      <c r="C40" s="38">
        <v>116</v>
      </c>
      <c r="D40" s="33"/>
      <c r="E40" s="38">
        <v>116</v>
      </c>
    </row>
    <row r="41" spans="1:6" x14ac:dyDescent="0.25">
      <c r="A41" s="38">
        <v>40063700</v>
      </c>
      <c r="B41" s="38" t="s">
        <v>237</v>
      </c>
      <c r="C41" s="38">
        <v>44</v>
      </c>
      <c r="D41" s="33"/>
      <c r="E41" s="38">
        <v>44</v>
      </c>
    </row>
    <row r="42" spans="1:6" x14ac:dyDescent="0.25">
      <c r="A42" s="38">
        <v>40063747</v>
      </c>
      <c r="B42" s="38" t="s">
        <v>246</v>
      </c>
      <c r="C42" s="38">
        <v>35</v>
      </c>
      <c r="D42" s="33"/>
      <c r="E42" s="38">
        <v>35</v>
      </c>
    </row>
    <row r="43" spans="1:6" x14ac:dyDescent="0.25">
      <c r="A43" s="38">
        <v>40063753</v>
      </c>
      <c r="B43" s="38" t="s">
        <v>513</v>
      </c>
      <c r="C43" s="38">
        <v>35</v>
      </c>
      <c r="D43" s="33"/>
      <c r="E43" s="38">
        <v>35</v>
      </c>
    </row>
    <row r="44" spans="1:6" x14ac:dyDescent="0.25">
      <c r="A44" s="40">
        <v>40063810</v>
      </c>
      <c r="B44" s="40" t="s">
        <v>496</v>
      </c>
      <c r="C44" s="66">
        <v>28</v>
      </c>
      <c r="D44" s="33"/>
      <c r="E44" s="66">
        <v>28</v>
      </c>
    </row>
    <row r="45" spans="1:6" x14ac:dyDescent="0.25">
      <c r="A45" s="38">
        <v>40064105</v>
      </c>
      <c r="B45" s="38" t="s">
        <v>545</v>
      </c>
      <c r="C45" s="38">
        <v>8</v>
      </c>
      <c r="D45" s="33"/>
      <c r="E45" s="38">
        <v>8</v>
      </c>
    </row>
    <row r="46" spans="1:6" x14ac:dyDescent="0.25">
      <c r="A46" s="38">
        <v>40064518</v>
      </c>
      <c r="B46" s="38" t="s">
        <v>613</v>
      </c>
      <c r="C46" s="38">
        <v>1</v>
      </c>
      <c r="D46" s="33"/>
      <c r="E46" s="38">
        <v>1</v>
      </c>
    </row>
    <row r="47" spans="1:6" x14ac:dyDescent="0.25">
      <c r="A47" s="38">
        <v>40064685</v>
      </c>
      <c r="B47" s="38" t="s">
        <v>301</v>
      </c>
      <c r="C47" s="38">
        <v>5</v>
      </c>
      <c r="D47" s="33"/>
      <c r="E47" s="38">
        <v>5</v>
      </c>
    </row>
    <row r="48" spans="1:6" x14ac:dyDescent="0.25">
      <c r="A48" s="40">
        <v>40064688</v>
      </c>
      <c r="B48" s="40" t="s">
        <v>521</v>
      </c>
      <c r="C48" s="66">
        <v>130</v>
      </c>
      <c r="D48" s="33"/>
      <c r="E48" s="66">
        <v>130</v>
      </c>
    </row>
    <row r="49" spans="1:10" x14ac:dyDescent="0.25">
      <c r="A49" s="38">
        <v>40064876</v>
      </c>
      <c r="B49" s="38" t="s">
        <v>326</v>
      </c>
      <c r="C49" s="38">
        <v>9</v>
      </c>
      <c r="D49" s="33"/>
      <c r="E49" s="38">
        <v>9</v>
      </c>
    </row>
    <row r="50" spans="1:10" x14ac:dyDescent="0.25">
      <c r="A50" s="38">
        <v>40064999</v>
      </c>
      <c r="B50" s="38" t="s">
        <v>436</v>
      </c>
      <c r="C50" s="38">
        <v>5</v>
      </c>
      <c r="D50" s="33"/>
      <c r="E50" s="38">
        <v>5</v>
      </c>
    </row>
    <row r="51" spans="1:10" x14ac:dyDescent="0.25">
      <c r="A51" s="38">
        <v>40065000</v>
      </c>
      <c r="B51" s="38" t="s">
        <v>519</v>
      </c>
      <c r="C51" s="38">
        <v>53</v>
      </c>
      <c r="D51" s="33"/>
      <c r="E51" s="38">
        <v>53</v>
      </c>
    </row>
    <row r="52" spans="1:10" x14ac:dyDescent="0.25">
      <c r="A52" s="38">
        <v>40065278</v>
      </c>
      <c r="B52" s="38" t="s">
        <v>559</v>
      </c>
      <c r="C52" s="38">
        <v>40</v>
      </c>
      <c r="D52" s="33"/>
      <c r="E52" s="38">
        <v>40</v>
      </c>
      <c r="J52" s="1">
        <v>808952947</v>
      </c>
    </row>
    <row r="53" spans="1:10" x14ac:dyDescent="0.25">
      <c r="C53" s="7"/>
    </row>
    <row r="54" spans="1:10" x14ac:dyDescent="0.25">
      <c r="A54" s="33" t="s">
        <v>60</v>
      </c>
      <c r="B54" s="39"/>
      <c r="C54" s="33">
        <f>SUM(C13:C53)</f>
        <v>2195</v>
      </c>
      <c r="D54" s="33" t="s">
        <v>61</v>
      </c>
      <c r="E54" s="1">
        <f>SUM(E13:E53)</f>
        <v>1780</v>
      </c>
    </row>
    <row r="55" spans="1:10" x14ac:dyDescent="0.25">
      <c r="A55" s="33" t="s">
        <v>62</v>
      </c>
      <c r="B55" s="33"/>
      <c r="C55" s="33"/>
      <c r="D55" s="33" t="s">
        <v>63</v>
      </c>
    </row>
    <row r="57" spans="1:10" x14ac:dyDescent="0.25">
      <c r="A57" s="1" t="s">
        <v>64</v>
      </c>
      <c r="B57" s="1" t="s">
        <v>65</v>
      </c>
      <c r="C57" s="1" t="s">
        <v>66</v>
      </c>
      <c r="D57" s="1" t="s">
        <v>67</v>
      </c>
      <c r="E57" s="1" t="s">
        <v>68</v>
      </c>
    </row>
    <row r="58" spans="1:10" x14ac:dyDescent="0.25">
      <c r="A58" s="1">
        <v>1</v>
      </c>
    </row>
    <row r="59" spans="1:10" x14ac:dyDescent="0.25">
      <c r="A59" s="1">
        <v>2</v>
      </c>
    </row>
    <row r="60" spans="1:10" x14ac:dyDescent="0.25">
      <c r="A60" s="1">
        <v>3</v>
      </c>
    </row>
    <row r="61" spans="1:10" x14ac:dyDescent="0.25">
      <c r="B61" s="7" t="s">
        <v>7</v>
      </c>
    </row>
    <row r="64" spans="1:10" x14ac:dyDescent="0.25">
      <c r="A64" s="40">
        <v>40062023</v>
      </c>
      <c r="B64" s="40" t="s">
        <v>278</v>
      </c>
      <c r="C64" s="66">
        <v>150</v>
      </c>
    </row>
    <row r="65" spans="1:3" x14ac:dyDescent="0.25">
      <c r="A65" s="40">
        <v>40063688</v>
      </c>
      <c r="B65" s="40" t="s">
        <v>243</v>
      </c>
      <c r="C65" s="66">
        <v>122</v>
      </c>
    </row>
    <row r="66" spans="1:3" x14ac:dyDescent="0.25">
      <c r="A66" s="40">
        <v>40063810</v>
      </c>
      <c r="B66" s="40" t="s">
        <v>496</v>
      </c>
      <c r="C66" s="66">
        <v>28</v>
      </c>
    </row>
    <row r="67" spans="1:3" x14ac:dyDescent="0.25">
      <c r="A67" s="40">
        <v>40064688</v>
      </c>
      <c r="B67" s="40" t="s">
        <v>521</v>
      </c>
      <c r="C67" s="66">
        <v>130</v>
      </c>
    </row>
    <row r="69" spans="1:3" x14ac:dyDescent="0.25">
      <c r="C69" s="1">
        <f>SUM(C64:C68)</f>
        <v>430</v>
      </c>
    </row>
  </sheetData>
  <autoFilter ref="A12:J52" xr:uid="{00000000-0001-0000-1300-000000000000}">
    <filterColumn colId="4">
      <filters>
        <filter val="1"/>
        <filter val="100"/>
        <filter val="116"/>
        <filter val="122"/>
        <filter val="130"/>
        <filter val="150"/>
        <filter val="156"/>
        <filter val="18"/>
        <filter val="20"/>
        <filter val="28"/>
        <filter val="30"/>
        <filter val="35"/>
        <filter val="4"/>
        <filter val="40"/>
        <filter val="44"/>
        <filter val="5"/>
        <filter val="50"/>
        <filter val="53"/>
        <filter val="6"/>
        <filter val="65"/>
        <filter val="7"/>
        <filter val="70"/>
        <filter val="75"/>
        <filter val="77"/>
        <filter val="8"/>
        <filter val="80"/>
        <filter val="9"/>
      </filters>
    </filterColumn>
    <sortState xmlns:xlrd2="http://schemas.microsoft.com/office/spreadsheetml/2017/richdata2" ref="A13:J52">
      <sortCondition ref="A12:A52"/>
    </sortState>
  </autoFilter>
  <sortState xmlns:xlrd2="http://schemas.microsoft.com/office/spreadsheetml/2017/richdata2" ref="A13:D48">
    <sortCondition ref="B13:B48"/>
  </sortState>
  <mergeCells count="5">
    <mergeCell ref="A5:F5"/>
    <mergeCell ref="A6:F6"/>
    <mergeCell ref="A7:B7"/>
    <mergeCell ref="C7:D7"/>
    <mergeCell ref="E7:F7"/>
  </mergeCells>
  <conditionalFormatting sqref="B11">
    <cfRule type="duplicateValues" dxfId="12" priority="1"/>
  </conditionalFormatting>
  <printOptions horizontalCentered="1" verticalCentered="1"/>
  <pageMargins left="0" right="0" top="0" bottom="0" header="0" footer="0"/>
  <pageSetup scale="9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J127"/>
  <sheetViews>
    <sheetView workbookViewId="0">
      <selection activeCell="J10" sqref="J10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10" ht="15.75" thickBot="1" x14ac:dyDescent="0.3">
      <c r="B1" s="19"/>
      <c r="C1" s="19"/>
      <c r="D1" s="19"/>
      <c r="E1" s="19"/>
      <c r="F1" s="19"/>
    </row>
    <row r="2" spans="1:10" ht="15.75" x14ac:dyDescent="0.25">
      <c r="A2" s="20"/>
      <c r="B2" s="21"/>
      <c r="C2" s="22"/>
      <c r="D2" s="23"/>
      <c r="E2" s="22"/>
      <c r="F2" s="24"/>
      <c r="G2" s="25"/>
    </row>
    <row r="3" spans="1:10" ht="16.5" thickBot="1" x14ac:dyDescent="0.3">
      <c r="A3" s="20"/>
      <c r="B3" s="26"/>
      <c r="C3" s="27"/>
      <c r="D3" s="28"/>
      <c r="E3" s="28"/>
      <c r="F3" s="28"/>
    </row>
    <row r="4" spans="1:10" x14ac:dyDescent="0.25">
      <c r="B4" s="29"/>
      <c r="C4" s="29"/>
      <c r="D4" s="29"/>
      <c r="E4" s="29"/>
      <c r="F4" s="44"/>
    </row>
    <row r="5" spans="1:10" ht="15.75" x14ac:dyDescent="0.25">
      <c r="A5" s="61" t="s">
        <v>42</v>
      </c>
      <c r="B5" s="61"/>
      <c r="C5" s="61"/>
      <c r="D5" s="61"/>
      <c r="E5" s="61"/>
      <c r="F5" s="62"/>
    </row>
    <row r="6" spans="1:10" ht="15.75" x14ac:dyDescent="0.25">
      <c r="A6" s="61" t="s">
        <v>183</v>
      </c>
      <c r="B6" s="61"/>
      <c r="C6" s="61"/>
      <c r="D6" s="61"/>
      <c r="E6" s="61"/>
      <c r="F6" s="61"/>
    </row>
    <row r="7" spans="1:10" ht="23.25" x14ac:dyDescent="0.25">
      <c r="A7" s="63" t="s">
        <v>43</v>
      </c>
      <c r="B7" s="63"/>
      <c r="C7" s="64" t="s">
        <v>44</v>
      </c>
      <c r="D7" s="64"/>
      <c r="E7" s="65" t="s">
        <v>45</v>
      </c>
      <c r="F7" s="65"/>
    </row>
    <row r="8" spans="1:10" x14ac:dyDescent="0.25">
      <c r="A8" s="1" t="s">
        <v>46</v>
      </c>
      <c r="B8" s="2"/>
      <c r="C8" s="30"/>
      <c r="E8" s="1" t="s">
        <v>47</v>
      </c>
      <c r="F8" s="31"/>
      <c r="G8" s="32" t="s">
        <v>89</v>
      </c>
      <c r="H8" s="34"/>
    </row>
    <row r="9" spans="1:10" x14ac:dyDescent="0.25">
      <c r="A9" s="1" t="s">
        <v>48</v>
      </c>
      <c r="B9" s="33"/>
      <c r="C9" s="30"/>
      <c r="E9" s="1" t="s">
        <v>49</v>
      </c>
      <c r="G9" s="1" t="s">
        <v>90</v>
      </c>
      <c r="H9" s="34"/>
    </row>
    <row r="10" spans="1:10" x14ac:dyDescent="0.25">
      <c r="A10" s="1" t="s">
        <v>50</v>
      </c>
      <c r="B10" s="2"/>
      <c r="E10" s="1" t="s">
        <v>51</v>
      </c>
      <c r="G10" s="1" t="s">
        <v>91</v>
      </c>
      <c r="J10" s="1">
        <v>4400600897</v>
      </c>
    </row>
    <row r="11" spans="1:10" x14ac:dyDescent="0.25">
      <c r="A11" s="1" t="s">
        <v>52</v>
      </c>
      <c r="B11" s="33"/>
      <c r="I11" s="34"/>
    </row>
    <row r="12" spans="1:10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</row>
    <row r="13" spans="1:10" x14ac:dyDescent="0.25">
      <c r="A13" s="38"/>
      <c r="B13" s="38"/>
      <c r="C13" s="38"/>
      <c r="E13" s="33"/>
      <c r="F13" s="33"/>
      <c r="H13" s="34"/>
    </row>
    <row r="14" spans="1:10" x14ac:dyDescent="0.25">
      <c r="A14" s="38"/>
      <c r="B14" s="38"/>
      <c r="C14" s="38"/>
      <c r="E14" s="33"/>
      <c r="G14" s="34"/>
      <c r="H14" s="34"/>
    </row>
    <row r="15" spans="1:10" x14ac:dyDescent="0.25">
      <c r="A15" s="38"/>
      <c r="B15" s="38"/>
      <c r="C15" s="38"/>
      <c r="E15" s="33"/>
      <c r="H15" s="34"/>
    </row>
    <row r="16" spans="1:10" x14ac:dyDescent="0.25">
      <c r="A16" s="38"/>
      <c r="B16" s="38"/>
      <c r="C16" s="38"/>
      <c r="E16" s="33"/>
    </row>
    <row r="17" spans="1:4" x14ac:dyDescent="0.25">
      <c r="A17" s="38"/>
      <c r="B17" s="38"/>
      <c r="C17" s="38"/>
    </row>
    <row r="18" spans="1:4" x14ac:dyDescent="0.25">
      <c r="A18" s="38"/>
      <c r="B18" s="38"/>
      <c r="C18" s="38"/>
      <c r="D18" s="33"/>
    </row>
    <row r="19" spans="1:4" x14ac:dyDescent="0.25">
      <c r="A19" s="38"/>
      <c r="B19" s="38"/>
      <c r="C19" s="38"/>
      <c r="D19" s="33"/>
    </row>
    <row r="20" spans="1:4" x14ac:dyDescent="0.25">
      <c r="A20" s="38"/>
      <c r="B20" s="38"/>
      <c r="C20" s="38"/>
      <c r="D20" s="33"/>
    </row>
    <row r="21" spans="1:4" x14ac:dyDescent="0.25">
      <c r="A21" s="38"/>
      <c r="B21" s="38"/>
      <c r="C21" s="38"/>
      <c r="D21" s="33"/>
    </row>
    <row r="22" spans="1:4" x14ac:dyDescent="0.25">
      <c r="A22" s="38"/>
      <c r="B22" s="38"/>
      <c r="C22" s="38"/>
      <c r="D22" s="33"/>
    </row>
    <row r="23" spans="1:4" x14ac:dyDescent="0.25">
      <c r="A23" s="38"/>
      <c r="B23" s="38"/>
      <c r="C23" s="38"/>
      <c r="D23" s="33"/>
    </row>
    <row r="24" spans="1:4" x14ac:dyDescent="0.25">
      <c r="A24" s="38"/>
      <c r="B24" s="38"/>
      <c r="C24" s="38"/>
      <c r="D24" s="33"/>
    </row>
    <row r="25" spans="1:4" x14ac:dyDescent="0.25">
      <c r="A25" s="38"/>
      <c r="B25" s="38"/>
      <c r="C25" s="38"/>
      <c r="D25" s="33"/>
    </row>
    <row r="26" spans="1:4" x14ac:dyDescent="0.25">
      <c r="A26" s="38"/>
      <c r="B26" s="38"/>
      <c r="C26" s="38"/>
      <c r="D26" s="33"/>
    </row>
    <row r="27" spans="1:4" x14ac:dyDescent="0.25">
      <c r="A27" s="38"/>
      <c r="B27" s="38"/>
      <c r="C27" s="38"/>
      <c r="D27" s="33"/>
    </row>
    <row r="28" spans="1:4" x14ac:dyDescent="0.25">
      <c r="A28" s="38"/>
      <c r="B28" s="38"/>
      <c r="C28" s="38"/>
      <c r="D28" s="33"/>
    </row>
    <row r="29" spans="1:4" x14ac:dyDescent="0.25">
      <c r="A29" s="38"/>
      <c r="B29" s="38"/>
      <c r="C29" s="38"/>
      <c r="D29" s="33"/>
    </row>
    <row r="30" spans="1:4" x14ac:dyDescent="0.25">
      <c r="A30" s="38"/>
      <c r="B30" s="38"/>
      <c r="C30" s="38"/>
      <c r="D30" s="33"/>
    </row>
    <row r="31" spans="1:4" x14ac:dyDescent="0.25">
      <c r="A31" s="38"/>
      <c r="B31" s="38"/>
      <c r="C31" s="38"/>
      <c r="D31" s="33"/>
    </row>
    <row r="32" spans="1:4" x14ac:dyDescent="0.25">
      <c r="A32" s="38"/>
      <c r="B32" s="38"/>
      <c r="C32" s="38"/>
      <c r="D32" s="33"/>
    </row>
    <row r="33" spans="1:4" x14ac:dyDescent="0.25">
      <c r="A33" s="38"/>
      <c r="B33" s="38"/>
      <c r="C33" s="38"/>
      <c r="D33" s="33"/>
    </row>
    <row r="34" spans="1:4" x14ac:dyDescent="0.25">
      <c r="A34" s="38"/>
      <c r="B34" s="38"/>
      <c r="C34" s="38"/>
      <c r="D34" s="33"/>
    </row>
    <row r="35" spans="1:4" x14ac:dyDescent="0.25">
      <c r="A35" s="38"/>
      <c r="B35" s="38"/>
      <c r="C35" s="38"/>
      <c r="D35" s="33"/>
    </row>
    <row r="36" spans="1:4" x14ac:dyDescent="0.25">
      <c r="A36" s="38"/>
      <c r="B36" s="38"/>
      <c r="C36" s="38"/>
      <c r="D36" s="33"/>
    </row>
    <row r="37" spans="1:4" x14ac:dyDescent="0.25">
      <c r="A37" s="38"/>
      <c r="B37" s="38"/>
      <c r="C37" s="38"/>
      <c r="D37" s="33"/>
    </row>
    <row r="38" spans="1:4" x14ac:dyDescent="0.25">
      <c r="A38" s="38"/>
      <c r="B38" s="38"/>
      <c r="C38" s="38"/>
      <c r="D38" s="33"/>
    </row>
    <row r="39" spans="1:4" x14ac:dyDescent="0.25">
      <c r="A39" s="38"/>
      <c r="B39" s="38"/>
      <c r="C39" s="38"/>
      <c r="D39" s="33"/>
    </row>
    <row r="40" spans="1:4" x14ac:dyDescent="0.25">
      <c r="A40" s="38"/>
      <c r="B40" s="38"/>
      <c r="C40" s="38"/>
      <c r="D40" s="33"/>
    </row>
    <row r="41" spans="1:4" x14ac:dyDescent="0.25">
      <c r="A41" s="38"/>
      <c r="B41" s="38"/>
      <c r="C41" s="38"/>
      <c r="D41" s="33"/>
    </row>
    <row r="42" spans="1:4" x14ac:dyDescent="0.25">
      <c r="A42" s="38"/>
      <c r="B42" s="38"/>
      <c r="C42" s="38"/>
      <c r="D42" s="33"/>
    </row>
    <row r="43" spans="1:4" x14ac:dyDescent="0.25">
      <c r="A43" s="38"/>
      <c r="B43" s="38"/>
      <c r="C43" s="38"/>
      <c r="D43" s="33"/>
    </row>
    <row r="44" spans="1:4" x14ac:dyDescent="0.25">
      <c r="A44" s="38"/>
      <c r="B44" s="38"/>
      <c r="C44" s="38"/>
      <c r="D44" s="33"/>
    </row>
    <row r="45" spans="1:4" x14ac:dyDescent="0.25">
      <c r="A45" s="38"/>
      <c r="B45" s="38"/>
      <c r="C45" s="38"/>
      <c r="D45" s="33"/>
    </row>
    <row r="46" spans="1:4" x14ac:dyDescent="0.25">
      <c r="A46" s="38"/>
      <c r="B46" s="38"/>
      <c r="C46" s="38"/>
      <c r="D46" s="33"/>
    </row>
    <row r="47" spans="1:4" x14ac:dyDescent="0.25">
      <c r="A47" s="38"/>
      <c r="B47" s="38"/>
      <c r="C47" s="38"/>
      <c r="D47" s="33"/>
    </row>
    <row r="48" spans="1:4" x14ac:dyDescent="0.25">
      <c r="A48" s="38"/>
      <c r="B48" s="38"/>
      <c r="C48" s="38"/>
      <c r="D48" s="33"/>
    </row>
    <row r="49" spans="1:4" x14ac:dyDescent="0.25">
      <c r="A49" s="38"/>
      <c r="B49" s="38"/>
      <c r="C49" s="38"/>
      <c r="D49" s="33"/>
    </row>
    <row r="50" spans="1:4" x14ac:dyDescent="0.25">
      <c r="A50" s="38"/>
      <c r="B50" s="38"/>
      <c r="C50" s="38"/>
      <c r="D50" s="33"/>
    </row>
    <row r="51" spans="1:4" x14ac:dyDescent="0.25">
      <c r="A51" s="38"/>
      <c r="B51" s="38"/>
      <c r="C51" s="38"/>
      <c r="D51" s="33"/>
    </row>
    <row r="52" spans="1:4" x14ac:dyDescent="0.25">
      <c r="A52" s="38"/>
      <c r="B52" s="38"/>
      <c r="C52" s="38"/>
      <c r="D52" s="33"/>
    </row>
    <row r="53" spans="1:4" x14ac:dyDescent="0.25">
      <c r="A53" s="38"/>
      <c r="B53" s="38"/>
      <c r="C53" s="38"/>
      <c r="D53" s="33"/>
    </row>
    <row r="54" spans="1:4" x14ac:dyDescent="0.25">
      <c r="A54" s="38"/>
      <c r="B54" s="38"/>
      <c r="C54" s="38"/>
      <c r="D54" s="33"/>
    </row>
    <row r="55" spans="1:4" x14ac:dyDescent="0.25">
      <c r="A55" s="38"/>
      <c r="B55" s="38"/>
      <c r="C55" s="38"/>
      <c r="D55" s="33"/>
    </row>
    <row r="56" spans="1:4" x14ac:dyDescent="0.25">
      <c r="A56" s="38"/>
      <c r="B56" s="38"/>
      <c r="C56" s="38"/>
      <c r="D56" s="33"/>
    </row>
    <row r="57" spans="1:4" x14ac:dyDescent="0.25">
      <c r="A57" s="38"/>
      <c r="B57" s="38"/>
      <c r="C57" s="38"/>
      <c r="D57" s="33"/>
    </row>
    <row r="58" spans="1:4" x14ac:dyDescent="0.25">
      <c r="A58" s="38"/>
      <c r="B58" s="38"/>
      <c r="C58" s="38"/>
      <c r="D58" s="33"/>
    </row>
    <row r="59" spans="1:4" x14ac:dyDescent="0.25">
      <c r="A59" s="38"/>
      <c r="B59" s="38"/>
      <c r="C59" s="38"/>
      <c r="D59" s="33"/>
    </row>
    <row r="60" spans="1:4" x14ac:dyDescent="0.25">
      <c r="A60" s="38"/>
      <c r="B60" s="38"/>
      <c r="C60" s="38"/>
      <c r="D60" s="33"/>
    </row>
    <row r="61" spans="1:4" x14ac:dyDescent="0.25">
      <c r="A61" s="38"/>
      <c r="B61" s="38"/>
      <c r="C61" s="38"/>
      <c r="D61" s="33"/>
    </row>
    <row r="62" spans="1:4" x14ac:dyDescent="0.25">
      <c r="A62" s="38"/>
      <c r="B62" s="38"/>
      <c r="C62" s="38"/>
      <c r="D62" s="33"/>
    </row>
    <row r="63" spans="1:4" x14ac:dyDescent="0.25">
      <c r="A63" s="38"/>
      <c r="B63" s="38"/>
      <c r="C63" s="38"/>
      <c r="D63" s="33"/>
    </row>
    <row r="64" spans="1:4" x14ac:dyDescent="0.25">
      <c r="A64" s="38"/>
      <c r="B64" s="38"/>
      <c r="C64" s="38"/>
      <c r="D64" s="33"/>
    </row>
    <row r="65" spans="1:4" x14ac:dyDescent="0.25">
      <c r="A65" s="38"/>
      <c r="B65" s="38"/>
      <c r="C65" s="38"/>
      <c r="D65" s="33"/>
    </row>
    <row r="66" spans="1:4" x14ac:dyDescent="0.25">
      <c r="A66" s="38"/>
      <c r="B66" s="38"/>
      <c r="C66" s="38"/>
      <c r="D66" s="33"/>
    </row>
    <row r="67" spans="1:4" x14ac:dyDescent="0.25">
      <c r="A67" s="38"/>
      <c r="B67" s="38"/>
      <c r="C67" s="38"/>
      <c r="D67" s="33"/>
    </row>
    <row r="68" spans="1:4" x14ac:dyDescent="0.25">
      <c r="A68" s="38"/>
      <c r="B68" s="38"/>
      <c r="C68" s="38"/>
      <c r="D68" s="33"/>
    </row>
    <row r="69" spans="1:4" x14ac:dyDescent="0.25">
      <c r="A69" s="38"/>
      <c r="B69" s="38"/>
      <c r="C69" s="38"/>
      <c r="D69" s="33"/>
    </row>
    <row r="70" spans="1:4" x14ac:dyDescent="0.25">
      <c r="A70" s="38"/>
      <c r="B70" s="38"/>
      <c r="C70" s="38"/>
      <c r="D70" s="33"/>
    </row>
    <row r="71" spans="1:4" x14ac:dyDescent="0.25">
      <c r="A71" s="38"/>
      <c r="B71" s="38"/>
      <c r="C71" s="38"/>
      <c r="D71" s="33"/>
    </row>
    <row r="72" spans="1:4" x14ac:dyDescent="0.25">
      <c r="A72" s="38"/>
      <c r="B72" s="38"/>
      <c r="C72" s="38"/>
      <c r="D72" s="33"/>
    </row>
    <row r="73" spans="1:4" x14ac:dyDescent="0.25">
      <c r="A73" s="38"/>
      <c r="B73" s="38"/>
      <c r="C73" s="38"/>
      <c r="D73" s="33"/>
    </row>
    <row r="74" spans="1:4" x14ac:dyDescent="0.25">
      <c r="A74" s="38"/>
      <c r="B74" s="38"/>
      <c r="C74" s="38"/>
      <c r="D74" s="33"/>
    </row>
    <row r="75" spans="1:4" x14ac:dyDescent="0.25">
      <c r="A75" s="38"/>
      <c r="B75" s="38"/>
      <c r="C75" s="38"/>
      <c r="D75" s="33"/>
    </row>
    <row r="76" spans="1:4" x14ac:dyDescent="0.25">
      <c r="A76" s="38"/>
      <c r="B76" s="38"/>
      <c r="C76" s="38"/>
      <c r="D76" s="33"/>
    </row>
    <row r="77" spans="1:4" x14ac:dyDescent="0.25">
      <c r="A77" s="38"/>
      <c r="B77" s="38"/>
      <c r="C77" s="38"/>
      <c r="D77" s="33"/>
    </row>
    <row r="78" spans="1:4" x14ac:dyDescent="0.25">
      <c r="A78" s="38"/>
      <c r="B78" s="38"/>
      <c r="C78" s="38"/>
      <c r="D78" s="33"/>
    </row>
    <row r="79" spans="1:4" x14ac:dyDescent="0.25">
      <c r="A79" s="38"/>
      <c r="B79" s="38"/>
      <c r="C79" s="38"/>
      <c r="D79" s="33"/>
    </row>
    <row r="80" spans="1:4" x14ac:dyDescent="0.25">
      <c r="A80" s="38"/>
      <c r="B80" s="38"/>
      <c r="C80" s="38"/>
      <c r="D80" s="33"/>
    </row>
    <row r="81" spans="1:4" x14ac:dyDescent="0.25">
      <c r="A81" s="38"/>
      <c r="B81" s="38"/>
      <c r="C81" s="38"/>
      <c r="D81" s="33"/>
    </row>
    <row r="82" spans="1:4" x14ac:dyDescent="0.25">
      <c r="A82" s="38"/>
      <c r="B82" s="38"/>
      <c r="C82" s="38"/>
      <c r="D82" s="33"/>
    </row>
    <row r="83" spans="1:4" x14ac:dyDescent="0.25">
      <c r="A83" s="38"/>
      <c r="B83" s="38"/>
      <c r="C83" s="38"/>
      <c r="D83" s="33"/>
    </row>
    <row r="84" spans="1:4" x14ac:dyDescent="0.25">
      <c r="A84" s="38"/>
      <c r="B84" s="38"/>
      <c r="C84" s="38"/>
      <c r="D84" s="33"/>
    </row>
    <row r="85" spans="1:4" x14ac:dyDescent="0.25">
      <c r="A85" s="38"/>
      <c r="B85" s="38"/>
      <c r="C85" s="38"/>
      <c r="D85" s="33"/>
    </row>
    <row r="86" spans="1:4" x14ac:dyDescent="0.25">
      <c r="A86" s="38"/>
      <c r="B86" s="38"/>
      <c r="C86" s="38"/>
      <c r="D86" s="33"/>
    </row>
    <row r="87" spans="1:4" x14ac:dyDescent="0.25">
      <c r="A87" s="38"/>
      <c r="B87" s="38"/>
      <c r="C87" s="38"/>
      <c r="D87" s="33"/>
    </row>
    <row r="88" spans="1:4" x14ac:dyDescent="0.25">
      <c r="A88" s="38"/>
      <c r="B88" s="38"/>
      <c r="C88" s="38"/>
      <c r="D88" s="33"/>
    </row>
    <row r="89" spans="1:4" x14ac:dyDescent="0.25">
      <c r="A89" s="38"/>
      <c r="B89" s="38"/>
      <c r="C89" s="38"/>
      <c r="D89" s="33"/>
    </row>
    <row r="90" spans="1:4" x14ac:dyDescent="0.25">
      <c r="A90" s="38"/>
      <c r="B90" s="38"/>
      <c r="C90" s="38"/>
      <c r="D90" s="33"/>
    </row>
    <row r="91" spans="1:4" x14ac:dyDescent="0.25">
      <c r="A91" s="38"/>
      <c r="B91" s="38"/>
      <c r="C91" s="38"/>
      <c r="D91" s="33"/>
    </row>
    <row r="92" spans="1:4" x14ac:dyDescent="0.25">
      <c r="A92" s="38"/>
      <c r="B92" s="38"/>
      <c r="C92" s="38"/>
      <c r="D92" s="33"/>
    </row>
    <row r="93" spans="1:4" x14ac:dyDescent="0.25">
      <c r="A93" s="38"/>
      <c r="B93" s="38"/>
      <c r="C93" s="38"/>
      <c r="D93" s="33"/>
    </row>
    <row r="94" spans="1:4" x14ac:dyDescent="0.25">
      <c r="A94" s="38"/>
      <c r="B94" s="38"/>
      <c r="C94" s="38"/>
      <c r="D94" s="33"/>
    </row>
    <row r="95" spans="1:4" x14ac:dyDescent="0.25">
      <c r="A95" s="38"/>
      <c r="B95" s="38"/>
      <c r="C95" s="38"/>
      <c r="D95" s="33"/>
    </row>
    <row r="96" spans="1:4" x14ac:dyDescent="0.25">
      <c r="A96" s="38"/>
      <c r="B96" s="38"/>
      <c r="C96" s="38"/>
      <c r="D96" s="33"/>
    </row>
    <row r="97" spans="1:4" x14ac:dyDescent="0.25">
      <c r="A97" s="38"/>
      <c r="B97" s="38"/>
      <c r="C97" s="38"/>
      <c r="D97" s="33"/>
    </row>
    <row r="98" spans="1:4" x14ac:dyDescent="0.25">
      <c r="A98" s="38"/>
      <c r="B98" s="38"/>
      <c r="C98" s="38"/>
      <c r="D98" s="33"/>
    </row>
    <row r="99" spans="1:4" x14ac:dyDescent="0.25">
      <c r="A99" s="38"/>
      <c r="B99" s="38"/>
      <c r="C99" s="38"/>
      <c r="D99" s="33"/>
    </row>
    <row r="100" spans="1:4" x14ac:dyDescent="0.25">
      <c r="A100" s="38"/>
      <c r="B100" s="38"/>
      <c r="C100" s="38"/>
      <c r="D100" s="33"/>
    </row>
    <row r="101" spans="1:4" x14ac:dyDescent="0.25">
      <c r="A101" s="38"/>
      <c r="B101" s="38"/>
      <c r="C101" s="38"/>
      <c r="D101" s="33"/>
    </row>
    <row r="102" spans="1:4" x14ac:dyDescent="0.25">
      <c r="A102" s="38"/>
      <c r="B102" s="38"/>
      <c r="C102" s="38"/>
      <c r="D102" s="33"/>
    </row>
    <row r="103" spans="1:4" x14ac:dyDescent="0.25">
      <c r="A103" s="38"/>
      <c r="B103" s="38"/>
      <c r="C103" s="38"/>
      <c r="D103" s="33"/>
    </row>
    <row r="104" spans="1:4" x14ac:dyDescent="0.25">
      <c r="A104" s="38"/>
      <c r="B104" s="38"/>
      <c r="C104" s="38"/>
      <c r="D104" s="33"/>
    </row>
    <row r="105" spans="1:4" x14ac:dyDescent="0.25">
      <c r="A105" s="38"/>
      <c r="B105" s="38"/>
      <c r="C105" s="38"/>
      <c r="D105" s="33"/>
    </row>
    <row r="106" spans="1:4" x14ac:dyDescent="0.25">
      <c r="A106" s="38"/>
      <c r="B106" s="38"/>
      <c r="C106" s="38"/>
      <c r="D106" s="33"/>
    </row>
    <row r="107" spans="1:4" x14ac:dyDescent="0.25">
      <c r="A107" s="38"/>
      <c r="B107" s="38"/>
      <c r="C107" s="38"/>
      <c r="D107" s="33"/>
    </row>
    <row r="108" spans="1:4" x14ac:dyDescent="0.25">
      <c r="A108" s="38"/>
      <c r="B108" s="38"/>
      <c r="C108" s="38"/>
      <c r="D108" s="33"/>
    </row>
    <row r="109" spans="1:4" x14ac:dyDescent="0.25">
      <c r="A109" s="38"/>
      <c r="B109" s="38"/>
      <c r="C109" s="38"/>
      <c r="D109" s="33"/>
    </row>
    <row r="110" spans="1:4" x14ac:dyDescent="0.25">
      <c r="A110" s="38"/>
      <c r="B110" s="38"/>
      <c r="C110" s="38"/>
      <c r="D110" s="33"/>
    </row>
    <row r="111" spans="1:4" x14ac:dyDescent="0.25">
      <c r="A111" s="38"/>
      <c r="B111" s="38"/>
      <c r="C111" s="38"/>
      <c r="D111" s="33"/>
    </row>
    <row r="112" spans="1:4" x14ac:dyDescent="0.25">
      <c r="A112" s="38"/>
      <c r="B112" s="38"/>
      <c r="C112" s="38"/>
      <c r="D112" s="33"/>
    </row>
    <row r="113" spans="1:5" x14ac:dyDescent="0.25">
      <c r="A113" s="38"/>
      <c r="B113" s="38"/>
      <c r="C113" s="38"/>
      <c r="D113" s="33"/>
    </row>
    <row r="114" spans="1:5" x14ac:dyDescent="0.25">
      <c r="A114" s="38"/>
      <c r="B114" s="38"/>
      <c r="C114" s="38"/>
      <c r="D114" s="33"/>
    </row>
    <row r="115" spans="1:5" x14ac:dyDescent="0.25">
      <c r="A115" s="38"/>
      <c r="B115" s="38"/>
      <c r="C115" s="38"/>
      <c r="D115" s="33"/>
    </row>
    <row r="116" spans="1:5" x14ac:dyDescent="0.25">
      <c r="A116" s="38"/>
      <c r="B116" s="38"/>
      <c r="C116" s="38"/>
      <c r="D116" s="33"/>
    </row>
    <row r="117" spans="1:5" x14ac:dyDescent="0.25">
      <c r="A117" s="38"/>
      <c r="B117" s="38"/>
      <c r="C117" s="38"/>
      <c r="D117" s="33"/>
    </row>
    <row r="118" spans="1:5" x14ac:dyDescent="0.25">
      <c r="A118" s="38"/>
      <c r="B118" s="38"/>
      <c r="C118" s="38"/>
      <c r="D118" s="33"/>
    </row>
    <row r="119" spans="1:5" x14ac:dyDescent="0.25">
      <c r="C119" s="7"/>
    </row>
    <row r="120" spans="1:5" x14ac:dyDescent="0.25">
      <c r="A120" s="33" t="s">
        <v>60</v>
      </c>
      <c r="B120" s="39"/>
      <c r="C120" s="33"/>
      <c r="D120" s="33" t="s">
        <v>61</v>
      </c>
    </row>
    <row r="121" spans="1:5" x14ac:dyDescent="0.25">
      <c r="A121" s="33" t="s">
        <v>62</v>
      </c>
      <c r="B121" s="33"/>
      <c r="C121" s="33"/>
      <c r="D121" s="33" t="s">
        <v>63</v>
      </c>
    </row>
    <row r="123" spans="1:5" x14ac:dyDescent="0.25">
      <c r="A123" s="1" t="s">
        <v>64</v>
      </c>
      <c r="B123" s="1" t="s">
        <v>65</v>
      </c>
      <c r="C123" s="1" t="s">
        <v>66</v>
      </c>
      <c r="D123" s="1" t="s">
        <v>67</v>
      </c>
      <c r="E123" s="1" t="s">
        <v>68</v>
      </c>
    </row>
    <row r="124" spans="1:5" x14ac:dyDescent="0.25">
      <c r="A124" s="1">
        <v>1</v>
      </c>
    </row>
    <row r="125" spans="1:5" x14ac:dyDescent="0.25">
      <c r="A125" s="1">
        <v>2</v>
      </c>
    </row>
    <row r="126" spans="1:5" x14ac:dyDescent="0.25">
      <c r="A126" s="1">
        <v>3</v>
      </c>
    </row>
    <row r="127" spans="1:5" x14ac:dyDescent="0.25">
      <c r="B127" s="7" t="s">
        <v>7</v>
      </c>
    </row>
  </sheetData>
  <mergeCells count="5">
    <mergeCell ref="A5:F5"/>
    <mergeCell ref="A6:F6"/>
    <mergeCell ref="A7:B7"/>
    <mergeCell ref="C7:D7"/>
    <mergeCell ref="E7:F7"/>
  </mergeCells>
  <conditionalFormatting sqref="B11">
    <cfRule type="duplicateValues" dxfId="11" priority="1"/>
  </conditionalFormatting>
  <printOptions horizontalCentered="1" verticalCentered="1"/>
  <pageMargins left="0" right="0" top="0" bottom="0" header="0" footer="0"/>
  <pageSetup scale="9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I127"/>
  <sheetViews>
    <sheetView workbookViewId="0">
      <selection sqref="A1:XFD1048576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9" ht="15.75" thickBot="1" x14ac:dyDescent="0.3">
      <c r="B1" s="19"/>
      <c r="C1" s="19"/>
      <c r="D1" s="19"/>
      <c r="E1" s="19"/>
      <c r="F1" s="19"/>
    </row>
    <row r="2" spans="1:9" ht="15.75" x14ac:dyDescent="0.25">
      <c r="A2" s="20"/>
      <c r="B2" s="21"/>
      <c r="C2" s="22"/>
      <c r="D2" s="23"/>
      <c r="E2" s="22"/>
      <c r="F2" s="24"/>
      <c r="G2" s="25"/>
    </row>
    <row r="3" spans="1:9" ht="16.5" thickBot="1" x14ac:dyDescent="0.3">
      <c r="A3" s="20"/>
      <c r="B3" s="26"/>
      <c r="C3" s="27"/>
      <c r="D3" s="28"/>
      <c r="E3" s="28"/>
      <c r="F3" s="28"/>
    </row>
    <row r="4" spans="1:9" x14ac:dyDescent="0.25">
      <c r="B4" s="29"/>
      <c r="C4" s="29"/>
      <c r="D4" s="29"/>
      <c r="E4" s="29"/>
      <c r="F4" s="44"/>
    </row>
    <row r="5" spans="1:9" ht="15.75" x14ac:dyDescent="0.25">
      <c r="A5" s="61" t="s">
        <v>42</v>
      </c>
      <c r="B5" s="61"/>
      <c r="C5" s="61"/>
      <c r="D5" s="61"/>
      <c r="E5" s="61"/>
      <c r="F5" s="62"/>
    </row>
    <row r="6" spans="1:9" ht="15.75" x14ac:dyDescent="0.25">
      <c r="A6" s="61" t="s">
        <v>183</v>
      </c>
      <c r="B6" s="61"/>
      <c r="C6" s="61"/>
      <c r="D6" s="61"/>
      <c r="E6" s="61"/>
      <c r="F6" s="61"/>
    </row>
    <row r="7" spans="1:9" ht="23.25" x14ac:dyDescent="0.25">
      <c r="A7" s="63" t="s">
        <v>43</v>
      </c>
      <c r="B7" s="63"/>
      <c r="C7" s="64" t="s">
        <v>44</v>
      </c>
      <c r="D7" s="64"/>
      <c r="E7" s="65" t="s">
        <v>45</v>
      </c>
      <c r="F7" s="65"/>
    </row>
    <row r="8" spans="1:9" x14ac:dyDescent="0.25">
      <c r="A8" s="1" t="s">
        <v>46</v>
      </c>
      <c r="B8" s="2"/>
      <c r="C8" s="30"/>
      <c r="E8" s="1" t="s">
        <v>47</v>
      </c>
      <c r="F8" s="31"/>
      <c r="G8" s="32" t="s">
        <v>89</v>
      </c>
      <c r="H8" s="34"/>
    </row>
    <row r="9" spans="1:9" x14ac:dyDescent="0.25">
      <c r="A9" s="1" t="s">
        <v>48</v>
      </c>
      <c r="B9" s="33"/>
      <c r="C9" s="30"/>
      <c r="E9" s="1" t="s">
        <v>49</v>
      </c>
      <c r="G9" s="1" t="s">
        <v>90</v>
      </c>
      <c r="H9" s="34"/>
    </row>
    <row r="10" spans="1:9" x14ac:dyDescent="0.25">
      <c r="A10" s="1" t="s">
        <v>50</v>
      </c>
      <c r="B10" s="2"/>
      <c r="E10" s="1" t="s">
        <v>51</v>
      </c>
      <c r="G10" s="1" t="s">
        <v>91</v>
      </c>
    </row>
    <row r="11" spans="1:9" x14ac:dyDescent="0.25">
      <c r="A11" s="1" t="s">
        <v>52</v>
      </c>
      <c r="B11" s="33"/>
      <c r="I11" s="34"/>
    </row>
    <row r="12" spans="1:9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</row>
    <row r="13" spans="1:9" x14ac:dyDescent="0.25">
      <c r="A13" s="38"/>
      <c r="B13" s="38"/>
      <c r="C13" s="38"/>
      <c r="E13" s="33"/>
      <c r="F13" s="33"/>
      <c r="H13" s="34"/>
    </row>
    <row r="14" spans="1:9" x14ac:dyDescent="0.25">
      <c r="A14" s="38"/>
      <c r="B14" s="38"/>
      <c r="C14" s="38"/>
      <c r="E14" s="33"/>
      <c r="G14" s="34"/>
      <c r="H14" s="34"/>
    </row>
    <row r="15" spans="1:9" x14ac:dyDescent="0.25">
      <c r="A15" s="38"/>
      <c r="B15" s="38"/>
      <c r="C15" s="38"/>
      <c r="E15" s="33"/>
      <c r="H15" s="34"/>
    </row>
    <row r="16" spans="1:9" x14ac:dyDescent="0.25">
      <c r="A16" s="38"/>
      <c r="B16" s="38"/>
      <c r="C16" s="38"/>
      <c r="E16" s="33"/>
    </row>
    <row r="17" spans="1:4" x14ac:dyDescent="0.25">
      <c r="A17" s="38"/>
      <c r="B17" s="38"/>
      <c r="C17" s="38"/>
    </row>
    <row r="18" spans="1:4" x14ac:dyDescent="0.25">
      <c r="A18" s="38"/>
      <c r="B18" s="38"/>
      <c r="C18" s="38"/>
      <c r="D18" s="33"/>
    </row>
    <row r="19" spans="1:4" x14ac:dyDescent="0.25">
      <c r="A19" s="38"/>
      <c r="B19" s="38"/>
      <c r="C19" s="38"/>
      <c r="D19" s="33"/>
    </row>
    <row r="20" spans="1:4" x14ac:dyDescent="0.25">
      <c r="A20" s="38"/>
      <c r="B20" s="38"/>
      <c r="C20" s="38"/>
      <c r="D20" s="33"/>
    </row>
    <row r="21" spans="1:4" x14ac:dyDescent="0.25">
      <c r="A21" s="38"/>
      <c r="B21" s="38"/>
      <c r="C21" s="38"/>
      <c r="D21" s="33"/>
    </row>
    <row r="22" spans="1:4" x14ac:dyDescent="0.25">
      <c r="A22" s="38"/>
      <c r="B22" s="38"/>
      <c r="C22" s="38"/>
      <c r="D22" s="33"/>
    </row>
    <row r="23" spans="1:4" x14ac:dyDescent="0.25">
      <c r="A23" s="38"/>
      <c r="B23" s="38"/>
      <c r="C23" s="38"/>
      <c r="D23" s="33"/>
    </row>
    <row r="24" spans="1:4" x14ac:dyDescent="0.25">
      <c r="A24" s="38"/>
      <c r="B24" s="38"/>
      <c r="C24" s="38"/>
      <c r="D24" s="33"/>
    </row>
    <row r="25" spans="1:4" x14ac:dyDescent="0.25">
      <c r="A25" s="38"/>
      <c r="B25" s="38"/>
      <c r="C25" s="38"/>
      <c r="D25" s="33"/>
    </row>
    <row r="26" spans="1:4" x14ac:dyDescent="0.25">
      <c r="A26" s="38"/>
      <c r="B26" s="38"/>
      <c r="C26" s="38"/>
      <c r="D26" s="33"/>
    </row>
    <row r="27" spans="1:4" x14ac:dyDescent="0.25">
      <c r="A27" s="38"/>
      <c r="B27" s="38"/>
      <c r="C27" s="38"/>
      <c r="D27" s="33"/>
    </row>
    <row r="28" spans="1:4" x14ac:dyDescent="0.25">
      <c r="A28" s="38"/>
      <c r="B28" s="38"/>
      <c r="C28" s="38"/>
      <c r="D28" s="33"/>
    </row>
    <row r="29" spans="1:4" x14ac:dyDescent="0.25">
      <c r="A29" s="38"/>
      <c r="B29" s="38"/>
      <c r="C29" s="38"/>
      <c r="D29" s="33"/>
    </row>
    <row r="30" spans="1:4" x14ac:dyDescent="0.25">
      <c r="A30" s="38"/>
      <c r="B30" s="38"/>
      <c r="C30" s="38"/>
      <c r="D30" s="33"/>
    </row>
    <row r="31" spans="1:4" x14ac:dyDescent="0.25">
      <c r="A31" s="38"/>
      <c r="B31" s="38"/>
      <c r="C31" s="38"/>
      <c r="D31" s="33"/>
    </row>
    <row r="32" spans="1:4" x14ac:dyDescent="0.25">
      <c r="A32" s="38"/>
      <c r="B32" s="38"/>
      <c r="C32" s="38"/>
      <c r="D32" s="33"/>
    </row>
    <row r="33" spans="1:4" x14ac:dyDescent="0.25">
      <c r="A33" s="38"/>
      <c r="B33" s="38"/>
      <c r="C33" s="38"/>
      <c r="D33" s="33"/>
    </row>
    <row r="34" spans="1:4" x14ac:dyDescent="0.25">
      <c r="A34" s="38"/>
      <c r="B34" s="38"/>
      <c r="C34" s="38"/>
      <c r="D34" s="33"/>
    </row>
    <row r="35" spans="1:4" x14ac:dyDescent="0.25">
      <c r="A35" s="38"/>
      <c r="B35" s="38"/>
      <c r="C35" s="38"/>
      <c r="D35" s="33"/>
    </row>
    <row r="36" spans="1:4" x14ac:dyDescent="0.25">
      <c r="A36" s="38"/>
      <c r="B36" s="38"/>
      <c r="C36" s="38"/>
      <c r="D36" s="33"/>
    </row>
    <row r="37" spans="1:4" x14ac:dyDescent="0.25">
      <c r="A37" s="38"/>
      <c r="B37" s="38"/>
      <c r="C37" s="38"/>
      <c r="D37" s="33"/>
    </row>
    <row r="38" spans="1:4" x14ac:dyDescent="0.25">
      <c r="A38" s="38"/>
      <c r="B38" s="38"/>
      <c r="C38" s="38"/>
      <c r="D38" s="33"/>
    </row>
    <row r="39" spans="1:4" x14ac:dyDescent="0.25">
      <c r="A39" s="38"/>
      <c r="B39" s="38"/>
      <c r="C39" s="38"/>
      <c r="D39" s="33"/>
    </row>
    <row r="40" spans="1:4" x14ac:dyDescent="0.25">
      <c r="A40" s="38"/>
      <c r="B40" s="38"/>
      <c r="C40" s="38"/>
      <c r="D40" s="33"/>
    </row>
    <row r="41" spans="1:4" x14ac:dyDescent="0.25">
      <c r="A41" s="38"/>
      <c r="B41" s="38"/>
      <c r="C41" s="38"/>
      <c r="D41" s="33"/>
    </row>
    <row r="42" spans="1:4" x14ac:dyDescent="0.25">
      <c r="A42" s="38"/>
      <c r="B42" s="38"/>
      <c r="C42" s="38"/>
      <c r="D42" s="33"/>
    </row>
    <row r="43" spans="1:4" x14ac:dyDescent="0.25">
      <c r="A43" s="38"/>
      <c r="B43" s="38"/>
      <c r="C43" s="38"/>
      <c r="D43" s="33"/>
    </row>
    <row r="44" spans="1:4" x14ac:dyDescent="0.25">
      <c r="A44" s="38"/>
      <c r="B44" s="38"/>
      <c r="C44" s="38"/>
      <c r="D44" s="33"/>
    </row>
    <row r="45" spans="1:4" x14ac:dyDescent="0.25">
      <c r="A45" s="38"/>
      <c r="B45" s="38"/>
      <c r="C45" s="38"/>
      <c r="D45" s="33"/>
    </row>
    <row r="46" spans="1:4" x14ac:dyDescent="0.25">
      <c r="A46" s="38"/>
      <c r="B46" s="38"/>
      <c r="C46" s="38"/>
      <c r="D46" s="33"/>
    </row>
    <row r="47" spans="1:4" x14ac:dyDescent="0.25">
      <c r="A47" s="38"/>
      <c r="B47" s="38"/>
      <c r="C47" s="38"/>
      <c r="D47" s="33"/>
    </row>
    <row r="48" spans="1:4" x14ac:dyDescent="0.25">
      <c r="A48" s="38"/>
      <c r="B48" s="38"/>
      <c r="C48" s="38"/>
      <c r="D48" s="33"/>
    </row>
    <row r="49" spans="1:4" x14ac:dyDescent="0.25">
      <c r="A49" s="38"/>
      <c r="B49" s="38"/>
      <c r="C49" s="38"/>
      <c r="D49" s="33"/>
    </row>
    <row r="50" spans="1:4" x14ac:dyDescent="0.25">
      <c r="A50" s="38"/>
      <c r="B50" s="38"/>
      <c r="C50" s="38"/>
      <c r="D50" s="33"/>
    </row>
    <row r="51" spans="1:4" x14ac:dyDescent="0.25">
      <c r="A51" s="38"/>
      <c r="B51" s="38"/>
      <c r="C51" s="38"/>
      <c r="D51" s="33"/>
    </row>
    <row r="52" spans="1:4" x14ac:dyDescent="0.25">
      <c r="A52" s="38"/>
      <c r="B52" s="38"/>
      <c r="C52" s="38"/>
      <c r="D52" s="33"/>
    </row>
    <row r="53" spans="1:4" x14ac:dyDescent="0.25">
      <c r="A53" s="38"/>
      <c r="B53" s="38"/>
      <c r="C53" s="38"/>
      <c r="D53" s="33"/>
    </row>
    <row r="54" spans="1:4" x14ac:dyDescent="0.25">
      <c r="A54" s="38"/>
      <c r="B54" s="38"/>
      <c r="C54" s="38"/>
      <c r="D54" s="33"/>
    </row>
    <row r="55" spans="1:4" x14ac:dyDescent="0.25">
      <c r="A55" s="38"/>
      <c r="B55" s="38"/>
      <c r="C55" s="38"/>
      <c r="D55" s="33"/>
    </row>
    <row r="56" spans="1:4" x14ac:dyDescent="0.25">
      <c r="A56" s="38"/>
      <c r="B56" s="38"/>
      <c r="C56" s="38"/>
      <c r="D56" s="33"/>
    </row>
    <row r="57" spans="1:4" x14ac:dyDescent="0.25">
      <c r="A57" s="38"/>
      <c r="B57" s="38"/>
      <c r="C57" s="38"/>
      <c r="D57" s="33"/>
    </row>
    <row r="58" spans="1:4" x14ac:dyDescent="0.25">
      <c r="A58" s="38"/>
      <c r="B58" s="38"/>
      <c r="C58" s="38"/>
      <c r="D58" s="33"/>
    </row>
    <row r="59" spans="1:4" x14ac:dyDescent="0.25">
      <c r="A59" s="38"/>
      <c r="B59" s="38"/>
      <c r="C59" s="38"/>
      <c r="D59" s="33"/>
    </row>
    <row r="60" spans="1:4" x14ac:dyDescent="0.25">
      <c r="A60" s="38"/>
      <c r="B60" s="38"/>
      <c r="C60" s="38"/>
      <c r="D60" s="33"/>
    </row>
    <row r="61" spans="1:4" x14ac:dyDescent="0.25">
      <c r="A61" s="38"/>
      <c r="B61" s="38"/>
      <c r="C61" s="38"/>
      <c r="D61" s="33"/>
    </row>
    <row r="62" spans="1:4" x14ac:dyDescent="0.25">
      <c r="A62" s="38"/>
      <c r="B62" s="38"/>
      <c r="C62" s="38"/>
      <c r="D62" s="33"/>
    </row>
    <row r="63" spans="1:4" x14ac:dyDescent="0.25">
      <c r="A63" s="38"/>
      <c r="B63" s="38"/>
      <c r="C63" s="38"/>
      <c r="D63" s="33"/>
    </row>
    <row r="64" spans="1:4" x14ac:dyDescent="0.25">
      <c r="A64" s="38"/>
      <c r="B64" s="38"/>
      <c r="C64" s="38"/>
      <c r="D64" s="33"/>
    </row>
    <row r="65" spans="1:4" x14ac:dyDescent="0.25">
      <c r="A65" s="38"/>
      <c r="B65" s="38"/>
      <c r="C65" s="38"/>
      <c r="D65" s="33"/>
    </row>
    <row r="66" spans="1:4" x14ac:dyDescent="0.25">
      <c r="A66" s="38"/>
      <c r="B66" s="38"/>
      <c r="C66" s="38"/>
      <c r="D66" s="33"/>
    </row>
    <row r="67" spans="1:4" x14ac:dyDescent="0.25">
      <c r="A67" s="38"/>
      <c r="B67" s="38"/>
      <c r="C67" s="38"/>
      <c r="D67" s="33"/>
    </row>
    <row r="68" spans="1:4" x14ac:dyDescent="0.25">
      <c r="A68" s="38"/>
      <c r="B68" s="38"/>
      <c r="C68" s="38"/>
      <c r="D68" s="33"/>
    </row>
    <row r="69" spans="1:4" x14ac:dyDescent="0.25">
      <c r="A69" s="38"/>
      <c r="B69" s="38"/>
      <c r="C69" s="38"/>
      <c r="D69" s="33"/>
    </row>
    <row r="70" spans="1:4" x14ac:dyDescent="0.25">
      <c r="A70" s="38"/>
      <c r="B70" s="38"/>
      <c r="C70" s="38"/>
      <c r="D70" s="33"/>
    </row>
    <row r="71" spans="1:4" x14ac:dyDescent="0.25">
      <c r="A71" s="38"/>
      <c r="B71" s="38"/>
      <c r="C71" s="38"/>
      <c r="D71" s="33"/>
    </row>
    <row r="72" spans="1:4" x14ac:dyDescent="0.25">
      <c r="A72" s="38"/>
      <c r="B72" s="38"/>
      <c r="C72" s="38"/>
      <c r="D72" s="33"/>
    </row>
    <row r="73" spans="1:4" x14ac:dyDescent="0.25">
      <c r="A73" s="38"/>
      <c r="B73" s="38"/>
      <c r="C73" s="38"/>
      <c r="D73" s="33"/>
    </row>
    <row r="74" spans="1:4" x14ac:dyDescent="0.25">
      <c r="A74" s="38"/>
      <c r="B74" s="38"/>
      <c r="C74" s="38"/>
      <c r="D74" s="33"/>
    </row>
    <row r="75" spans="1:4" x14ac:dyDescent="0.25">
      <c r="A75" s="38"/>
      <c r="B75" s="38"/>
      <c r="C75" s="38"/>
      <c r="D75" s="33"/>
    </row>
    <row r="76" spans="1:4" x14ac:dyDescent="0.25">
      <c r="A76" s="38"/>
      <c r="B76" s="38"/>
      <c r="C76" s="38"/>
      <c r="D76" s="33"/>
    </row>
    <row r="77" spans="1:4" x14ac:dyDescent="0.25">
      <c r="A77" s="38"/>
      <c r="B77" s="38"/>
      <c r="C77" s="38"/>
      <c r="D77" s="33"/>
    </row>
    <row r="78" spans="1:4" x14ac:dyDescent="0.25">
      <c r="A78" s="38"/>
      <c r="B78" s="38"/>
      <c r="C78" s="38"/>
      <c r="D78" s="33"/>
    </row>
    <row r="79" spans="1:4" x14ac:dyDescent="0.25">
      <c r="A79" s="38"/>
      <c r="B79" s="38"/>
      <c r="C79" s="38"/>
      <c r="D79" s="33"/>
    </row>
    <row r="80" spans="1:4" x14ac:dyDescent="0.25">
      <c r="A80" s="38"/>
      <c r="B80" s="38"/>
      <c r="C80" s="38"/>
      <c r="D80" s="33"/>
    </row>
    <row r="81" spans="1:4" x14ac:dyDescent="0.25">
      <c r="A81" s="38"/>
      <c r="B81" s="38"/>
      <c r="C81" s="38"/>
      <c r="D81" s="33"/>
    </row>
    <row r="82" spans="1:4" x14ac:dyDescent="0.25">
      <c r="A82" s="38"/>
      <c r="B82" s="38"/>
      <c r="C82" s="38"/>
      <c r="D82" s="33"/>
    </row>
    <row r="83" spans="1:4" x14ac:dyDescent="0.25">
      <c r="A83" s="38"/>
      <c r="B83" s="38"/>
      <c r="C83" s="38"/>
      <c r="D83" s="33"/>
    </row>
    <row r="84" spans="1:4" x14ac:dyDescent="0.25">
      <c r="A84" s="38"/>
      <c r="B84" s="38"/>
      <c r="C84" s="38"/>
      <c r="D84" s="33"/>
    </row>
    <row r="85" spans="1:4" x14ac:dyDescent="0.25">
      <c r="A85" s="38"/>
      <c r="B85" s="38"/>
      <c r="C85" s="38"/>
      <c r="D85" s="33"/>
    </row>
    <row r="86" spans="1:4" x14ac:dyDescent="0.25">
      <c r="A86" s="38"/>
      <c r="B86" s="38"/>
      <c r="C86" s="38"/>
      <c r="D86" s="33"/>
    </row>
    <row r="87" spans="1:4" x14ac:dyDescent="0.25">
      <c r="A87" s="38"/>
      <c r="B87" s="38"/>
      <c r="C87" s="38"/>
      <c r="D87" s="33"/>
    </row>
    <row r="88" spans="1:4" x14ac:dyDescent="0.25">
      <c r="A88" s="38"/>
      <c r="B88" s="38"/>
      <c r="C88" s="38"/>
      <c r="D88" s="33"/>
    </row>
    <row r="89" spans="1:4" x14ac:dyDescent="0.25">
      <c r="A89" s="38"/>
      <c r="B89" s="38"/>
      <c r="C89" s="38"/>
      <c r="D89" s="33"/>
    </row>
    <row r="90" spans="1:4" x14ac:dyDescent="0.25">
      <c r="A90" s="38"/>
      <c r="B90" s="38"/>
      <c r="C90" s="38"/>
      <c r="D90" s="33"/>
    </row>
    <row r="91" spans="1:4" x14ac:dyDescent="0.25">
      <c r="A91" s="38"/>
      <c r="B91" s="38"/>
      <c r="C91" s="38"/>
      <c r="D91" s="33"/>
    </row>
    <row r="92" spans="1:4" x14ac:dyDescent="0.25">
      <c r="A92" s="38"/>
      <c r="B92" s="38"/>
      <c r="C92" s="38"/>
      <c r="D92" s="33"/>
    </row>
    <row r="93" spans="1:4" x14ac:dyDescent="0.25">
      <c r="A93" s="38"/>
      <c r="B93" s="38"/>
      <c r="C93" s="38"/>
      <c r="D93" s="33"/>
    </row>
    <row r="94" spans="1:4" x14ac:dyDescent="0.25">
      <c r="A94" s="38"/>
      <c r="B94" s="38"/>
      <c r="C94" s="38"/>
      <c r="D94" s="33"/>
    </row>
    <row r="95" spans="1:4" x14ac:dyDescent="0.25">
      <c r="A95" s="38"/>
      <c r="B95" s="38"/>
      <c r="C95" s="38"/>
      <c r="D95" s="33"/>
    </row>
    <row r="96" spans="1:4" x14ac:dyDescent="0.25">
      <c r="A96" s="38"/>
      <c r="B96" s="38"/>
      <c r="C96" s="38"/>
      <c r="D96" s="33"/>
    </row>
    <row r="97" spans="1:4" x14ac:dyDescent="0.25">
      <c r="A97" s="38"/>
      <c r="B97" s="38"/>
      <c r="C97" s="38"/>
      <c r="D97" s="33"/>
    </row>
    <row r="98" spans="1:4" x14ac:dyDescent="0.25">
      <c r="A98" s="38"/>
      <c r="B98" s="38"/>
      <c r="C98" s="38"/>
      <c r="D98" s="33"/>
    </row>
    <row r="99" spans="1:4" x14ac:dyDescent="0.25">
      <c r="A99" s="38"/>
      <c r="B99" s="38"/>
      <c r="C99" s="38"/>
      <c r="D99" s="33"/>
    </row>
    <row r="100" spans="1:4" x14ac:dyDescent="0.25">
      <c r="A100" s="38"/>
      <c r="B100" s="38"/>
      <c r="C100" s="38"/>
      <c r="D100" s="33"/>
    </row>
    <row r="101" spans="1:4" x14ac:dyDescent="0.25">
      <c r="A101" s="38"/>
      <c r="B101" s="38"/>
      <c r="C101" s="38"/>
      <c r="D101" s="33"/>
    </row>
    <row r="102" spans="1:4" x14ac:dyDescent="0.25">
      <c r="A102" s="38"/>
      <c r="B102" s="38"/>
      <c r="C102" s="38"/>
      <c r="D102" s="33"/>
    </row>
    <row r="103" spans="1:4" x14ac:dyDescent="0.25">
      <c r="A103" s="38"/>
      <c r="B103" s="38"/>
      <c r="C103" s="38"/>
      <c r="D103" s="33"/>
    </row>
    <row r="104" spans="1:4" x14ac:dyDescent="0.25">
      <c r="A104" s="38"/>
      <c r="B104" s="38"/>
      <c r="C104" s="38"/>
      <c r="D104" s="33"/>
    </row>
    <row r="105" spans="1:4" x14ac:dyDescent="0.25">
      <c r="A105" s="38"/>
      <c r="B105" s="38"/>
      <c r="C105" s="38"/>
      <c r="D105" s="33"/>
    </row>
    <row r="106" spans="1:4" x14ac:dyDescent="0.25">
      <c r="A106" s="38"/>
      <c r="B106" s="38"/>
      <c r="C106" s="38"/>
      <c r="D106" s="33"/>
    </row>
    <row r="107" spans="1:4" x14ac:dyDescent="0.25">
      <c r="A107" s="38"/>
      <c r="B107" s="38"/>
      <c r="C107" s="38"/>
      <c r="D107" s="33"/>
    </row>
    <row r="108" spans="1:4" x14ac:dyDescent="0.25">
      <c r="A108" s="38"/>
      <c r="B108" s="38"/>
      <c r="C108" s="38"/>
      <c r="D108" s="33"/>
    </row>
    <row r="109" spans="1:4" x14ac:dyDescent="0.25">
      <c r="A109" s="38"/>
      <c r="B109" s="38"/>
      <c r="C109" s="38"/>
      <c r="D109" s="33"/>
    </row>
    <row r="110" spans="1:4" x14ac:dyDescent="0.25">
      <c r="A110" s="38"/>
      <c r="B110" s="38"/>
      <c r="C110" s="38"/>
      <c r="D110" s="33"/>
    </row>
    <row r="111" spans="1:4" x14ac:dyDescent="0.25">
      <c r="A111" s="38"/>
      <c r="B111" s="38"/>
      <c r="C111" s="38"/>
      <c r="D111" s="33"/>
    </row>
    <row r="112" spans="1:4" x14ac:dyDescent="0.25">
      <c r="A112" s="38"/>
      <c r="B112" s="38"/>
      <c r="C112" s="38"/>
      <c r="D112" s="33"/>
    </row>
    <row r="113" spans="1:5" x14ac:dyDescent="0.25">
      <c r="A113" s="38"/>
      <c r="B113" s="38"/>
      <c r="C113" s="38"/>
      <c r="D113" s="33"/>
    </row>
    <row r="114" spans="1:5" x14ac:dyDescent="0.25">
      <c r="A114" s="38"/>
      <c r="B114" s="38"/>
      <c r="C114" s="38"/>
      <c r="D114" s="33"/>
    </row>
    <row r="115" spans="1:5" x14ac:dyDescent="0.25">
      <c r="A115" s="38"/>
      <c r="B115" s="38"/>
      <c r="C115" s="38"/>
      <c r="D115" s="33"/>
    </row>
    <row r="116" spans="1:5" x14ac:dyDescent="0.25">
      <c r="A116" s="38"/>
      <c r="B116" s="38"/>
      <c r="C116" s="38"/>
      <c r="D116" s="33"/>
    </row>
    <row r="117" spans="1:5" x14ac:dyDescent="0.25">
      <c r="A117" s="38"/>
      <c r="B117" s="38"/>
      <c r="C117" s="38"/>
      <c r="D117" s="33"/>
    </row>
    <row r="118" spans="1:5" x14ac:dyDescent="0.25">
      <c r="A118" s="38"/>
      <c r="B118" s="38"/>
      <c r="C118" s="38"/>
      <c r="D118" s="33"/>
    </row>
    <row r="119" spans="1:5" x14ac:dyDescent="0.25">
      <c r="C119" s="7"/>
    </row>
    <row r="120" spans="1:5" x14ac:dyDescent="0.25">
      <c r="A120" s="33" t="s">
        <v>60</v>
      </c>
      <c r="B120" s="39"/>
      <c r="C120" s="33"/>
      <c r="D120" s="33" t="s">
        <v>61</v>
      </c>
    </row>
    <row r="121" spans="1:5" x14ac:dyDescent="0.25">
      <c r="A121" s="33" t="s">
        <v>62</v>
      </c>
      <c r="B121" s="33"/>
      <c r="C121" s="33"/>
      <c r="D121" s="33" t="s">
        <v>63</v>
      </c>
    </row>
    <row r="123" spans="1:5" x14ac:dyDescent="0.25">
      <c r="A123" s="1" t="s">
        <v>64</v>
      </c>
      <c r="B123" s="1" t="s">
        <v>65</v>
      </c>
      <c r="C123" s="1" t="s">
        <v>66</v>
      </c>
      <c r="D123" s="1" t="s">
        <v>67</v>
      </c>
      <c r="E123" s="1" t="s">
        <v>68</v>
      </c>
    </row>
    <row r="124" spans="1:5" x14ac:dyDescent="0.25">
      <c r="A124" s="1">
        <v>1</v>
      </c>
    </row>
    <row r="125" spans="1:5" x14ac:dyDescent="0.25">
      <c r="A125" s="1">
        <v>2</v>
      </c>
    </row>
    <row r="126" spans="1:5" x14ac:dyDescent="0.25">
      <c r="A126" s="1">
        <v>3</v>
      </c>
    </row>
    <row r="127" spans="1:5" x14ac:dyDescent="0.25">
      <c r="B127" s="7" t="s">
        <v>7</v>
      </c>
    </row>
  </sheetData>
  <mergeCells count="5">
    <mergeCell ref="A5:F5"/>
    <mergeCell ref="A6:F6"/>
    <mergeCell ref="A7:B7"/>
    <mergeCell ref="C7:D7"/>
    <mergeCell ref="E7:F7"/>
  </mergeCells>
  <conditionalFormatting sqref="B11">
    <cfRule type="duplicateValues" dxfId="10" priority="1"/>
  </conditionalFormatting>
  <printOptions horizontalCentered="1" verticalCentered="1"/>
  <pageMargins left="0" right="0" top="0" bottom="0" header="0" footer="0"/>
  <pageSetup scale="9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I127"/>
  <sheetViews>
    <sheetView workbookViewId="0">
      <selection sqref="A1:XFD1048576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9" ht="15.75" thickBot="1" x14ac:dyDescent="0.3">
      <c r="B1" s="19"/>
      <c r="C1" s="19"/>
      <c r="D1" s="19"/>
      <c r="E1" s="19"/>
      <c r="F1" s="19"/>
    </row>
    <row r="2" spans="1:9" ht="15.75" x14ac:dyDescent="0.25">
      <c r="A2" s="20"/>
      <c r="B2" s="21"/>
      <c r="C2" s="22"/>
      <c r="D2" s="23"/>
      <c r="E2" s="22"/>
      <c r="F2" s="24"/>
      <c r="G2" s="25"/>
    </row>
    <row r="3" spans="1:9" ht="16.5" thickBot="1" x14ac:dyDescent="0.3">
      <c r="A3" s="20"/>
      <c r="B3" s="26"/>
      <c r="C3" s="27"/>
      <c r="D3" s="28"/>
      <c r="E3" s="28"/>
      <c r="F3" s="28"/>
    </row>
    <row r="4" spans="1:9" x14ac:dyDescent="0.25">
      <c r="B4" s="29"/>
      <c r="C4" s="29"/>
      <c r="D4" s="29"/>
      <c r="E4" s="29"/>
      <c r="F4" s="44"/>
    </row>
    <row r="5" spans="1:9" ht="15.75" x14ac:dyDescent="0.25">
      <c r="A5" s="61" t="s">
        <v>42</v>
      </c>
      <c r="B5" s="61"/>
      <c r="C5" s="61"/>
      <c r="D5" s="61"/>
      <c r="E5" s="61"/>
      <c r="F5" s="62"/>
    </row>
    <row r="6" spans="1:9" ht="15.75" x14ac:dyDescent="0.25">
      <c r="A6" s="61" t="s">
        <v>183</v>
      </c>
      <c r="B6" s="61"/>
      <c r="C6" s="61"/>
      <c r="D6" s="61"/>
      <c r="E6" s="61"/>
      <c r="F6" s="61"/>
    </row>
    <row r="7" spans="1:9" ht="23.25" x14ac:dyDescent="0.25">
      <c r="A7" s="63" t="s">
        <v>43</v>
      </c>
      <c r="B7" s="63"/>
      <c r="C7" s="64" t="s">
        <v>44</v>
      </c>
      <c r="D7" s="64"/>
      <c r="E7" s="65" t="s">
        <v>45</v>
      </c>
      <c r="F7" s="65"/>
    </row>
    <row r="8" spans="1:9" x14ac:dyDescent="0.25">
      <c r="A8" s="1" t="s">
        <v>46</v>
      </c>
      <c r="B8" s="2"/>
      <c r="C8" s="30"/>
      <c r="E8" s="1" t="s">
        <v>47</v>
      </c>
      <c r="F8" s="31"/>
      <c r="G8" s="32" t="s">
        <v>89</v>
      </c>
      <c r="H8" s="34"/>
    </row>
    <row r="9" spans="1:9" x14ac:dyDescent="0.25">
      <c r="A9" s="1" t="s">
        <v>48</v>
      </c>
      <c r="B9" s="33"/>
      <c r="C9" s="30"/>
      <c r="E9" s="1" t="s">
        <v>49</v>
      </c>
      <c r="G9" s="1" t="s">
        <v>90</v>
      </c>
      <c r="H9" s="34"/>
    </row>
    <row r="10" spans="1:9" x14ac:dyDescent="0.25">
      <c r="A10" s="1" t="s">
        <v>50</v>
      </c>
      <c r="B10" s="2"/>
      <c r="E10" s="1" t="s">
        <v>51</v>
      </c>
      <c r="G10" s="1" t="s">
        <v>91</v>
      </c>
    </row>
    <row r="11" spans="1:9" x14ac:dyDescent="0.25">
      <c r="A11" s="1" t="s">
        <v>52</v>
      </c>
      <c r="B11" s="33"/>
      <c r="I11" s="34"/>
    </row>
    <row r="12" spans="1:9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</row>
    <row r="13" spans="1:9" x14ac:dyDescent="0.25">
      <c r="A13" s="38"/>
      <c r="B13" s="38"/>
      <c r="C13" s="38"/>
      <c r="E13" s="33"/>
      <c r="F13" s="33"/>
      <c r="H13" s="34"/>
    </row>
    <row r="14" spans="1:9" x14ac:dyDescent="0.25">
      <c r="A14" s="38"/>
      <c r="B14" s="38"/>
      <c r="C14" s="38"/>
      <c r="E14" s="33"/>
      <c r="G14" s="34"/>
      <c r="H14" s="34"/>
    </row>
    <row r="15" spans="1:9" x14ac:dyDescent="0.25">
      <c r="A15" s="38"/>
      <c r="B15" s="38"/>
      <c r="C15" s="38"/>
      <c r="E15" s="33"/>
      <c r="H15" s="34"/>
    </row>
    <row r="16" spans="1:9" x14ac:dyDescent="0.25">
      <c r="A16" s="38"/>
      <c r="B16" s="38"/>
      <c r="C16" s="38"/>
      <c r="E16" s="33"/>
    </row>
    <row r="17" spans="1:4" x14ac:dyDescent="0.25">
      <c r="A17" s="38"/>
      <c r="B17" s="38"/>
      <c r="C17" s="38"/>
    </row>
    <row r="18" spans="1:4" x14ac:dyDescent="0.25">
      <c r="A18" s="38"/>
      <c r="B18" s="38"/>
      <c r="C18" s="38"/>
      <c r="D18" s="33"/>
    </row>
    <row r="19" spans="1:4" x14ac:dyDescent="0.25">
      <c r="A19" s="38"/>
      <c r="B19" s="38"/>
      <c r="C19" s="38"/>
      <c r="D19" s="33"/>
    </row>
    <row r="20" spans="1:4" x14ac:dyDescent="0.25">
      <c r="A20" s="38"/>
      <c r="B20" s="38"/>
      <c r="C20" s="38"/>
      <c r="D20" s="33"/>
    </row>
    <row r="21" spans="1:4" x14ac:dyDescent="0.25">
      <c r="A21" s="38"/>
      <c r="B21" s="38"/>
      <c r="C21" s="38"/>
      <c r="D21" s="33"/>
    </row>
    <row r="22" spans="1:4" x14ac:dyDescent="0.25">
      <c r="A22" s="38"/>
      <c r="B22" s="38"/>
      <c r="C22" s="38"/>
      <c r="D22" s="33"/>
    </row>
    <row r="23" spans="1:4" x14ac:dyDescent="0.25">
      <c r="A23" s="38"/>
      <c r="B23" s="38"/>
      <c r="C23" s="38"/>
      <c r="D23" s="33"/>
    </row>
    <row r="24" spans="1:4" x14ac:dyDescent="0.25">
      <c r="A24" s="38"/>
      <c r="B24" s="38"/>
      <c r="C24" s="38"/>
      <c r="D24" s="33"/>
    </row>
    <row r="25" spans="1:4" x14ac:dyDescent="0.25">
      <c r="A25" s="38"/>
      <c r="B25" s="38"/>
      <c r="C25" s="38"/>
      <c r="D25" s="33"/>
    </row>
    <row r="26" spans="1:4" x14ac:dyDescent="0.25">
      <c r="A26" s="38"/>
      <c r="B26" s="38"/>
      <c r="C26" s="38"/>
      <c r="D26" s="33"/>
    </row>
    <row r="27" spans="1:4" x14ac:dyDescent="0.25">
      <c r="A27" s="38"/>
      <c r="B27" s="38"/>
      <c r="C27" s="38"/>
      <c r="D27" s="33"/>
    </row>
    <row r="28" spans="1:4" x14ac:dyDescent="0.25">
      <c r="A28" s="38"/>
      <c r="B28" s="38"/>
      <c r="C28" s="38"/>
      <c r="D28" s="33"/>
    </row>
    <row r="29" spans="1:4" x14ac:dyDescent="0.25">
      <c r="A29" s="38"/>
      <c r="B29" s="38"/>
      <c r="C29" s="38"/>
      <c r="D29" s="33"/>
    </row>
    <row r="30" spans="1:4" x14ac:dyDescent="0.25">
      <c r="A30" s="38"/>
      <c r="B30" s="38"/>
      <c r="C30" s="38"/>
      <c r="D30" s="33"/>
    </row>
    <row r="31" spans="1:4" x14ac:dyDescent="0.25">
      <c r="A31" s="38"/>
      <c r="B31" s="38"/>
      <c r="C31" s="38"/>
      <c r="D31" s="33"/>
    </row>
    <row r="32" spans="1:4" x14ac:dyDescent="0.25">
      <c r="A32" s="38"/>
      <c r="B32" s="38"/>
      <c r="C32" s="38"/>
      <c r="D32" s="33"/>
    </row>
    <row r="33" spans="1:4" x14ac:dyDescent="0.25">
      <c r="A33" s="38"/>
      <c r="B33" s="38"/>
      <c r="C33" s="38"/>
      <c r="D33" s="33"/>
    </row>
    <row r="34" spans="1:4" x14ac:dyDescent="0.25">
      <c r="A34" s="38"/>
      <c r="B34" s="38"/>
      <c r="C34" s="38"/>
      <c r="D34" s="33"/>
    </row>
    <row r="35" spans="1:4" x14ac:dyDescent="0.25">
      <c r="A35" s="38"/>
      <c r="B35" s="38"/>
      <c r="C35" s="38"/>
      <c r="D35" s="33"/>
    </row>
    <row r="36" spans="1:4" x14ac:dyDescent="0.25">
      <c r="A36" s="38"/>
      <c r="B36" s="38"/>
      <c r="C36" s="38"/>
      <c r="D36" s="33"/>
    </row>
    <row r="37" spans="1:4" x14ac:dyDescent="0.25">
      <c r="A37" s="38"/>
      <c r="B37" s="38"/>
      <c r="C37" s="38"/>
      <c r="D37" s="33"/>
    </row>
    <row r="38" spans="1:4" x14ac:dyDescent="0.25">
      <c r="A38" s="38"/>
      <c r="B38" s="38"/>
      <c r="C38" s="38"/>
      <c r="D38" s="33"/>
    </row>
    <row r="39" spans="1:4" x14ac:dyDescent="0.25">
      <c r="A39" s="38"/>
      <c r="B39" s="38"/>
      <c r="C39" s="38"/>
      <c r="D39" s="33"/>
    </row>
    <row r="40" spans="1:4" x14ac:dyDescent="0.25">
      <c r="A40" s="38"/>
      <c r="B40" s="38"/>
      <c r="C40" s="38"/>
      <c r="D40" s="33"/>
    </row>
    <row r="41" spans="1:4" x14ac:dyDescent="0.25">
      <c r="A41" s="38"/>
      <c r="B41" s="38"/>
      <c r="C41" s="38"/>
      <c r="D41" s="33"/>
    </row>
    <row r="42" spans="1:4" x14ac:dyDescent="0.25">
      <c r="A42" s="38"/>
      <c r="B42" s="38"/>
      <c r="C42" s="38"/>
      <c r="D42" s="33"/>
    </row>
    <row r="43" spans="1:4" x14ac:dyDescent="0.25">
      <c r="A43" s="38"/>
      <c r="B43" s="38"/>
      <c r="C43" s="38"/>
      <c r="D43" s="33"/>
    </row>
    <row r="44" spans="1:4" x14ac:dyDescent="0.25">
      <c r="A44" s="38"/>
      <c r="B44" s="38"/>
      <c r="C44" s="38"/>
      <c r="D44" s="33"/>
    </row>
    <row r="45" spans="1:4" x14ac:dyDescent="0.25">
      <c r="A45" s="38"/>
      <c r="B45" s="38"/>
      <c r="C45" s="38"/>
      <c r="D45" s="33"/>
    </row>
    <row r="46" spans="1:4" x14ac:dyDescent="0.25">
      <c r="A46" s="38"/>
      <c r="B46" s="38"/>
      <c r="C46" s="38"/>
      <c r="D46" s="33"/>
    </row>
    <row r="47" spans="1:4" x14ac:dyDescent="0.25">
      <c r="A47" s="38"/>
      <c r="B47" s="38"/>
      <c r="C47" s="38"/>
      <c r="D47" s="33"/>
    </row>
    <row r="48" spans="1:4" x14ac:dyDescent="0.25">
      <c r="A48" s="38"/>
      <c r="B48" s="38"/>
      <c r="C48" s="38"/>
      <c r="D48" s="33"/>
    </row>
    <row r="49" spans="1:4" x14ac:dyDescent="0.25">
      <c r="A49" s="38"/>
      <c r="B49" s="38"/>
      <c r="C49" s="38"/>
      <c r="D49" s="33"/>
    </row>
    <row r="50" spans="1:4" x14ac:dyDescent="0.25">
      <c r="A50" s="38"/>
      <c r="B50" s="38"/>
      <c r="C50" s="38"/>
      <c r="D50" s="33"/>
    </row>
    <row r="51" spans="1:4" x14ac:dyDescent="0.25">
      <c r="A51" s="38"/>
      <c r="B51" s="38"/>
      <c r="C51" s="38"/>
      <c r="D51" s="33"/>
    </row>
    <row r="52" spans="1:4" x14ac:dyDescent="0.25">
      <c r="A52" s="38"/>
      <c r="B52" s="38"/>
      <c r="C52" s="38"/>
      <c r="D52" s="33"/>
    </row>
    <row r="53" spans="1:4" x14ac:dyDescent="0.25">
      <c r="A53" s="38"/>
      <c r="B53" s="38"/>
      <c r="C53" s="38"/>
      <c r="D53" s="33"/>
    </row>
    <row r="54" spans="1:4" x14ac:dyDescent="0.25">
      <c r="A54" s="38"/>
      <c r="B54" s="38"/>
      <c r="C54" s="38"/>
      <c r="D54" s="33"/>
    </row>
    <row r="55" spans="1:4" x14ac:dyDescent="0.25">
      <c r="A55" s="38"/>
      <c r="B55" s="38"/>
      <c r="C55" s="38"/>
      <c r="D55" s="33"/>
    </row>
    <row r="56" spans="1:4" x14ac:dyDescent="0.25">
      <c r="A56" s="38"/>
      <c r="B56" s="38"/>
      <c r="C56" s="38"/>
      <c r="D56" s="33"/>
    </row>
    <row r="57" spans="1:4" x14ac:dyDescent="0.25">
      <c r="A57" s="38"/>
      <c r="B57" s="38"/>
      <c r="C57" s="38"/>
      <c r="D57" s="33"/>
    </row>
    <row r="58" spans="1:4" x14ac:dyDescent="0.25">
      <c r="A58" s="38"/>
      <c r="B58" s="38"/>
      <c r="C58" s="38"/>
      <c r="D58" s="33"/>
    </row>
    <row r="59" spans="1:4" x14ac:dyDescent="0.25">
      <c r="A59" s="38"/>
      <c r="B59" s="38"/>
      <c r="C59" s="38"/>
      <c r="D59" s="33"/>
    </row>
    <row r="60" spans="1:4" x14ac:dyDescent="0.25">
      <c r="A60" s="38"/>
      <c r="B60" s="38"/>
      <c r="C60" s="38"/>
      <c r="D60" s="33"/>
    </row>
    <row r="61" spans="1:4" x14ac:dyDescent="0.25">
      <c r="A61" s="38"/>
      <c r="B61" s="38"/>
      <c r="C61" s="38"/>
      <c r="D61" s="33"/>
    </row>
    <row r="62" spans="1:4" x14ac:dyDescent="0.25">
      <c r="A62" s="38"/>
      <c r="B62" s="38"/>
      <c r="C62" s="38"/>
      <c r="D62" s="33"/>
    </row>
    <row r="63" spans="1:4" x14ac:dyDescent="0.25">
      <c r="A63" s="38"/>
      <c r="B63" s="38"/>
      <c r="C63" s="38"/>
      <c r="D63" s="33"/>
    </row>
    <row r="64" spans="1:4" x14ac:dyDescent="0.25">
      <c r="A64" s="38"/>
      <c r="B64" s="38"/>
      <c r="C64" s="38"/>
      <c r="D64" s="33"/>
    </row>
    <row r="65" spans="1:4" x14ac:dyDescent="0.25">
      <c r="A65" s="38"/>
      <c r="B65" s="38"/>
      <c r="C65" s="38"/>
      <c r="D65" s="33"/>
    </row>
    <row r="66" spans="1:4" x14ac:dyDescent="0.25">
      <c r="A66" s="38"/>
      <c r="B66" s="38"/>
      <c r="C66" s="38"/>
      <c r="D66" s="33"/>
    </row>
    <row r="67" spans="1:4" x14ac:dyDescent="0.25">
      <c r="A67" s="38"/>
      <c r="B67" s="38"/>
      <c r="C67" s="38"/>
      <c r="D67" s="33"/>
    </row>
    <row r="68" spans="1:4" x14ac:dyDescent="0.25">
      <c r="A68" s="38"/>
      <c r="B68" s="38"/>
      <c r="C68" s="38"/>
      <c r="D68" s="33"/>
    </row>
    <row r="69" spans="1:4" x14ac:dyDescent="0.25">
      <c r="A69" s="38"/>
      <c r="B69" s="38"/>
      <c r="C69" s="38"/>
      <c r="D69" s="33"/>
    </row>
    <row r="70" spans="1:4" x14ac:dyDescent="0.25">
      <c r="A70" s="38"/>
      <c r="B70" s="38"/>
      <c r="C70" s="38"/>
      <c r="D70" s="33"/>
    </row>
    <row r="71" spans="1:4" x14ac:dyDescent="0.25">
      <c r="A71" s="38"/>
      <c r="B71" s="38"/>
      <c r="C71" s="38"/>
      <c r="D71" s="33"/>
    </row>
    <row r="72" spans="1:4" x14ac:dyDescent="0.25">
      <c r="A72" s="38"/>
      <c r="B72" s="38"/>
      <c r="C72" s="38"/>
      <c r="D72" s="33"/>
    </row>
    <row r="73" spans="1:4" x14ac:dyDescent="0.25">
      <c r="A73" s="38"/>
      <c r="B73" s="38"/>
      <c r="C73" s="38"/>
      <c r="D73" s="33"/>
    </row>
    <row r="74" spans="1:4" x14ac:dyDescent="0.25">
      <c r="A74" s="38"/>
      <c r="B74" s="38"/>
      <c r="C74" s="38"/>
      <c r="D74" s="33"/>
    </row>
    <row r="75" spans="1:4" x14ac:dyDescent="0.25">
      <c r="A75" s="38"/>
      <c r="B75" s="38"/>
      <c r="C75" s="38"/>
      <c r="D75" s="33"/>
    </row>
    <row r="76" spans="1:4" x14ac:dyDescent="0.25">
      <c r="A76" s="38"/>
      <c r="B76" s="38"/>
      <c r="C76" s="38"/>
      <c r="D76" s="33"/>
    </row>
    <row r="77" spans="1:4" x14ac:dyDescent="0.25">
      <c r="A77" s="38"/>
      <c r="B77" s="38"/>
      <c r="C77" s="38"/>
      <c r="D77" s="33"/>
    </row>
    <row r="78" spans="1:4" x14ac:dyDescent="0.25">
      <c r="A78" s="38"/>
      <c r="B78" s="38"/>
      <c r="C78" s="38"/>
      <c r="D78" s="33"/>
    </row>
    <row r="79" spans="1:4" x14ac:dyDescent="0.25">
      <c r="A79" s="38"/>
      <c r="B79" s="38"/>
      <c r="C79" s="38"/>
      <c r="D79" s="33"/>
    </row>
    <row r="80" spans="1:4" x14ac:dyDescent="0.25">
      <c r="A80" s="38"/>
      <c r="B80" s="38"/>
      <c r="C80" s="38"/>
      <c r="D80" s="33"/>
    </row>
    <row r="81" spans="1:4" x14ac:dyDescent="0.25">
      <c r="A81" s="38"/>
      <c r="B81" s="38"/>
      <c r="C81" s="38"/>
      <c r="D81" s="33"/>
    </row>
    <row r="82" spans="1:4" x14ac:dyDescent="0.25">
      <c r="A82" s="38"/>
      <c r="B82" s="38"/>
      <c r="C82" s="38"/>
      <c r="D82" s="33"/>
    </row>
    <row r="83" spans="1:4" x14ac:dyDescent="0.25">
      <c r="A83" s="38"/>
      <c r="B83" s="38"/>
      <c r="C83" s="38"/>
      <c r="D83" s="33"/>
    </row>
    <row r="84" spans="1:4" x14ac:dyDescent="0.25">
      <c r="A84" s="38"/>
      <c r="B84" s="38"/>
      <c r="C84" s="38"/>
      <c r="D84" s="33"/>
    </row>
    <row r="85" spans="1:4" x14ac:dyDescent="0.25">
      <c r="A85" s="38"/>
      <c r="B85" s="38"/>
      <c r="C85" s="38"/>
      <c r="D85" s="33"/>
    </row>
    <row r="86" spans="1:4" x14ac:dyDescent="0.25">
      <c r="A86" s="38"/>
      <c r="B86" s="38"/>
      <c r="C86" s="38"/>
      <c r="D86" s="33"/>
    </row>
    <row r="87" spans="1:4" x14ac:dyDescent="0.25">
      <c r="A87" s="38"/>
      <c r="B87" s="38"/>
      <c r="C87" s="38"/>
      <c r="D87" s="33"/>
    </row>
    <row r="88" spans="1:4" x14ac:dyDescent="0.25">
      <c r="A88" s="38"/>
      <c r="B88" s="38"/>
      <c r="C88" s="38"/>
      <c r="D88" s="33"/>
    </row>
    <row r="89" spans="1:4" x14ac:dyDescent="0.25">
      <c r="A89" s="38"/>
      <c r="B89" s="38"/>
      <c r="C89" s="38"/>
      <c r="D89" s="33"/>
    </row>
    <row r="90" spans="1:4" x14ac:dyDescent="0.25">
      <c r="A90" s="38"/>
      <c r="B90" s="38"/>
      <c r="C90" s="38"/>
      <c r="D90" s="33"/>
    </row>
    <row r="91" spans="1:4" x14ac:dyDescent="0.25">
      <c r="A91" s="38"/>
      <c r="B91" s="38"/>
      <c r="C91" s="38"/>
      <c r="D91" s="33"/>
    </row>
    <row r="92" spans="1:4" x14ac:dyDescent="0.25">
      <c r="A92" s="38"/>
      <c r="B92" s="38"/>
      <c r="C92" s="38"/>
      <c r="D92" s="33"/>
    </row>
    <row r="93" spans="1:4" x14ac:dyDescent="0.25">
      <c r="A93" s="38"/>
      <c r="B93" s="38"/>
      <c r="C93" s="38"/>
      <c r="D93" s="33"/>
    </row>
    <row r="94" spans="1:4" x14ac:dyDescent="0.25">
      <c r="A94" s="38"/>
      <c r="B94" s="38"/>
      <c r="C94" s="38"/>
      <c r="D94" s="33"/>
    </row>
    <row r="95" spans="1:4" x14ac:dyDescent="0.25">
      <c r="A95" s="38"/>
      <c r="B95" s="38"/>
      <c r="C95" s="38"/>
      <c r="D95" s="33"/>
    </row>
    <row r="96" spans="1:4" x14ac:dyDescent="0.25">
      <c r="A96" s="38"/>
      <c r="B96" s="38"/>
      <c r="C96" s="38"/>
      <c r="D96" s="33"/>
    </row>
    <row r="97" spans="1:4" x14ac:dyDescent="0.25">
      <c r="A97" s="38"/>
      <c r="B97" s="38"/>
      <c r="C97" s="38"/>
      <c r="D97" s="33"/>
    </row>
    <row r="98" spans="1:4" x14ac:dyDescent="0.25">
      <c r="A98" s="38"/>
      <c r="B98" s="38"/>
      <c r="C98" s="38"/>
      <c r="D98" s="33"/>
    </row>
    <row r="99" spans="1:4" x14ac:dyDescent="0.25">
      <c r="A99" s="38"/>
      <c r="B99" s="38"/>
      <c r="C99" s="38"/>
      <c r="D99" s="33"/>
    </row>
    <row r="100" spans="1:4" x14ac:dyDescent="0.25">
      <c r="A100" s="38"/>
      <c r="B100" s="38"/>
      <c r="C100" s="38"/>
      <c r="D100" s="33"/>
    </row>
    <row r="101" spans="1:4" x14ac:dyDescent="0.25">
      <c r="A101" s="38"/>
      <c r="B101" s="38"/>
      <c r="C101" s="38"/>
      <c r="D101" s="33"/>
    </row>
    <row r="102" spans="1:4" x14ac:dyDescent="0.25">
      <c r="A102" s="38"/>
      <c r="B102" s="38"/>
      <c r="C102" s="38"/>
      <c r="D102" s="33"/>
    </row>
    <row r="103" spans="1:4" x14ac:dyDescent="0.25">
      <c r="A103" s="38"/>
      <c r="B103" s="38"/>
      <c r="C103" s="38"/>
      <c r="D103" s="33"/>
    </row>
    <row r="104" spans="1:4" x14ac:dyDescent="0.25">
      <c r="A104" s="38"/>
      <c r="B104" s="38"/>
      <c r="C104" s="38"/>
      <c r="D104" s="33"/>
    </row>
    <row r="105" spans="1:4" x14ac:dyDescent="0.25">
      <c r="A105" s="38"/>
      <c r="B105" s="38"/>
      <c r="C105" s="38"/>
      <c r="D105" s="33"/>
    </row>
    <row r="106" spans="1:4" x14ac:dyDescent="0.25">
      <c r="A106" s="38"/>
      <c r="B106" s="38"/>
      <c r="C106" s="38"/>
      <c r="D106" s="33"/>
    </row>
    <row r="107" spans="1:4" x14ac:dyDescent="0.25">
      <c r="A107" s="38"/>
      <c r="B107" s="38"/>
      <c r="C107" s="38"/>
      <c r="D107" s="33"/>
    </row>
    <row r="108" spans="1:4" x14ac:dyDescent="0.25">
      <c r="A108" s="38"/>
      <c r="B108" s="38"/>
      <c r="C108" s="38"/>
      <c r="D108" s="33"/>
    </row>
    <row r="109" spans="1:4" x14ac:dyDescent="0.25">
      <c r="A109" s="38"/>
      <c r="B109" s="38"/>
      <c r="C109" s="38"/>
      <c r="D109" s="33"/>
    </row>
    <row r="110" spans="1:4" x14ac:dyDescent="0.25">
      <c r="A110" s="38"/>
      <c r="B110" s="38"/>
      <c r="C110" s="38"/>
      <c r="D110" s="33"/>
    </row>
    <row r="111" spans="1:4" x14ac:dyDescent="0.25">
      <c r="A111" s="38"/>
      <c r="B111" s="38"/>
      <c r="C111" s="38"/>
      <c r="D111" s="33"/>
    </row>
    <row r="112" spans="1:4" x14ac:dyDescent="0.25">
      <c r="A112" s="38"/>
      <c r="B112" s="38"/>
      <c r="C112" s="38"/>
      <c r="D112" s="33"/>
    </row>
    <row r="113" spans="1:5" x14ac:dyDescent="0.25">
      <c r="A113" s="38"/>
      <c r="B113" s="38"/>
      <c r="C113" s="38"/>
      <c r="D113" s="33"/>
    </row>
    <row r="114" spans="1:5" x14ac:dyDescent="0.25">
      <c r="A114" s="38"/>
      <c r="B114" s="38"/>
      <c r="C114" s="38"/>
      <c r="D114" s="33"/>
    </row>
    <row r="115" spans="1:5" x14ac:dyDescent="0.25">
      <c r="A115" s="38"/>
      <c r="B115" s="38"/>
      <c r="C115" s="38"/>
      <c r="D115" s="33"/>
    </row>
    <row r="116" spans="1:5" x14ac:dyDescent="0.25">
      <c r="A116" s="38"/>
      <c r="B116" s="38"/>
      <c r="C116" s="38"/>
      <c r="D116" s="33"/>
    </row>
    <row r="117" spans="1:5" x14ac:dyDescent="0.25">
      <c r="A117" s="38"/>
      <c r="B117" s="38"/>
      <c r="C117" s="38"/>
      <c r="D117" s="33"/>
    </row>
    <row r="118" spans="1:5" x14ac:dyDescent="0.25">
      <c r="A118" s="38"/>
      <c r="B118" s="38"/>
      <c r="C118" s="38"/>
      <c r="D118" s="33"/>
    </row>
    <row r="119" spans="1:5" x14ac:dyDescent="0.25">
      <c r="C119" s="7"/>
    </row>
    <row r="120" spans="1:5" x14ac:dyDescent="0.25">
      <c r="A120" s="33" t="s">
        <v>60</v>
      </c>
      <c r="B120" s="39"/>
      <c r="C120" s="33"/>
      <c r="D120" s="33" t="s">
        <v>61</v>
      </c>
    </row>
    <row r="121" spans="1:5" x14ac:dyDescent="0.25">
      <c r="A121" s="33" t="s">
        <v>62</v>
      </c>
      <c r="B121" s="33"/>
      <c r="C121" s="33"/>
      <c r="D121" s="33" t="s">
        <v>63</v>
      </c>
    </row>
    <row r="123" spans="1:5" x14ac:dyDescent="0.25">
      <c r="A123" s="1" t="s">
        <v>64</v>
      </c>
      <c r="B123" s="1" t="s">
        <v>65</v>
      </c>
      <c r="C123" s="1" t="s">
        <v>66</v>
      </c>
      <c r="D123" s="1" t="s">
        <v>67</v>
      </c>
      <c r="E123" s="1" t="s">
        <v>68</v>
      </c>
    </row>
    <row r="124" spans="1:5" x14ac:dyDescent="0.25">
      <c r="A124" s="1">
        <v>1</v>
      </c>
    </row>
    <row r="125" spans="1:5" x14ac:dyDescent="0.25">
      <c r="A125" s="1">
        <v>2</v>
      </c>
    </row>
    <row r="126" spans="1:5" x14ac:dyDescent="0.25">
      <c r="A126" s="1">
        <v>3</v>
      </c>
    </row>
    <row r="127" spans="1:5" x14ac:dyDescent="0.25">
      <c r="B127" s="7" t="s">
        <v>7</v>
      </c>
    </row>
  </sheetData>
  <mergeCells count="5">
    <mergeCell ref="A5:F5"/>
    <mergeCell ref="A6:F6"/>
    <mergeCell ref="A7:B7"/>
    <mergeCell ref="C7:D7"/>
    <mergeCell ref="E7:F7"/>
  </mergeCells>
  <conditionalFormatting sqref="B11">
    <cfRule type="duplicateValues" dxfId="9" priority="1"/>
  </conditionalFormatting>
  <printOptions horizontalCentered="1" verticalCentered="1"/>
  <pageMargins left="0" right="0" top="0" bottom="0" header="0" footer="0"/>
  <pageSetup scale="9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I127"/>
  <sheetViews>
    <sheetView workbookViewId="0">
      <selection sqref="A1:XFD1048576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9" ht="15.75" thickBot="1" x14ac:dyDescent="0.3">
      <c r="B1" s="19"/>
      <c r="C1" s="19"/>
      <c r="D1" s="19"/>
      <c r="E1" s="19"/>
      <c r="F1" s="19"/>
    </row>
    <row r="2" spans="1:9" ht="15.75" x14ac:dyDescent="0.25">
      <c r="A2" s="20"/>
      <c r="B2" s="21"/>
      <c r="C2" s="22"/>
      <c r="D2" s="23"/>
      <c r="E2" s="22"/>
      <c r="F2" s="24"/>
      <c r="G2" s="25"/>
    </row>
    <row r="3" spans="1:9" ht="16.5" thickBot="1" x14ac:dyDescent="0.3">
      <c r="A3" s="20"/>
      <c r="B3" s="26"/>
      <c r="C3" s="27"/>
      <c r="D3" s="28"/>
      <c r="E3" s="28"/>
      <c r="F3" s="28"/>
    </row>
    <row r="4" spans="1:9" x14ac:dyDescent="0.25">
      <c r="B4" s="29"/>
      <c r="C4" s="29"/>
      <c r="D4" s="29"/>
      <c r="E4" s="29"/>
      <c r="F4" s="44"/>
    </row>
    <row r="5" spans="1:9" ht="15.75" x14ac:dyDescent="0.25">
      <c r="A5" s="61" t="s">
        <v>42</v>
      </c>
      <c r="B5" s="61"/>
      <c r="C5" s="61"/>
      <c r="D5" s="61"/>
      <c r="E5" s="61"/>
      <c r="F5" s="62"/>
    </row>
    <row r="6" spans="1:9" ht="15.75" x14ac:dyDescent="0.25">
      <c r="A6" s="61" t="s">
        <v>183</v>
      </c>
      <c r="B6" s="61"/>
      <c r="C6" s="61"/>
      <c r="D6" s="61"/>
      <c r="E6" s="61"/>
      <c r="F6" s="61"/>
    </row>
    <row r="7" spans="1:9" ht="23.25" x14ac:dyDescent="0.25">
      <c r="A7" s="63" t="s">
        <v>43</v>
      </c>
      <c r="B7" s="63"/>
      <c r="C7" s="64" t="s">
        <v>44</v>
      </c>
      <c r="D7" s="64"/>
      <c r="E7" s="65" t="s">
        <v>45</v>
      </c>
      <c r="F7" s="65"/>
    </row>
    <row r="8" spans="1:9" x14ac:dyDescent="0.25">
      <c r="A8" s="1" t="s">
        <v>46</v>
      </c>
      <c r="B8" s="2"/>
      <c r="C8" s="30"/>
      <c r="E8" s="1" t="s">
        <v>47</v>
      </c>
      <c r="F8" s="31"/>
      <c r="G8" s="32" t="s">
        <v>89</v>
      </c>
      <c r="H8" s="34"/>
    </row>
    <row r="9" spans="1:9" x14ac:dyDescent="0.25">
      <c r="A9" s="1" t="s">
        <v>48</v>
      </c>
      <c r="B9" s="33"/>
      <c r="C9" s="30"/>
      <c r="E9" s="1" t="s">
        <v>49</v>
      </c>
      <c r="G9" s="1" t="s">
        <v>90</v>
      </c>
      <c r="H9" s="34"/>
    </row>
    <row r="10" spans="1:9" x14ac:dyDescent="0.25">
      <c r="A10" s="1" t="s">
        <v>50</v>
      </c>
      <c r="B10" s="2"/>
      <c r="E10" s="1" t="s">
        <v>51</v>
      </c>
      <c r="G10" s="1" t="s">
        <v>91</v>
      </c>
    </row>
    <row r="11" spans="1:9" x14ac:dyDescent="0.25">
      <c r="A11" s="1" t="s">
        <v>52</v>
      </c>
      <c r="B11" s="33"/>
      <c r="I11" s="34"/>
    </row>
    <row r="12" spans="1:9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</row>
    <row r="13" spans="1:9" x14ac:dyDescent="0.25">
      <c r="A13" s="38"/>
      <c r="B13" s="38"/>
      <c r="C13" s="38"/>
      <c r="E13" s="33"/>
      <c r="F13" s="33"/>
      <c r="H13" s="34"/>
    </row>
    <row r="14" spans="1:9" x14ac:dyDescent="0.25">
      <c r="A14" s="38"/>
      <c r="B14" s="38"/>
      <c r="C14" s="38"/>
      <c r="E14" s="33"/>
      <c r="G14" s="34"/>
      <c r="H14" s="34"/>
    </row>
    <row r="15" spans="1:9" x14ac:dyDescent="0.25">
      <c r="A15" s="38"/>
      <c r="B15" s="38"/>
      <c r="C15" s="38"/>
      <c r="E15" s="33"/>
      <c r="H15" s="34"/>
    </row>
    <row r="16" spans="1:9" x14ac:dyDescent="0.25">
      <c r="A16" s="38"/>
      <c r="B16" s="38"/>
      <c r="C16" s="38"/>
      <c r="E16" s="33"/>
    </row>
    <row r="17" spans="1:4" x14ac:dyDescent="0.25">
      <c r="A17" s="38"/>
      <c r="B17" s="38"/>
      <c r="C17" s="38"/>
    </row>
    <row r="18" spans="1:4" x14ac:dyDescent="0.25">
      <c r="A18" s="38"/>
      <c r="B18" s="38"/>
      <c r="C18" s="38"/>
      <c r="D18" s="33"/>
    </row>
    <row r="19" spans="1:4" x14ac:dyDescent="0.25">
      <c r="A19" s="38"/>
      <c r="B19" s="38"/>
      <c r="C19" s="38"/>
      <c r="D19" s="33"/>
    </row>
    <row r="20" spans="1:4" x14ac:dyDescent="0.25">
      <c r="A20" s="38"/>
      <c r="B20" s="38"/>
      <c r="C20" s="38"/>
      <c r="D20" s="33"/>
    </row>
    <row r="21" spans="1:4" x14ac:dyDescent="0.25">
      <c r="A21" s="38"/>
      <c r="B21" s="38"/>
      <c r="C21" s="38"/>
      <c r="D21" s="33"/>
    </row>
    <row r="22" spans="1:4" x14ac:dyDescent="0.25">
      <c r="A22" s="38"/>
      <c r="B22" s="38"/>
      <c r="C22" s="38"/>
      <c r="D22" s="33"/>
    </row>
    <row r="23" spans="1:4" x14ac:dyDescent="0.25">
      <c r="A23" s="38"/>
      <c r="B23" s="38"/>
      <c r="C23" s="38"/>
      <c r="D23" s="33"/>
    </row>
    <row r="24" spans="1:4" x14ac:dyDescent="0.25">
      <c r="A24" s="38"/>
      <c r="B24" s="38"/>
      <c r="C24" s="38"/>
      <c r="D24" s="33"/>
    </row>
    <row r="25" spans="1:4" x14ac:dyDescent="0.25">
      <c r="A25" s="38"/>
      <c r="B25" s="38"/>
      <c r="C25" s="38"/>
      <c r="D25" s="33"/>
    </row>
    <row r="26" spans="1:4" x14ac:dyDescent="0.25">
      <c r="A26" s="38"/>
      <c r="B26" s="38"/>
      <c r="C26" s="38"/>
      <c r="D26" s="33"/>
    </row>
    <row r="27" spans="1:4" x14ac:dyDescent="0.25">
      <c r="A27" s="38"/>
      <c r="B27" s="38"/>
      <c r="C27" s="38"/>
      <c r="D27" s="33"/>
    </row>
    <row r="28" spans="1:4" x14ac:dyDescent="0.25">
      <c r="A28" s="38"/>
      <c r="B28" s="38"/>
      <c r="C28" s="38"/>
      <c r="D28" s="33"/>
    </row>
    <row r="29" spans="1:4" x14ac:dyDescent="0.25">
      <c r="A29" s="38"/>
      <c r="B29" s="38"/>
      <c r="C29" s="38"/>
      <c r="D29" s="33"/>
    </row>
    <row r="30" spans="1:4" x14ac:dyDescent="0.25">
      <c r="A30" s="38"/>
      <c r="B30" s="38"/>
      <c r="C30" s="38"/>
      <c r="D30" s="33"/>
    </row>
    <row r="31" spans="1:4" x14ac:dyDescent="0.25">
      <c r="A31" s="38"/>
      <c r="B31" s="38"/>
      <c r="C31" s="38"/>
      <c r="D31" s="33"/>
    </row>
    <row r="32" spans="1:4" x14ac:dyDescent="0.25">
      <c r="A32" s="38"/>
      <c r="B32" s="38"/>
      <c r="C32" s="38"/>
      <c r="D32" s="33"/>
    </row>
    <row r="33" spans="1:4" x14ac:dyDescent="0.25">
      <c r="A33" s="38"/>
      <c r="B33" s="38"/>
      <c r="C33" s="38"/>
      <c r="D33" s="33"/>
    </row>
    <row r="34" spans="1:4" x14ac:dyDescent="0.25">
      <c r="A34" s="38"/>
      <c r="B34" s="38"/>
      <c r="C34" s="38"/>
      <c r="D34" s="33"/>
    </row>
    <row r="35" spans="1:4" x14ac:dyDescent="0.25">
      <c r="A35" s="38"/>
      <c r="B35" s="38"/>
      <c r="C35" s="38"/>
      <c r="D35" s="33"/>
    </row>
    <row r="36" spans="1:4" x14ac:dyDescent="0.25">
      <c r="A36" s="38"/>
      <c r="B36" s="38"/>
      <c r="C36" s="38"/>
      <c r="D36" s="33"/>
    </row>
    <row r="37" spans="1:4" x14ac:dyDescent="0.25">
      <c r="A37" s="38"/>
      <c r="B37" s="38"/>
      <c r="C37" s="38"/>
      <c r="D37" s="33"/>
    </row>
    <row r="38" spans="1:4" x14ac:dyDescent="0.25">
      <c r="A38" s="38"/>
      <c r="B38" s="38"/>
      <c r="C38" s="38"/>
      <c r="D38" s="33"/>
    </row>
    <row r="39" spans="1:4" x14ac:dyDescent="0.25">
      <c r="A39" s="38"/>
      <c r="B39" s="38"/>
      <c r="C39" s="38"/>
      <c r="D39" s="33"/>
    </row>
    <row r="40" spans="1:4" x14ac:dyDescent="0.25">
      <c r="A40" s="38"/>
      <c r="B40" s="38"/>
      <c r="C40" s="38"/>
      <c r="D40" s="33"/>
    </row>
    <row r="41" spans="1:4" x14ac:dyDescent="0.25">
      <c r="A41" s="38"/>
      <c r="B41" s="38"/>
      <c r="C41" s="38"/>
      <c r="D41" s="33"/>
    </row>
    <row r="42" spans="1:4" x14ac:dyDescent="0.25">
      <c r="A42" s="38"/>
      <c r="B42" s="38"/>
      <c r="C42" s="38"/>
      <c r="D42" s="33"/>
    </row>
    <row r="43" spans="1:4" x14ac:dyDescent="0.25">
      <c r="A43" s="38"/>
      <c r="B43" s="38"/>
      <c r="C43" s="38"/>
      <c r="D43" s="33"/>
    </row>
    <row r="44" spans="1:4" x14ac:dyDescent="0.25">
      <c r="A44" s="38"/>
      <c r="B44" s="38"/>
      <c r="C44" s="38"/>
      <c r="D44" s="33"/>
    </row>
    <row r="45" spans="1:4" x14ac:dyDescent="0.25">
      <c r="A45" s="38"/>
      <c r="B45" s="38"/>
      <c r="C45" s="38"/>
      <c r="D45" s="33"/>
    </row>
    <row r="46" spans="1:4" x14ac:dyDescent="0.25">
      <c r="A46" s="38"/>
      <c r="B46" s="38"/>
      <c r="C46" s="38"/>
      <c r="D46" s="33"/>
    </row>
    <row r="47" spans="1:4" x14ac:dyDescent="0.25">
      <c r="A47" s="38"/>
      <c r="B47" s="38"/>
      <c r="C47" s="38"/>
      <c r="D47" s="33"/>
    </row>
    <row r="48" spans="1:4" x14ac:dyDescent="0.25">
      <c r="A48" s="38"/>
      <c r="B48" s="38"/>
      <c r="C48" s="38"/>
      <c r="D48" s="33"/>
    </row>
    <row r="49" spans="1:4" x14ac:dyDescent="0.25">
      <c r="A49" s="38"/>
      <c r="B49" s="38"/>
      <c r="C49" s="38"/>
      <c r="D49" s="33"/>
    </row>
    <row r="50" spans="1:4" x14ac:dyDescent="0.25">
      <c r="A50" s="38"/>
      <c r="B50" s="38"/>
      <c r="C50" s="38"/>
      <c r="D50" s="33"/>
    </row>
    <row r="51" spans="1:4" x14ac:dyDescent="0.25">
      <c r="A51" s="38"/>
      <c r="B51" s="38"/>
      <c r="C51" s="38"/>
      <c r="D51" s="33"/>
    </row>
    <row r="52" spans="1:4" x14ac:dyDescent="0.25">
      <c r="A52" s="38"/>
      <c r="B52" s="38"/>
      <c r="C52" s="38"/>
      <c r="D52" s="33"/>
    </row>
    <row r="53" spans="1:4" x14ac:dyDescent="0.25">
      <c r="A53" s="38"/>
      <c r="B53" s="38"/>
      <c r="C53" s="38"/>
      <c r="D53" s="33"/>
    </row>
    <row r="54" spans="1:4" x14ac:dyDescent="0.25">
      <c r="A54" s="38"/>
      <c r="B54" s="38"/>
      <c r="C54" s="38"/>
      <c r="D54" s="33"/>
    </row>
    <row r="55" spans="1:4" x14ac:dyDescent="0.25">
      <c r="A55" s="38"/>
      <c r="B55" s="38"/>
      <c r="C55" s="38"/>
      <c r="D55" s="33"/>
    </row>
    <row r="56" spans="1:4" x14ac:dyDescent="0.25">
      <c r="A56" s="38"/>
      <c r="B56" s="38"/>
      <c r="C56" s="38"/>
      <c r="D56" s="33"/>
    </row>
    <row r="57" spans="1:4" x14ac:dyDescent="0.25">
      <c r="A57" s="38"/>
      <c r="B57" s="38"/>
      <c r="C57" s="38"/>
      <c r="D57" s="33"/>
    </row>
    <row r="58" spans="1:4" x14ac:dyDescent="0.25">
      <c r="A58" s="38"/>
      <c r="B58" s="38"/>
      <c r="C58" s="38"/>
      <c r="D58" s="33"/>
    </row>
    <row r="59" spans="1:4" x14ac:dyDescent="0.25">
      <c r="A59" s="38"/>
      <c r="B59" s="38"/>
      <c r="C59" s="38"/>
      <c r="D59" s="33"/>
    </row>
    <row r="60" spans="1:4" x14ac:dyDescent="0.25">
      <c r="A60" s="38"/>
      <c r="B60" s="38"/>
      <c r="C60" s="38"/>
      <c r="D60" s="33"/>
    </row>
    <row r="61" spans="1:4" x14ac:dyDescent="0.25">
      <c r="A61" s="38"/>
      <c r="B61" s="38"/>
      <c r="C61" s="38"/>
      <c r="D61" s="33"/>
    </row>
    <row r="62" spans="1:4" x14ac:dyDescent="0.25">
      <c r="A62" s="38"/>
      <c r="B62" s="38"/>
      <c r="C62" s="38"/>
      <c r="D62" s="33"/>
    </row>
    <row r="63" spans="1:4" x14ac:dyDescent="0.25">
      <c r="A63" s="38"/>
      <c r="B63" s="38"/>
      <c r="C63" s="38"/>
      <c r="D63" s="33"/>
    </row>
    <row r="64" spans="1:4" x14ac:dyDescent="0.25">
      <c r="A64" s="38"/>
      <c r="B64" s="38"/>
      <c r="C64" s="38"/>
      <c r="D64" s="33"/>
    </row>
    <row r="65" spans="1:4" x14ac:dyDescent="0.25">
      <c r="A65" s="38"/>
      <c r="B65" s="38"/>
      <c r="C65" s="38"/>
      <c r="D65" s="33"/>
    </row>
    <row r="66" spans="1:4" x14ac:dyDescent="0.25">
      <c r="A66" s="38"/>
      <c r="B66" s="38"/>
      <c r="C66" s="38"/>
      <c r="D66" s="33"/>
    </row>
    <row r="67" spans="1:4" x14ac:dyDescent="0.25">
      <c r="A67" s="38"/>
      <c r="B67" s="38"/>
      <c r="C67" s="38"/>
      <c r="D67" s="33"/>
    </row>
    <row r="68" spans="1:4" x14ac:dyDescent="0.25">
      <c r="A68" s="38"/>
      <c r="B68" s="38"/>
      <c r="C68" s="38"/>
      <c r="D68" s="33"/>
    </row>
    <row r="69" spans="1:4" x14ac:dyDescent="0.25">
      <c r="A69" s="38"/>
      <c r="B69" s="38"/>
      <c r="C69" s="38"/>
      <c r="D69" s="33"/>
    </row>
    <row r="70" spans="1:4" x14ac:dyDescent="0.25">
      <c r="A70" s="38"/>
      <c r="B70" s="38"/>
      <c r="C70" s="38"/>
      <c r="D70" s="33"/>
    </row>
    <row r="71" spans="1:4" x14ac:dyDescent="0.25">
      <c r="A71" s="38"/>
      <c r="B71" s="38"/>
      <c r="C71" s="38"/>
      <c r="D71" s="33"/>
    </row>
    <row r="72" spans="1:4" x14ac:dyDescent="0.25">
      <c r="A72" s="38"/>
      <c r="B72" s="38"/>
      <c r="C72" s="38"/>
      <c r="D72" s="33"/>
    </row>
    <row r="73" spans="1:4" x14ac:dyDescent="0.25">
      <c r="A73" s="38"/>
      <c r="B73" s="38"/>
      <c r="C73" s="38"/>
      <c r="D73" s="33"/>
    </row>
    <row r="74" spans="1:4" x14ac:dyDescent="0.25">
      <c r="A74" s="38"/>
      <c r="B74" s="38"/>
      <c r="C74" s="38"/>
      <c r="D74" s="33"/>
    </row>
    <row r="75" spans="1:4" x14ac:dyDescent="0.25">
      <c r="A75" s="38"/>
      <c r="B75" s="38"/>
      <c r="C75" s="38"/>
      <c r="D75" s="33"/>
    </row>
    <row r="76" spans="1:4" x14ac:dyDescent="0.25">
      <c r="A76" s="38"/>
      <c r="B76" s="38"/>
      <c r="C76" s="38"/>
      <c r="D76" s="33"/>
    </row>
    <row r="77" spans="1:4" x14ac:dyDescent="0.25">
      <c r="A77" s="38"/>
      <c r="B77" s="38"/>
      <c r="C77" s="38"/>
      <c r="D77" s="33"/>
    </row>
    <row r="78" spans="1:4" x14ac:dyDescent="0.25">
      <c r="A78" s="38"/>
      <c r="B78" s="38"/>
      <c r="C78" s="38"/>
      <c r="D78" s="33"/>
    </row>
    <row r="79" spans="1:4" x14ac:dyDescent="0.25">
      <c r="A79" s="38"/>
      <c r="B79" s="38"/>
      <c r="C79" s="38"/>
      <c r="D79" s="33"/>
    </row>
    <row r="80" spans="1:4" x14ac:dyDescent="0.25">
      <c r="A80" s="38"/>
      <c r="B80" s="38"/>
      <c r="C80" s="38"/>
      <c r="D80" s="33"/>
    </row>
    <row r="81" spans="1:4" x14ac:dyDescent="0.25">
      <c r="A81" s="38"/>
      <c r="B81" s="38"/>
      <c r="C81" s="38"/>
      <c r="D81" s="33"/>
    </row>
    <row r="82" spans="1:4" x14ac:dyDescent="0.25">
      <c r="A82" s="38"/>
      <c r="B82" s="38"/>
      <c r="C82" s="38"/>
      <c r="D82" s="33"/>
    </row>
    <row r="83" spans="1:4" x14ac:dyDescent="0.25">
      <c r="A83" s="38"/>
      <c r="B83" s="38"/>
      <c r="C83" s="38"/>
      <c r="D83" s="33"/>
    </row>
    <row r="84" spans="1:4" x14ac:dyDescent="0.25">
      <c r="A84" s="38"/>
      <c r="B84" s="38"/>
      <c r="C84" s="38"/>
      <c r="D84" s="33"/>
    </row>
    <row r="85" spans="1:4" x14ac:dyDescent="0.25">
      <c r="A85" s="38"/>
      <c r="B85" s="38"/>
      <c r="C85" s="38"/>
      <c r="D85" s="33"/>
    </row>
    <row r="86" spans="1:4" x14ac:dyDescent="0.25">
      <c r="A86" s="38"/>
      <c r="B86" s="38"/>
      <c r="C86" s="38"/>
      <c r="D86" s="33"/>
    </row>
    <row r="87" spans="1:4" x14ac:dyDescent="0.25">
      <c r="A87" s="38"/>
      <c r="B87" s="38"/>
      <c r="C87" s="38"/>
      <c r="D87" s="33"/>
    </row>
    <row r="88" spans="1:4" x14ac:dyDescent="0.25">
      <c r="A88" s="38"/>
      <c r="B88" s="38"/>
      <c r="C88" s="38"/>
      <c r="D88" s="33"/>
    </row>
    <row r="89" spans="1:4" x14ac:dyDescent="0.25">
      <c r="A89" s="38"/>
      <c r="B89" s="38"/>
      <c r="C89" s="38"/>
      <c r="D89" s="33"/>
    </row>
    <row r="90" spans="1:4" x14ac:dyDescent="0.25">
      <c r="A90" s="38"/>
      <c r="B90" s="38"/>
      <c r="C90" s="38"/>
      <c r="D90" s="33"/>
    </row>
    <row r="91" spans="1:4" x14ac:dyDescent="0.25">
      <c r="A91" s="38"/>
      <c r="B91" s="38"/>
      <c r="C91" s="38"/>
      <c r="D91" s="33"/>
    </row>
    <row r="92" spans="1:4" x14ac:dyDescent="0.25">
      <c r="A92" s="38"/>
      <c r="B92" s="38"/>
      <c r="C92" s="38"/>
      <c r="D92" s="33"/>
    </row>
    <row r="93" spans="1:4" x14ac:dyDescent="0.25">
      <c r="A93" s="38"/>
      <c r="B93" s="38"/>
      <c r="C93" s="38"/>
      <c r="D93" s="33"/>
    </row>
    <row r="94" spans="1:4" x14ac:dyDescent="0.25">
      <c r="A94" s="38"/>
      <c r="B94" s="38"/>
      <c r="C94" s="38"/>
      <c r="D94" s="33"/>
    </row>
    <row r="95" spans="1:4" x14ac:dyDescent="0.25">
      <c r="A95" s="38"/>
      <c r="B95" s="38"/>
      <c r="C95" s="38"/>
      <c r="D95" s="33"/>
    </row>
    <row r="96" spans="1:4" x14ac:dyDescent="0.25">
      <c r="A96" s="38"/>
      <c r="B96" s="38"/>
      <c r="C96" s="38"/>
      <c r="D96" s="33"/>
    </row>
    <row r="97" spans="1:4" x14ac:dyDescent="0.25">
      <c r="A97" s="38"/>
      <c r="B97" s="38"/>
      <c r="C97" s="38"/>
      <c r="D97" s="33"/>
    </row>
    <row r="98" spans="1:4" x14ac:dyDescent="0.25">
      <c r="A98" s="38"/>
      <c r="B98" s="38"/>
      <c r="C98" s="38"/>
      <c r="D98" s="33"/>
    </row>
    <row r="99" spans="1:4" x14ac:dyDescent="0.25">
      <c r="A99" s="38"/>
      <c r="B99" s="38"/>
      <c r="C99" s="38"/>
      <c r="D99" s="33"/>
    </row>
    <row r="100" spans="1:4" x14ac:dyDescent="0.25">
      <c r="A100" s="38"/>
      <c r="B100" s="38"/>
      <c r="C100" s="38"/>
      <c r="D100" s="33"/>
    </row>
    <row r="101" spans="1:4" x14ac:dyDescent="0.25">
      <c r="A101" s="38"/>
      <c r="B101" s="38"/>
      <c r="C101" s="38"/>
      <c r="D101" s="33"/>
    </row>
    <row r="102" spans="1:4" x14ac:dyDescent="0.25">
      <c r="A102" s="38"/>
      <c r="B102" s="38"/>
      <c r="C102" s="38"/>
      <c r="D102" s="33"/>
    </row>
    <row r="103" spans="1:4" x14ac:dyDescent="0.25">
      <c r="A103" s="38"/>
      <c r="B103" s="38"/>
      <c r="C103" s="38"/>
      <c r="D103" s="33"/>
    </row>
    <row r="104" spans="1:4" x14ac:dyDescent="0.25">
      <c r="A104" s="38"/>
      <c r="B104" s="38"/>
      <c r="C104" s="38"/>
      <c r="D104" s="33"/>
    </row>
    <row r="105" spans="1:4" x14ac:dyDescent="0.25">
      <c r="A105" s="38"/>
      <c r="B105" s="38"/>
      <c r="C105" s="38"/>
      <c r="D105" s="33"/>
    </row>
    <row r="106" spans="1:4" x14ac:dyDescent="0.25">
      <c r="A106" s="38"/>
      <c r="B106" s="38"/>
      <c r="C106" s="38"/>
      <c r="D106" s="33"/>
    </row>
    <row r="107" spans="1:4" x14ac:dyDescent="0.25">
      <c r="A107" s="38"/>
      <c r="B107" s="38"/>
      <c r="C107" s="38"/>
      <c r="D107" s="33"/>
    </row>
    <row r="108" spans="1:4" x14ac:dyDescent="0.25">
      <c r="A108" s="38"/>
      <c r="B108" s="38"/>
      <c r="C108" s="38"/>
      <c r="D108" s="33"/>
    </row>
    <row r="109" spans="1:4" x14ac:dyDescent="0.25">
      <c r="A109" s="38"/>
      <c r="B109" s="38"/>
      <c r="C109" s="38"/>
      <c r="D109" s="33"/>
    </row>
    <row r="110" spans="1:4" x14ac:dyDescent="0.25">
      <c r="A110" s="38"/>
      <c r="B110" s="38"/>
      <c r="C110" s="38"/>
      <c r="D110" s="33"/>
    </row>
    <row r="111" spans="1:4" x14ac:dyDescent="0.25">
      <c r="A111" s="38"/>
      <c r="B111" s="38"/>
      <c r="C111" s="38"/>
      <c r="D111" s="33"/>
    </row>
    <row r="112" spans="1:4" x14ac:dyDescent="0.25">
      <c r="A112" s="38"/>
      <c r="B112" s="38"/>
      <c r="C112" s="38"/>
      <c r="D112" s="33"/>
    </row>
    <row r="113" spans="1:5" x14ac:dyDescent="0.25">
      <c r="A113" s="38"/>
      <c r="B113" s="38"/>
      <c r="C113" s="38"/>
      <c r="D113" s="33"/>
    </row>
    <row r="114" spans="1:5" x14ac:dyDescent="0.25">
      <c r="A114" s="38"/>
      <c r="B114" s="38"/>
      <c r="C114" s="38"/>
      <c r="D114" s="33"/>
    </row>
    <row r="115" spans="1:5" x14ac:dyDescent="0.25">
      <c r="A115" s="38"/>
      <c r="B115" s="38"/>
      <c r="C115" s="38"/>
      <c r="D115" s="33"/>
    </row>
    <row r="116" spans="1:5" x14ac:dyDescent="0.25">
      <c r="A116" s="38"/>
      <c r="B116" s="38"/>
      <c r="C116" s="38"/>
      <c r="D116" s="33"/>
    </row>
    <row r="117" spans="1:5" x14ac:dyDescent="0.25">
      <c r="A117" s="38"/>
      <c r="B117" s="38"/>
      <c r="C117" s="38"/>
      <c r="D117" s="33"/>
    </row>
    <row r="118" spans="1:5" x14ac:dyDescent="0.25">
      <c r="A118" s="38"/>
      <c r="B118" s="38"/>
      <c r="C118" s="38"/>
      <c r="D118" s="33"/>
    </row>
    <row r="119" spans="1:5" x14ac:dyDescent="0.25">
      <c r="C119" s="7"/>
    </row>
    <row r="120" spans="1:5" x14ac:dyDescent="0.25">
      <c r="A120" s="33" t="s">
        <v>60</v>
      </c>
      <c r="B120" s="39"/>
      <c r="C120" s="33"/>
      <c r="D120" s="33" t="s">
        <v>61</v>
      </c>
    </row>
    <row r="121" spans="1:5" x14ac:dyDescent="0.25">
      <c r="A121" s="33" t="s">
        <v>62</v>
      </c>
      <c r="B121" s="33"/>
      <c r="C121" s="33"/>
      <c r="D121" s="33" t="s">
        <v>63</v>
      </c>
    </row>
    <row r="123" spans="1:5" x14ac:dyDescent="0.25">
      <c r="A123" s="1" t="s">
        <v>64</v>
      </c>
      <c r="B123" s="1" t="s">
        <v>65</v>
      </c>
      <c r="C123" s="1" t="s">
        <v>66</v>
      </c>
      <c r="D123" s="1" t="s">
        <v>67</v>
      </c>
      <c r="E123" s="1" t="s">
        <v>68</v>
      </c>
    </row>
    <row r="124" spans="1:5" x14ac:dyDescent="0.25">
      <c r="A124" s="1">
        <v>1</v>
      </c>
    </row>
    <row r="125" spans="1:5" x14ac:dyDescent="0.25">
      <c r="A125" s="1">
        <v>2</v>
      </c>
    </row>
    <row r="126" spans="1:5" x14ac:dyDescent="0.25">
      <c r="A126" s="1">
        <v>3</v>
      </c>
    </row>
    <row r="127" spans="1:5" x14ac:dyDescent="0.25">
      <c r="B127" s="7" t="s">
        <v>7</v>
      </c>
    </row>
  </sheetData>
  <mergeCells count="5">
    <mergeCell ref="A5:F5"/>
    <mergeCell ref="A6:F6"/>
    <mergeCell ref="A7:B7"/>
    <mergeCell ref="C7:D7"/>
    <mergeCell ref="E7:F7"/>
  </mergeCells>
  <conditionalFormatting sqref="B11">
    <cfRule type="duplicateValues" dxfId="8" priority="1"/>
  </conditionalFormatting>
  <printOptions horizontalCentered="1" verticalCentered="1"/>
  <pageMargins left="0" right="0" top="0" bottom="0" header="0" footer="0"/>
  <pageSetup scale="9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I127"/>
  <sheetViews>
    <sheetView workbookViewId="0">
      <selection sqref="A1:XFD1048576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9" ht="15.75" thickBot="1" x14ac:dyDescent="0.3">
      <c r="B1" s="19"/>
      <c r="C1" s="19"/>
      <c r="D1" s="19"/>
      <c r="E1" s="19"/>
      <c r="F1" s="19"/>
    </row>
    <row r="2" spans="1:9" ht="15.75" x14ac:dyDescent="0.25">
      <c r="A2" s="20"/>
      <c r="B2" s="21"/>
      <c r="C2" s="22"/>
      <c r="D2" s="23"/>
      <c r="E2" s="22"/>
      <c r="F2" s="24"/>
      <c r="G2" s="25"/>
    </row>
    <row r="3" spans="1:9" ht="16.5" thickBot="1" x14ac:dyDescent="0.3">
      <c r="A3" s="20"/>
      <c r="B3" s="26"/>
      <c r="C3" s="27"/>
      <c r="D3" s="28"/>
      <c r="E3" s="28"/>
      <c r="F3" s="28"/>
    </row>
    <row r="4" spans="1:9" x14ac:dyDescent="0.25">
      <c r="B4" s="29"/>
      <c r="C4" s="29"/>
      <c r="D4" s="29"/>
      <c r="E4" s="29"/>
      <c r="F4" s="44"/>
    </row>
    <row r="5" spans="1:9" ht="15.75" x14ac:dyDescent="0.25">
      <c r="A5" s="61" t="s">
        <v>42</v>
      </c>
      <c r="B5" s="61"/>
      <c r="C5" s="61"/>
      <c r="D5" s="61"/>
      <c r="E5" s="61"/>
      <c r="F5" s="62"/>
    </row>
    <row r="6" spans="1:9" ht="15.75" x14ac:dyDescent="0.25">
      <c r="A6" s="61" t="s">
        <v>183</v>
      </c>
      <c r="B6" s="61"/>
      <c r="C6" s="61"/>
      <c r="D6" s="61"/>
      <c r="E6" s="61"/>
      <c r="F6" s="61"/>
    </row>
    <row r="7" spans="1:9" ht="23.25" x14ac:dyDescent="0.25">
      <c r="A7" s="63" t="s">
        <v>43</v>
      </c>
      <c r="B7" s="63"/>
      <c r="C7" s="64" t="s">
        <v>44</v>
      </c>
      <c r="D7" s="64"/>
      <c r="E7" s="65" t="s">
        <v>45</v>
      </c>
      <c r="F7" s="65"/>
    </row>
    <row r="8" spans="1:9" x14ac:dyDescent="0.25">
      <c r="A8" s="1" t="s">
        <v>46</v>
      </c>
      <c r="B8" s="2"/>
      <c r="C8" s="30"/>
      <c r="E8" s="1" t="s">
        <v>47</v>
      </c>
      <c r="F8" s="31"/>
      <c r="G8" s="32" t="s">
        <v>89</v>
      </c>
      <c r="H8" s="34"/>
    </row>
    <row r="9" spans="1:9" x14ac:dyDescent="0.25">
      <c r="A9" s="1" t="s">
        <v>48</v>
      </c>
      <c r="B9" s="33"/>
      <c r="C9" s="30"/>
      <c r="E9" s="1" t="s">
        <v>49</v>
      </c>
      <c r="G9" s="1" t="s">
        <v>90</v>
      </c>
      <c r="H9" s="34"/>
    </row>
    <row r="10" spans="1:9" x14ac:dyDescent="0.25">
      <c r="A10" s="1" t="s">
        <v>50</v>
      </c>
      <c r="B10" s="2"/>
      <c r="E10" s="1" t="s">
        <v>51</v>
      </c>
      <c r="G10" s="1" t="s">
        <v>91</v>
      </c>
    </row>
    <row r="11" spans="1:9" x14ac:dyDescent="0.25">
      <c r="A11" s="1" t="s">
        <v>52</v>
      </c>
      <c r="B11" s="33"/>
      <c r="I11" s="34"/>
    </row>
    <row r="12" spans="1:9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</row>
    <row r="13" spans="1:9" x14ac:dyDescent="0.25">
      <c r="A13" s="38"/>
      <c r="B13" s="38"/>
      <c r="C13" s="38"/>
      <c r="E13" s="33"/>
      <c r="F13" s="33"/>
      <c r="H13" s="34"/>
    </row>
    <row r="14" spans="1:9" x14ac:dyDescent="0.25">
      <c r="A14" s="38"/>
      <c r="B14" s="38"/>
      <c r="C14" s="38"/>
      <c r="E14" s="33"/>
      <c r="G14" s="34"/>
      <c r="H14" s="34"/>
    </row>
    <row r="15" spans="1:9" x14ac:dyDescent="0.25">
      <c r="A15" s="38"/>
      <c r="B15" s="38"/>
      <c r="C15" s="38"/>
      <c r="E15" s="33"/>
      <c r="H15" s="34"/>
    </row>
    <row r="16" spans="1:9" x14ac:dyDescent="0.25">
      <c r="A16" s="38"/>
      <c r="B16" s="38"/>
      <c r="C16" s="38"/>
      <c r="E16" s="33"/>
    </row>
    <row r="17" spans="1:4" x14ac:dyDescent="0.25">
      <c r="A17" s="38"/>
      <c r="B17" s="38"/>
      <c r="C17" s="38"/>
    </row>
    <row r="18" spans="1:4" x14ac:dyDescent="0.25">
      <c r="A18" s="38"/>
      <c r="B18" s="38"/>
      <c r="C18" s="38"/>
      <c r="D18" s="33"/>
    </row>
    <row r="19" spans="1:4" x14ac:dyDescent="0.25">
      <c r="A19" s="38"/>
      <c r="B19" s="38"/>
      <c r="C19" s="38"/>
      <c r="D19" s="33"/>
    </row>
    <row r="20" spans="1:4" x14ac:dyDescent="0.25">
      <c r="A20" s="38"/>
      <c r="B20" s="38"/>
      <c r="C20" s="38"/>
      <c r="D20" s="33"/>
    </row>
    <row r="21" spans="1:4" x14ac:dyDescent="0.25">
      <c r="A21" s="38"/>
      <c r="B21" s="38"/>
      <c r="C21" s="38"/>
      <c r="D21" s="33"/>
    </row>
    <row r="22" spans="1:4" x14ac:dyDescent="0.25">
      <c r="A22" s="38"/>
      <c r="B22" s="38"/>
      <c r="C22" s="38"/>
      <c r="D22" s="33"/>
    </row>
    <row r="23" spans="1:4" x14ac:dyDescent="0.25">
      <c r="A23" s="38"/>
      <c r="B23" s="38"/>
      <c r="C23" s="38"/>
      <c r="D23" s="33"/>
    </row>
    <row r="24" spans="1:4" x14ac:dyDescent="0.25">
      <c r="A24" s="38"/>
      <c r="B24" s="38"/>
      <c r="C24" s="38"/>
      <c r="D24" s="33"/>
    </row>
    <row r="25" spans="1:4" x14ac:dyDescent="0.25">
      <c r="A25" s="38"/>
      <c r="B25" s="38"/>
      <c r="C25" s="38"/>
      <c r="D25" s="33"/>
    </row>
    <row r="26" spans="1:4" x14ac:dyDescent="0.25">
      <c r="A26" s="38"/>
      <c r="B26" s="38"/>
      <c r="C26" s="38"/>
      <c r="D26" s="33"/>
    </row>
    <row r="27" spans="1:4" x14ac:dyDescent="0.25">
      <c r="A27" s="38"/>
      <c r="B27" s="38"/>
      <c r="C27" s="38"/>
      <c r="D27" s="33"/>
    </row>
    <row r="28" spans="1:4" x14ac:dyDescent="0.25">
      <c r="A28" s="38"/>
      <c r="B28" s="38"/>
      <c r="C28" s="38"/>
      <c r="D28" s="33"/>
    </row>
    <row r="29" spans="1:4" x14ac:dyDescent="0.25">
      <c r="A29" s="38"/>
      <c r="B29" s="38"/>
      <c r="C29" s="38"/>
      <c r="D29" s="33"/>
    </row>
    <row r="30" spans="1:4" x14ac:dyDescent="0.25">
      <c r="A30" s="38"/>
      <c r="B30" s="38"/>
      <c r="C30" s="38"/>
      <c r="D30" s="33"/>
    </row>
    <row r="31" spans="1:4" x14ac:dyDescent="0.25">
      <c r="A31" s="38"/>
      <c r="B31" s="38"/>
      <c r="C31" s="38"/>
      <c r="D31" s="33"/>
    </row>
    <row r="32" spans="1:4" x14ac:dyDescent="0.25">
      <c r="A32" s="38"/>
      <c r="B32" s="38"/>
      <c r="C32" s="38"/>
      <c r="D32" s="33"/>
    </row>
    <row r="33" spans="1:4" x14ac:dyDescent="0.25">
      <c r="A33" s="38"/>
      <c r="B33" s="38"/>
      <c r="C33" s="38"/>
      <c r="D33" s="33"/>
    </row>
    <row r="34" spans="1:4" x14ac:dyDescent="0.25">
      <c r="A34" s="38"/>
      <c r="B34" s="38"/>
      <c r="C34" s="38"/>
      <c r="D34" s="33"/>
    </row>
    <row r="35" spans="1:4" x14ac:dyDescent="0.25">
      <c r="A35" s="38"/>
      <c r="B35" s="38"/>
      <c r="C35" s="38"/>
      <c r="D35" s="33"/>
    </row>
    <row r="36" spans="1:4" x14ac:dyDescent="0.25">
      <c r="A36" s="38"/>
      <c r="B36" s="38"/>
      <c r="C36" s="38"/>
      <c r="D36" s="33"/>
    </row>
    <row r="37" spans="1:4" x14ac:dyDescent="0.25">
      <c r="A37" s="38"/>
      <c r="B37" s="38"/>
      <c r="C37" s="38"/>
      <c r="D37" s="33"/>
    </row>
    <row r="38" spans="1:4" x14ac:dyDescent="0.25">
      <c r="A38" s="38"/>
      <c r="B38" s="38"/>
      <c r="C38" s="38"/>
      <c r="D38" s="33"/>
    </row>
    <row r="39" spans="1:4" x14ac:dyDescent="0.25">
      <c r="A39" s="38"/>
      <c r="B39" s="38"/>
      <c r="C39" s="38"/>
      <c r="D39" s="33"/>
    </row>
    <row r="40" spans="1:4" x14ac:dyDescent="0.25">
      <c r="A40" s="38"/>
      <c r="B40" s="38"/>
      <c r="C40" s="38"/>
      <c r="D40" s="33"/>
    </row>
    <row r="41" spans="1:4" x14ac:dyDescent="0.25">
      <c r="A41" s="38"/>
      <c r="B41" s="38"/>
      <c r="C41" s="38"/>
      <c r="D41" s="33"/>
    </row>
    <row r="42" spans="1:4" x14ac:dyDescent="0.25">
      <c r="A42" s="38"/>
      <c r="B42" s="38"/>
      <c r="C42" s="38"/>
      <c r="D42" s="33"/>
    </row>
    <row r="43" spans="1:4" x14ac:dyDescent="0.25">
      <c r="A43" s="38"/>
      <c r="B43" s="38"/>
      <c r="C43" s="38"/>
      <c r="D43" s="33"/>
    </row>
    <row r="44" spans="1:4" x14ac:dyDescent="0.25">
      <c r="A44" s="38"/>
      <c r="B44" s="38"/>
      <c r="C44" s="38"/>
      <c r="D44" s="33"/>
    </row>
    <row r="45" spans="1:4" x14ac:dyDescent="0.25">
      <c r="A45" s="38"/>
      <c r="B45" s="38"/>
      <c r="C45" s="38"/>
      <c r="D45" s="33"/>
    </row>
    <row r="46" spans="1:4" x14ac:dyDescent="0.25">
      <c r="A46" s="38"/>
      <c r="B46" s="38"/>
      <c r="C46" s="38"/>
      <c r="D46" s="33"/>
    </row>
    <row r="47" spans="1:4" x14ac:dyDescent="0.25">
      <c r="A47" s="38"/>
      <c r="B47" s="38"/>
      <c r="C47" s="38"/>
      <c r="D47" s="33"/>
    </row>
    <row r="48" spans="1:4" x14ac:dyDescent="0.25">
      <c r="A48" s="38"/>
      <c r="B48" s="38"/>
      <c r="C48" s="38"/>
      <c r="D48" s="33"/>
    </row>
    <row r="49" spans="1:4" x14ac:dyDescent="0.25">
      <c r="A49" s="38"/>
      <c r="B49" s="38"/>
      <c r="C49" s="38"/>
      <c r="D49" s="33"/>
    </row>
    <row r="50" spans="1:4" x14ac:dyDescent="0.25">
      <c r="A50" s="38"/>
      <c r="B50" s="38"/>
      <c r="C50" s="38"/>
      <c r="D50" s="33"/>
    </row>
    <row r="51" spans="1:4" x14ac:dyDescent="0.25">
      <c r="A51" s="38"/>
      <c r="B51" s="38"/>
      <c r="C51" s="38"/>
      <c r="D51" s="33"/>
    </row>
    <row r="52" spans="1:4" x14ac:dyDescent="0.25">
      <c r="A52" s="38"/>
      <c r="B52" s="38"/>
      <c r="C52" s="38"/>
      <c r="D52" s="33"/>
    </row>
    <row r="53" spans="1:4" x14ac:dyDescent="0.25">
      <c r="A53" s="38"/>
      <c r="B53" s="38"/>
      <c r="C53" s="38"/>
      <c r="D53" s="33"/>
    </row>
    <row r="54" spans="1:4" x14ac:dyDescent="0.25">
      <c r="A54" s="38"/>
      <c r="B54" s="38"/>
      <c r="C54" s="38"/>
      <c r="D54" s="33"/>
    </row>
    <row r="55" spans="1:4" x14ac:dyDescent="0.25">
      <c r="A55" s="38"/>
      <c r="B55" s="38"/>
      <c r="C55" s="38"/>
      <c r="D55" s="33"/>
    </row>
    <row r="56" spans="1:4" x14ac:dyDescent="0.25">
      <c r="A56" s="38"/>
      <c r="B56" s="38"/>
      <c r="C56" s="38"/>
      <c r="D56" s="33"/>
    </row>
    <row r="57" spans="1:4" x14ac:dyDescent="0.25">
      <c r="A57" s="38"/>
      <c r="B57" s="38"/>
      <c r="C57" s="38"/>
      <c r="D57" s="33"/>
    </row>
    <row r="58" spans="1:4" x14ac:dyDescent="0.25">
      <c r="A58" s="38"/>
      <c r="B58" s="38"/>
      <c r="C58" s="38"/>
      <c r="D58" s="33"/>
    </row>
    <row r="59" spans="1:4" x14ac:dyDescent="0.25">
      <c r="A59" s="38"/>
      <c r="B59" s="38"/>
      <c r="C59" s="38"/>
      <c r="D59" s="33"/>
    </row>
    <row r="60" spans="1:4" x14ac:dyDescent="0.25">
      <c r="A60" s="38"/>
      <c r="B60" s="38"/>
      <c r="C60" s="38"/>
      <c r="D60" s="33"/>
    </row>
    <row r="61" spans="1:4" x14ac:dyDescent="0.25">
      <c r="A61" s="38"/>
      <c r="B61" s="38"/>
      <c r="C61" s="38"/>
      <c r="D61" s="33"/>
    </row>
    <row r="62" spans="1:4" x14ac:dyDescent="0.25">
      <c r="A62" s="38"/>
      <c r="B62" s="38"/>
      <c r="C62" s="38"/>
      <c r="D62" s="33"/>
    </row>
    <row r="63" spans="1:4" x14ac:dyDescent="0.25">
      <c r="A63" s="38"/>
      <c r="B63" s="38"/>
      <c r="C63" s="38"/>
      <c r="D63" s="33"/>
    </row>
    <row r="64" spans="1:4" x14ac:dyDescent="0.25">
      <c r="A64" s="38"/>
      <c r="B64" s="38"/>
      <c r="C64" s="38"/>
      <c r="D64" s="33"/>
    </row>
    <row r="65" spans="1:4" x14ac:dyDescent="0.25">
      <c r="A65" s="38"/>
      <c r="B65" s="38"/>
      <c r="C65" s="38"/>
      <c r="D65" s="33"/>
    </row>
    <row r="66" spans="1:4" x14ac:dyDescent="0.25">
      <c r="A66" s="38"/>
      <c r="B66" s="38"/>
      <c r="C66" s="38"/>
      <c r="D66" s="33"/>
    </row>
    <row r="67" spans="1:4" x14ac:dyDescent="0.25">
      <c r="A67" s="38"/>
      <c r="B67" s="38"/>
      <c r="C67" s="38"/>
      <c r="D67" s="33"/>
    </row>
    <row r="68" spans="1:4" x14ac:dyDescent="0.25">
      <c r="A68" s="38"/>
      <c r="B68" s="38"/>
      <c r="C68" s="38"/>
      <c r="D68" s="33"/>
    </row>
    <row r="69" spans="1:4" x14ac:dyDescent="0.25">
      <c r="A69" s="38"/>
      <c r="B69" s="38"/>
      <c r="C69" s="38"/>
      <c r="D69" s="33"/>
    </row>
    <row r="70" spans="1:4" x14ac:dyDescent="0.25">
      <c r="A70" s="38"/>
      <c r="B70" s="38"/>
      <c r="C70" s="38"/>
      <c r="D70" s="33"/>
    </row>
    <row r="71" spans="1:4" x14ac:dyDescent="0.25">
      <c r="A71" s="38"/>
      <c r="B71" s="38"/>
      <c r="C71" s="38"/>
      <c r="D71" s="33"/>
    </row>
    <row r="72" spans="1:4" x14ac:dyDescent="0.25">
      <c r="A72" s="38"/>
      <c r="B72" s="38"/>
      <c r="C72" s="38"/>
      <c r="D72" s="33"/>
    </row>
    <row r="73" spans="1:4" x14ac:dyDescent="0.25">
      <c r="A73" s="38"/>
      <c r="B73" s="38"/>
      <c r="C73" s="38"/>
      <c r="D73" s="33"/>
    </row>
    <row r="74" spans="1:4" x14ac:dyDescent="0.25">
      <c r="A74" s="38"/>
      <c r="B74" s="38"/>
      <c r="C74" s="38"/>
      <c r="D74" s="33"/>
    </row>
    <row r="75" spans="1:4" x14ac:dyDescent="0.25">
      <c r="A75" s="38"/>
      <c r="B75" s="38"/>
      <c r="C75" s="38"/>
      <c r="D75" s="33"/>
    </row>
    <row r="76" spans="1:4" x14ac:dyDescent="0.25">
      <c r="A76" s="38"/>
      <c r="B76" s="38"/>
      <c r="C76" s="38"/>
      <c r="D76" s="33"/>
    </row>
    <row r="77" spans="1:4" x14ac:dyDescent="0.25">
      <c r="A77" s="38"/>
      <c r="B77" s="38"/>
      <c r="C77" s="38"/>
      <c r="D77" s="33"/>
    </row>
    <row r="78" spans="1:4" x14ac:dyDescent="0.25">
      <c r="A78" s="38"/>
      <c r="B78" s="38"/>
      <c r="C78" s="38"/>
      <c r="D78" s="33"/>
    </row>
    <row r="79" spans="1:4" x14ac:dyDescent="0.25">
      <c r="A79" s="38"/>
      <c r="B79" s="38"/>
      <c r="C79" s="38"/>
      <c r="D79" s="33"/>
    </row>
    <row r="80" spans="1:4" x14ac:dyDescent="0.25">
      <c r="A80" s="38"/>
      <c r="B80" s="38"/>
      <c r="C80" s="38"/>
      <c r="D80" s="33"/>
    </row>
    <row r="81" spans="1:4" x14ac:dyDescent="0.25">
      <c r="A81" s="38"/>
      <c r="B81" s="38"/>
      <c r="C81" s="38"/>
      <c r="D81" s="33"/>
    </row>
    <row r="82" spans="1:4" x14ac:dyDescent="0.25">
      <c r="A82" s="38"/>
      <c r="B82" s="38"/>
      <c r="C82" s="38"/>
      <c r="D82" s="33"/>
    </row>
    <row r="83" spans="1:4" x14ac:dyDescent="0.25">
      <c r="A83" s="38"/>
      <c r="B83" s="38"/>
      <c r="C83" s="38"/>
      <c r="D83" s="33"/>
    </row>
    <row r="84" spans="1:4" x14ac:dyDescent="0.25">
      <c r="A84" s="38"/>
      <c r="B84" s="38"/>
      <c r="C84" s="38"/>
      <c r="D84" s="33"/>
    </row>
    <row r="85" spans="1:4" x14ac:dyDescent="0.25">
      <c r="A85" s="38"/>
      <c r="B85" s="38"/>
      <c r="C85" s="38"/>
      <c r="D85" s="33"/>
    </row>
    <row r="86" spans="1:4" x14ac:dyDescent="0.25">
      <c r="A86" s="38"/>
      <c r="B86" s="38"/>
      <c r="C86" s="38"/>
      <c r="D86" s="33"/>
    </row>
    <row r="87" spans="1:4" x14ac:dyDescent="0.25">
      <c r="A87" s="38"/>
      <c r="B87" s="38"/>
      <c r="C87" s="38"/>
      <c r="D87" s="33"/>
    </row>
    <row r="88" spans="1:4" x14ac:dyDescent="0.25">
      <c r="A88" s="38"/>
      <c r="B88" s="38"/>
      <c r="C88" s="38"/>
      <c r="D88" s="33"/>
    </row>
    <row r="89" spans="1:4" x14ac:dyDescent="0.25">
      <c r="A89" s="38"/>
      <c r="B89" s="38"/>
      <c r="C89" s="38"/>
      <c r="D89" s="33"/>
    </row>
    <row r="90" spans="1:4" x14ac:dyDescent="0.25">
      <c r="A90" s="38"/>
      <c r="B90" s="38"/>
      <c r="C90" s="38"/>
      <c r="D90" s="33"/>
    </row>
    <row r="91" spans="1:4" x14ac:dyDescent="0.25">
      <c r="A91" s="38"/>
      <c r="B91" s="38"/>
      <c r="C91" s="38"/>
      <c r="D91" s="33"/>
    </row>
    <row r="92" spans="1:4" x14ac:dyDescent="0.25">
      <c r="A92" s="38"/>
      <c r="B92" s="38"/>
      <c r="C92" s="38"/>
      <c r="D92" s="33"/>
    </row>
    <row r="93" spans="1:4" x14ac:dyDescent="0.25">
      <c r="A93" s="38"/>
      <c r="B93" s="38"/>
      <c r="C93" s="38"/>
      <c r="D93" s="33"/>
    </row>
    <row r="94" spans="1:4" x14ac:dyDescent="0.25">
      <c r="A94" s="38"/>
      <c r="B94" s="38"/>
      <c r="C94" s="38"/>
      <c r="D94" s="33"/>
    </row>
    <row r="95" spans="1:4" x14ac:dyDescent="0.25">
      <c r="A95" s="38"/>
      <c r="B95" s="38"/>
      <c r="C95" s="38"/>
      <c r="D95" s="33"/>
    </row>
    <row r="96" spans="1:4" x14ac:dyDescent="0.25">
      <c r="A96" s="38"/>
      <c r="B96" s="38"/>
      <c r="C96" s="38"/>
      <c r="D96" s="33"/>
    </row>
    <row r="97" spans="1:4" x14ac:dyDescent="0.25">
      <c r="A97" s="38"/>
      <c r="B97" s="38"/>
      <c r="C97" s="38"/>
      <c r="D97" s="33"/>
    </row>
    <row r="98" spans="1:4" x14ac:dyDescent="0.25">
      <c r="A98" s="38"/>
      <c r="B98" s="38"/>
      <c r="C98" s="38"/>
      <c r="D98" s="33"/>
    </row>
    <row r="99" spans="1:4" x14ac:dyDescent="0.25">
      <c r="A99" s="38"/>
      <c r="B99" s="38"/>
      <c r="C99" s="38"/>
      <c r="D99" s="33"/>
    </row>
    <row r="100" spans="1:4" x14ac:dyDescent="0.25">
      <c r="A100" s="38"/>
      <c r="B100" s="38"/>
      <c r="C100" s="38"/>
      <c r="D100" s="33"/>
    </row>
    <row r="101" spans="1:4" x14ac:dyDescent="0.25">
      <c r="A101" s="38"/>
      <c r="B101" s="38"/>
      <c r="C101" s="38"/>
      <c r="D101" s="33"/>
    </row>
    <row r="102" spans="1:4" x14ac:dyDescent="0.25">
      <c r="A102" s="38"/>
      <c r="B102" s="38"/>
      <c r="C102" s="38"/>
      <c r="D102" s="33"/>
    </row>
    <row r="103" spans="1:4" x14ac:dyDescent="0.25">
      <c r="A103" s="38"/>
      <c r="B103" s="38"/>
      <c r="C103" s="38"/>
      <c r="D103" s="33"/>
    </row>
    <row r="104" spans="1:4" x14ac:dyDescent="0.25">
      <c r="A104" s="38"/>
      <c r="B104" s="38"/>
      <c r="C104" s="38"/>
      <c r="D104" s="33"/>
    </row>
    <row r="105" spans="1:4" x14ac:dyDescent="0.25">
      <c r="A105" s="38"/>
      <c r="B105" s="38"/>
      <c r="C105" s="38"/>
      <c r="D105" s="33"/>
    </row>
    <row r="106" spans="1:4" x14ac:dyDescent="0.25">
      <c r="A106" s="38"/>
      <c r="B106" s="38"/>
      <c r="C106" s="38"/>
      <c r="D106" s="33"/>
    </row>
    <row r="107" spans="1:4" x14ac:dyDescent="0.25">
      <c r="A107" s="38"/>
      <c r="B107" s="38"/>
      <c r="C107" s="38"/>
      <c r="D107" s="33"/>
    </row>
    <row r="108" spans="1:4" x14ac:dyDescent="0.25">
      <c r="A108" s="38"/>
      <c r="B108" s="38"/>
      <c r="C108" s="38"/>
      <c r="D108" s="33"/>
    </row>
    <row r="109" spans="1:4" x14ac:dyDescent="0.25">
      <c r="A109" s="38"/>
      <c r="B109" s="38"/>
      <c r="C109" s="38"/>
      <c r="D109" s="33"/>
    </row>
    <row r="110" spans="1:4" x14ac:dyDescent="0.25">
      <c r="A110" s="38"/>
      <c r="B110" s="38"/>
      <c r="C110" s="38"/>
      <c r="D110" s="33"/>
    </row>
    <row r="111" spans="1:4" x14ac:dyDescent="0.25">
      <c r="A111" s="38"/>
      <c r="B111" s="38"/>
      <c r="C111" s="38"/>
      <c r="D111" s="33"/>
    </row>
    <row r="112" spans="1:4" x14ac:dyDescent="0.25">
      <c r="A112" s="38"/>
      <c r="B112" s="38"/>
      <c r="C112" s="38"/>
      <c r="D112" s="33"/>
    </row>
    <row r="113" spans="1:5" x14ac:dyDescent="0.25">
      <c r="A113" s="38"/>
      <c r="B113" s="38"/>
      <c r="C113" s="38"/>
      <c r="D113" s="33"/>
    </row>
    <row r="114" spans="1:5" x14ac:dyDescent="0.25">
      <c r="A114" s="38"/>
      <c r="B114" s="38"/>
      <c r="C114" s="38"/>
      <c r="D114" s="33"/>
    </row>
    <row r="115" spans="1:5" x14ac:dyDescent="0.25">
      <c r="A115" s="38"/>
      <c r="B115" s="38"/>
      <c r="C115" s="38"/>
      <c r="D115" s="33"/>
    </row>
    <row r="116" spans="1:5" x14ac:dyDescent="0.25">
      <c r="A116" s="38"/>
      <c r="B116" s="38"/>
      <c r="C116" s="38"/>
      <c r="D116" s="33"/>
    </row>
    <row r="117" spans="1:5" x14ac:dyDescent="0.25">
      <c r="A117" s="38"/>
      <c r="B117" s="38"/>
      <c r="C117" s="38"/>
      <c r="D117" s="33"/>
    </row>
    <row r="118" spans="1:5" x14ac:dyDescent="0.25">
      <c r="A118" s="38"/>
      <c r="B118" s="38"/>
      <c r="C118" s="38"/>
      <c r="D118" s="33"/>
    </row>
    <row r="119" spans="1:5" x14ac:dyDescent="0.25">
      <c r="C119" s="7"/>
    </row>
    <row r="120" spans="1:5" x14ac:dyDescent="0.25">
      <c r="A120" s="33" t="s">
        <v>60</v>
      </c>
      <c r="B120" s="39"/>
      <c r="C120" s="33"/>
      <c r="D120" s="33" t="s">
        <v>61</v>
      </c>
    </row>
    <row r="121" spans="1:5" x14ac:dyDescent="0.25">
      <c r="A121" s="33" t="s">
        <v>62</v>
      </c>
      <c r="B121" s="33"/>
      <c r="C121" s="33"/>
      <c r="D121" s="33" t="s">
        <v>63</v>
      </c>
    </row>
    <row r="123" spans="1:5" x14ac:dyDescent="0.25">
      <c r="A123" s="1" t="s">
        <v>64</v>
      </c>
      <c r="B123" s="1" t="s">
        <v>65</v>
      </c>
      <c r="C123" s="1" t="s">
        <v>66</v>
      </c>
      <c r="D123" s="1" t="s">
        <v>67</v>
      </c>
      <c r="E123" s="1" t="s">
        <v>68</v>
      </c>
    </row>
    <row r="124" spans="1:5" x14ac:dyDescent="0.25">
      <c r="A124" s="1">
        <v>1</v>
      </c>
    </row>
    <row r="125" spans="1:5" x14ac:dyDescent="0.25">
      <c r="A125" s="1">
        <v>2</v>
      </c>
    </row>
    <row r="126" spans="1:5" x14ac:dyDescent="0.25">
      <c r="A126" s="1">
        <v>3</v>
      </c>
    </row>
    <row r="127" spans="1:5" x14ac:dyDescent="0.25">
      <c r="B127" s="7" t="s">
        <v>7</v>
      </c>
    </row>
  </sheetData>
  <mergeCells count="5">
    <mergeCell ref="A5:F5"/>
    <mergeCell ref="A6:F6"/>
    <mergeCell ref="A7:B7"/>
    <mergeCell ref="C7:D7"/>
    <mergeCell ref="E7:F7"/>
  </mergeCells>
  <conditionalFormatting sqref="B11">
    <cfRule type="duplicateValues" dxfId="7" priority="1"/>
  </conditionalFormatting>
  <printOptions horizontalCentered="1" verticalCentered="1"/>
  <pageMargins left="0" right="0" top="0" bottom="0" header="0" footer="0"/>
  <pageSetup scale="9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I127"/>
  <sheetViews>
    <sheetView workbookViewId="0">
      <selection sqref="A1:XFD1048576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9" ht="15.75" thickBot="1" x14ac:dyDescent="0.3">
      <c r="B1" s="19"/>
      <c r="C1" s="19"/>
      <c r="D1" s="19"/>
      <c r="E1" s="19"/>
      <c r="F1" s="19"/>
    </row>
    <row r="2" spans="1:9" ht="15.75" x14ac:dyDescent="0.25">
      <c r="A2" s="20"/>
      <c r="B2" s="21"/>
      <c r="C2" s="22"/>
      <c r="D2" s="23"/>
      <c r="E2" s="22"/>
      <c r="F2" s="24"/>
      <c r="G2" s="25"/>
    </row>
    <row r="3" spans="1:9" ht="16.5" thickBot="1" x14ac:dyDescent="0.3">
      <c r="A3" s="20"/>
      <c r="B3" s="26"/>
      <c r="C3" s="27"/>
      <c r="D3" s="28"/>
      <c r="E3" s="28"/>
      <c r="F3" s="28"/>
    </row>
    <row r="4" spans="1:9" x14ac:dyDescent="0.25">
      <c r="B4" s="29"/>
      <c r="C4" s="29"/>
      <c r="D4" s="29"/>
      <c r="E4" s="29"/>
      <c r="F4" s="44"/>
    </row>
    <row r="5" spans="1:9" ht="15.75" x14ac:dyDescent="0.25">
      <c r="A5" s="61" t="s">
        <v>42</v>
      </c>
      <c r="B5" s="61"/>
      <c r="C5" s="61"/>
      <c r="D5" s="61"/>
      <c r="E5" s="61"/>
      <c r="F5" s="62"/>
    </row>
    <row r="6" spans="1:9" ht="15.75" x14ac:dyDescent="0.25">
      <c r="A6" s="61" t="s">
        <v>183</v>
      </c>
      <c r="B6" s="61"/>
      <c r="C6" s="61"/>
      <c r="D6" s="61"/>
      <c r="E6" s="61"/>
      <c r="F6" s="61"/>
    </row>
    <row r="7" spans="1:9" ht="23.25" x14ac:dyDescent="0.25">
      <c r="A7" s="63" t="s">
        <v>43</v>
      </c>
      <c r="B7" s="63"/>
      <c r="C7" s="64" t="s">
        <v>44</v>
      </c>
      <c r="D7" s="64"/>
      <c r="E7" s="65" t="s">
        <v>45</v>
      </c>
      <c r="F7" s="65"/>
    </row>
    <row r="8" spans="1:9" x14ac:dyDescent="0.25">
      <c r="A8" s="1" t="s">
        <v>46</v>
      </c>
      <c r="B8" s="2"/>
      <c r="C8" s="30"/>
      <c r="E8" s="1" t="s">
        <v>47</v>
      </c>
      <c r="F8" s="31"/>
      <c r="G8" s="32" t="s">
        <v>89</v>
      </c>
      <c r="H8" s="34"/>
    </row>
    <row r="9" spans="1:9" x14ac:dyDescent="0.25">
      <c r="A9" s="1" t="s">
        <v>48</v>
      </c>
      <c r="B9" s="33"/>
      <c r="C9" s="30"/>
      <c r="E9" s="1" t="s">
        <v>49</v>
      </c>
      <c r="G9" s="1" t="s">
        <v>90</v>
      </c>
      <c r="H9" s="34"/>
    </row>
    <row r="10" spans="1:9" x14ac:dyDescent="0.25">
      <c r="A10" s="1" t="s">
        <v>50</v>
      </c>
      <c r="B10" s="2"/>
      <c r="E10" s="1" t="s">
        <v>51</v>
      </c>
      <c r="G10" s="1" t="s">
        <v>91</v>
      </c>
    </row>
    <row r="11" spans="1:9" x14ac:dyDescent="0.25">
      <c r="A11" s="1" t="s">
        <v>52</v>
      </c>
      <c r="B11" s="33"/>
      <c r="I11" s="34"/>
    </row>
    <row r="12" spans="1:9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</row>
    <row r="13" spans="1:9" x14ac:dyDescent="0.25">
      <c r="A13" s="38"/>
      <c r="B13" s="38"/>
      <c r="C13" s="38"/>
      <c r="E13" s="33"/>
      <c r="F13" s="33"/>
      <c r="H13" s="34"/>
    </row>
    <row r="14" spans="1:9" x14ac:dyDescent="0.25">
      <c r="A14" s="38"/>
      <c r="B14" s="38"/>
      <c r="C14" s="38"/>
      <c r="E14" s="33"/>
      <c r="G14" s="34"/>
      <c r="H14" s="34"/>
    </row>
    <row r="15" spans="1:9" x14ac:dyDescent="0.25">
      <c r="A15" s="38"/>
      <c r="B15" s="38"/>
      <c r="C15" s="38"/>
      <c r="E15" s="33"/>
      <c r="H15" s="34"/>
    </row>
    <row r="16" spans="1:9" x14ac:dyDescent="0.25">
      <c r="A16" s="38"/>
      <c r="B16" s="38"/>
      <c r="C16" s="38"/>
      <c r="E16" s="33"/>
    </row>
    <row r="17" spans="1:4" x14ac:dyDescent="0.25">
      <c r="A17" s="38"/>
      <c r="B17" s="38"/>
      <c r="C17" s="38"/>
    </row>
    <row r="18" spans="1:4" x14ac:dyDescent="0.25">
      <c r="A18" s="38"/>
      <c r="B18" s="38"/>
      <c r="C18" s="38"/>
      <c r="D18" s="33"/>
    </row>
    <row r="19" spans="1:4" x14ac:dyDescent="0.25">
      <c r="A19" s="38"/>
      <c r="B19" s="38"/>
      <c r="C19" s="38"/>
      <c r="D19" s="33"/>
    </row>
    <row r="20" spans="1:4" x14ac:dyDescent="0.25">
      <c r="A20" s="38"/>
      <c r="B20" s="38"/>
      <c r="C20" s="38"/>
      <c r="D20" s="33"/>
    </row>
    <row r="21" spans="1:4" x14ac:dyDescent="0.25">
      <c r="A21" s="38"/>
      <c r="B21" s="38"/>
      <c r="C21" s="38"/>
      <c r="D21" s="33"/>
    </row>
    <row r="22" spans="1:4" x14ac:dyDescent="0.25">
      <c r="A22" s="38"/>
      <c r="B22" s="38"/>
      <c r="C22" s="38"/>
      <c r="D22" s="33"/>
    </row>
    <row r="23" spans="1:4" x14ac:dyDescent="0.25">
      <c r="A23" s="38"/>
      <c r="B23" s="38"/>
      <c r="C23" s="38"/>
      <c r="D23" s="33"/>
    </row>
    <row r="24" spans="1:4" x14ac:dyDescent="0.25">
      <c r="A24" s="38"/>
      <c r="B24" s="38"/>
      <c r="C24" s="38"/>
      <c r="D24" s="33"/>
    </row>
    <row r="25" spans="1:4" x14ac:dyDescent="0.25">
      <c r="A25" s="38"/>
      <c r="B25" s="38"/>
      <c r="C25" s="38"/>
      <c r="D25" s="33"/>
    </row>
    <row r="26" spans="1:4" x14ac:dyDescent="0.25">
      <c r="A26" s="38"/>
      <c r="B26" s="38"/>
      <c r="C26" s="38"/>
      <c r="D26" s="33"/>
    </row>
    <row r="27" spans="1:4" x14ac:dyDescent="0.25">
      <c r="A27" s="38"/>
      <c r="B27" s="38"/>
      <c r="C27" s="38"/>
      <c r="D27" s="33"/>
    </row>
    <row r="28" spans="1:4" x14ac:dyDescent="0.25">
      <c r="A28" s="38"/>
      <c r="B28" s="38"/>
      <c r="C28" s="38"/>
      <c r="D28" s="33"/>
    </row>
    <row r="29" spans="1:4" x14ac:dyDescent="0.25">
      <c r="A29" s="38"/>
      <c r="B29" s="38"/>
      <c r="C29" s="38"/>
      <c r="D29" s="33"/>
    </row>
    <row r="30" spans="1:4" x14ac:dyDescent="0.25">
      <c r="A30" s="38"/>
      <c r="B30" s="38"/>
      <c r="C30" s="38"/>
      <c r="D30" s="33"/>
    </row>
    <row r="31" spans="1:4" x14ac:dyDescent="0.25">
      <c r="A31" s="38"/>
      <c r="B31" s="38"/>
      <c r="C31" s="38"/>
      <c r="D31" s="33"/>
    </row>
    <row r="32" spans="1:4" x14ac:dyDescent="0.25">
      <c r="A32" s="38"/>
      <c r="B32" s="38"/>
      <c r="C32" s="38"/>
      <c r="D32" s="33"/>
    </row>
    <row r="33" spans="1:4" x14ac:dyDescent="0.25">
      <c r="A33" s="38"/>
      <c r="B33" s="38"/>
      <c r="C33" s="38"/>
      <c r="D33" s="33"/>
    </row>
    <row r="34" spans="1:4" x14ac:dyDescent="0.25">
      <c r="A34" s="38"/>
      <c r="B34" s="38"/>
      <c r="C34" s="38"/>
      <c r="D34" s="33"/>
    </row>
    <row r="35" spans="1:4" x14ac:dyDescent="0.25">
      <c r="A35" s="38"/>
      <c r="B35" s="38"/>
      <c r="C35" s="38"/>
      <c r="D35" s="33"/>
    </row>
    <row r="36" spans="1:4" x14ac:dyDescent="0.25">
      <c r="A36" s="38"/>
      <c r="B36" s="38"/>
      <c r="C36" s="38"/>
      <c r="D36" s="33"/>
    </row>
    <row r="37" spans="1:4" x14ac:dyDescent="0.25">
      <c r="A37" s="38"/>
      <c r="B37" s="38"/>
      <c r="C37" s="38"/>
      <c r="D37" s="33"/>
    </row>
    <row r="38" spans="1:4" x14ac:dyDescent="0.25">
      <c r="A38" s="38"/>
      <c r="B38" s="38"/>
      <c r="C38" s="38"/>
      <c r="D38" s="33"/>
    </row>
    <row r="39" spans="1:4" x14ac:dyDescent="0.25">
      <c r="A39" s="38"/>
      <c r="B39" s="38"/>
      <c r="C39" s="38"/>
      <c r="D39" s="33"/>
    </row>
    <row r="40" spans="1:4" x14ac:dyDescent="0.25">
      <c r="A40" s="38"/>
      <c r="B40" s="38"/>
      <c r="C40" s="38"/>
      <c r="D40" s="33"/>
    </row>
    <row r="41" spans="1:4" x14ac:dyDescent="0.25">
      <c r="A41" s="38"/>
      <c r="B41" s="38"/>
      <c r="C41" s="38"/>
      <c r="D41" s="33"/>
    </row>
    <row r="42" spans="1:4" x14ac:dyDescent="0.25">
      <c r="A42" s="38"/>
      <c r="B42" s="38"/>
      <c r="C42" s="38"/>
      <c r="D42" s="33"/>
    </row>
    <row r="43" spans="1:4" x14ac:dyDescent="0.25">
      <c r="A43" s="38"/>
      <c r="B43" s="38"/>
      <c r="C43" s="38"/>
      <c r="D43" s="33"/>
    </row>
    <row r="44" spans="1:4" x14ac:dyDescent="0.25">
      <c r="A44" s="38"/>
      <c r="B44" s="38"/>
      <c r="C44" s="38"/>
      <c r="D44" s="33"/>
    </row>
    <row r="45" spans="1:4" x14ac:dyDescent="0.25">
      <c r="A45" s="38"/>
      <c r="B45" s="38"/>
      <c r="C45" s="38"/>
      <c r="D45" s="33"/>
    </row>
    <row r="46" spans="1:4" x14ac:dyDescent="0.25">
      <c r="A46" s="38"/>
      <c r="B46" s="38"/>
      <c r="C46" s="38"/>
      <c r="D46" s="33"/>
    </row>
    <row r="47" spans="1:4" x14ac:dyDescent="0.25">
      <c r="A47" s="38"/>
      <c r="B47" s="38"/>
      <c r="C47" s="38"/>
      <c r="D47" s="33"/>
    </row>
    <row r="48" spans="1:4" x14ac:dyDescent="0.25">
      <c r="A48" s="38"/>
      <c r="B48" s="38"/>
      <c r="C48" s="38"/>
      <c r="D48" s="33"/>
    </row>
    <row r="49" spans="1:4" x14ac:dyDescent="0.25">
      <c r="A49" s="38"/>
      <c r="B49" s="38"/>
      <c r="C49" s="38"/>
      <c r="D49" s="33"/>
    </row>
    <row r="50" spans="1:4" x14ac:dyDescent="0.25">
      <c r="A50" s="38"/>
      <c r="B50" s="38"/>
      <c r="C50" s="38"/>
      <c r="D50" s="33"/>
    </row>
    <row r="51" spans="1:4" x14ac:dyDescent="0.25">
      <c r="A51" s="38"/>
      <c r="B51" s="38"/>
      <c r="C51" s="38"/>
      <c r="D51" s="33"/>
    </row>
    <row r="52" spans="1:4" x14ac:dyDescent="0.25">
      <c r="A52" s="38"/>
      <c r="B52" s="38"/>
      <c r="C52" s="38"/>
      <c r="D52" s="33"/>
    </row>
    <row r="53" spans="1:4" x14ac:dyDescent="0.25">
      <c r="A53" s="38"/>
      <c r="B53" s="38"/>
      <c r="C53" s="38"/>
      <c r="D53" s="33"/>
    </row>
    <row r="54" spans="1:4" x14ac:dyDescent="0.25">
      <c r="A54" s="38"/>
      <c r="B54" s="38"/>
      <c r="C54" s="38"/>
      <c r="D54" s="33"/>
    </row>
    <row r="55" spans="1:4" x14ac:dyDescent="0.25">
      <c r="A55" s="38"/>
      <c r="B55" s="38"/>
      <c r="C55" s="38"/>
      <c r="D55" s="33"/>
    </row>
    <row r="56" spans="1:4" x14ac:dyDescent="0.25">
      <c r="A56" s="38"/>
      <c r="B56" s="38"/>
      <c r="C56" s="38"/>
      <c r="D56" s="33"/>
    </row>
    <row r="57" spans="1:4" x14ac:dyDescent="0.25">
      <c r="A57" s="38"/>
      <c r="B57" s="38"/>
      <c r="C57" s="38"/>
      <c r="D57" s="33"/>
    </row>
    <row r="58" spans="1:4" x14ac:dyDescent="0.25">
      <c r="A58" s="38"/>
      <c r="B58" s="38"/>
      <c r="C58" s="38"/>
      <c r="D58" s="33"/>
    </row>
    <row r="59" spans="1:4" x14ac:dyDescent="0.25">
      <c r="A59" s="38"/>
      <c r="B59" s="38"/>
      <c r="C59" s="38"/>
      <c r="D59" s="33"/>
    </row>
    <row r="60" spans="1:4" x14ac:dyDescent="0.25">
      <c r="A60" s="38"/>
      <c r="B60" s="38"/>
      <c r="C60" s="38"/>
      <c r="D60" s="33"/>
    </row>
    <row r="61" spans="1:4" x14ac:dyDescent="0.25">
      <c r="A61" s="38"/>
      <c r="B61" s="38"/>
      <c r="C61" s="38"/>
      <c r="D61" s="33"/>
    </row>
    <row r="62" spans="1:4" x14ac:dyDescent="0.25">
      <c r="A62" s="38"/>
      <c r="B62" s="38"/>
      <c r="C62" s="38"/>
      <c r="D62" s="33"/>
    </row>
    <row r="63" spans="1:4" x14ac:dyDescent="0.25">
      <c r="A63" s="38"/>
      <c r="B63" s="38"/>
      <c r="C63" s="38"/>
      <c r="D63" s="33"/>
    </row>
    <row r="64" spans="1:4" x14ac:dyDescent="0.25">
      <c r="A64" s="38"/>
      <c r="B64" s="38"/>
      <c r="C64" s="38"/>
      <c r="D64" s="33"/>
    </row>
    <row r="65" spans="1:4" x14ac:dyDescent="0.25">
      <c r="A65" s="38"/>
      <c r="B65" s="38"/>
      <c r="C65" s="38"/>
      <c r="D65" s="33"/>
    </row>
    <row r="66" spans="1:4" x14ac:dyDescent="0.25">
      <c r="A66" s="38"/>
      <c r="B66" s="38"/>
      <c r="C66" s="38"/>
      <c r="D66" s="33"/>
    </row>
    <row r="67" spans="1:4" x14ac:dyDescent="0.25">
      <c r="A67" s="38"/>
      <c r="B67" s="38"/>
      <c r="C67" s="38"/>
      <c r="D67" s="33"/>
    </row>
    <row r="68" spans="1:4" x14ac:dyDescent="0.25">
      <c r="A68" s="38"/>
      <c r="B68" s="38"/>
      <c r="C68" s="38"/>
      <c r="D68" s="33"/>
    </row>
    <row r="69" spans="1:4" x14ac:dyDescent="0.25">
      <c r="A69" s="38"/>
      <c r="B69" s="38"/>
      <c r="C69" s="38"/>
      <c r="D69" s="33"/>
    </row>
    <row r="70" spans="1:4" x14ac:dyDescent="0.25">
      <c r="A70" s="38"/>
      <c r="B70" s="38"/>
      <c r="C70" s="38"/>
      <c r="D70" s="33"/>
    </row>
    <row r="71" spans="1:4" x14ac:dyDescent="0.25">
      <c r="A71" s="38"/>
      <c r="B71" s="38"/>
      <c r="C71" s="38"/>
      <c r="D71" s="33"/>
    </row>
    <row r="72" spans="1:4" x14ac:dyDescent="0.25">
      <c r="A72" s="38"/>
      <c r="B72" s="38"/>
      <c r="C72" s="38"/>
      <c r="D72" s="33"/>
    </row>
    <row r="73" spans="1:4" x14ac:dyDescent="0.25">
      <c r="A73" s="38"/>
      <c r="B73" s="38"/>
      <c r="C73" s="38"/>
      <c r="D73" s="33"/>
    </row>
    <row r="74" spans="1:4" x14ac:dyDescent="0.25">
      <c r="A74" s="38"/>
      <c r="B74" s="38"/>
      <c r="C74" s="38"/>
      <c r="D74" s="33"/>
    </row>
    <row r="75" spans="1:4" x14ac:dyDescent="0.25">
      <c r="A75" s="38"/>
      <c r="B75" s="38"/>
      <c r="C75" s="38"/>
      <c r="D75" s="33"/>
    </row>
    <row r="76" spans="1:4" x14ac:dyDescent="0.25">
      <c r="A76" s="38"/>
      <c r="B76" s="38"/>
      <c r="C76" s="38"/>
      <c r="D76" s="33"/>
    </row>
    <row r="77" spans="1:4" x14ac:dyDescent="0.25">
      <c r="A77" s="38"/>
      <c r="B77" s="38"/>
      <c r="C77" s="38"/>
      <c r="D77" s="33"/>
    </row>
    <row r="78" spans="1:4" x14ac:dyDescent="0.25">
      <c r="A78" s="38"/>
      <c r="B78" s="38"/>
      <c r="C78" s="38"/>
      <c r="D78" s="33"/>
    </row>
    <row r="79" spans="1:4" x14ac:dyDescent="0.25">
      <c r="A79" s="38"/>
      <c r="B79" s="38"/>
      <c r="C79" s="38"/>
      <c r="D79" s="33"/>
    </row>
    <row r="80" spans="1:4" x14ac:dyDescent="0.25">
      <c r="A80" s="38"/>
      <c r="B80" s="38"/>
      <c r="C80" s="38"/>
      <c r="D80" s="33"/>
    </row>
    <row r="81" spans="1:4" x14ac:dyDescent="0.25">
      <c r="A81" s="38"/>
      <c r="B81" s="38"/>
      <c r="C81" s="38"/>
      <c r="D81" s="33"/>
    </row>
    <row r="82" spans="1:4" x14ac:dyDescent="0.25">
      <c r="A82" s="38"/>
      <c r="B82" s="38"/>
      <c r="C82" s="38"/>
      <c r="D82" s="33"/>
    </row>
    <row r="83" spans="1:4" x14ac:dyDescent="0.25">
      <c r="A83" s="38"/>
      <c r="B83" s="38"/>
      <c r="C83" s="38"/>
      <c r="D83" s="33"/>
    </row>
    <row r="84" spans="1:4" x14ac:dyDescent="0.25">
      <c r="A84" s="38"/>
      <c r="B84" s="38"/>
      <c r="C84" s="38"/>
      <c r="D84" s="33"/>
    </row>
    <row r="85" spans="1:4" x14ac:dyDescent="0.25">
      <c r="A85" s="38"/>
      <c r="B85" s="38"/>
      <c r="C85" s="38"/>
      <c r="D85" s="33"/>
    </row>
    <row r="86" spans="1:4" x14ac:dyDescent="0.25">
      <c r="A86" s="38"/>
      <c r="B86" s="38"/>
      <c r="C86" s="38"/>
      <c r="D86" s="33"/>
    </row>
    <row r="87" spans="1:4" x14ac:dyDescent="0.25">
      <c r="A87" s="38"/>
      <c r="B87" s="38"/>
      <c r="C87" s="38"/>
      <c r="D87" s="33"/>
    </row>
    <row r="88" spans="1:4" x14ac:dyDescent="0.25">
      <c r="A88" s="38"/>
      <c r="B88" s="38"/>
      <c r="C88" s="38"/>
      <c r="D88" s="33"/>
    </row>
    <row r="89" spans="1:4" x14ac:dyDescent="0.25">
      <c r="A89" s="38"/>
      <c r="B89" s="38"/>
      <c r="C89" s="38"/>
      <c r="D89" s="33"/>
    </row>
    <row r="90" spans="1:4" x14ac:dyDescent="0.25">
      <c r="A90" s="38"/>
      <c r="B90" s="38"/>
      <c r="C90" s="38"/>
      <c r="D90" s="33"/>
    </row>
    <row r="91" spans="1:4" x14ac:dyDescent="0.25">
      <c r="A91" s="38"/>
      <c r="B91" s="38"/>
      <c r="C91" s="38"/>
      <c r="D91" s="33"/>
    </row>
    <row r="92" spans="1:4" x14ac:dyDescent="0.25">
      <c r="A92" s="38"/>
      <c r="B92" s="38"/>
      <c r="C92" s="38"/>
      <c r="D92" s="33"/>
    </row>
    <row r="93" spans="1:4" x14ac:dyDescent="0.25">
      <c r="A93" s="38"/>
      <c r="B93" s="38"/>
      <c r="C93" s="38"/>
      <c r="D93" s="33"/>
    </row>
    <row r="94" spans="1:4" x14ac:dyDescent="0.25">
      <c r="A94" s="38"/>
      <c r="B94" s="38"/>
      <c r="C94" s="38"/>
      <c r="D94" s="33"/>
    </row>
    <row r="95" spans="1:4" x14ac:dyDescent="0.25">
      <c r="A95" s="38"/>
      <c r="B95" s="38"/>
      <c r="C95" s="38"/>
      <c r="D95" s="33"/>
    </row>
    <row r="96" spans="1:4" x14ac:dyDescent="0.25">
      <c r="A96" s="38"/>
      <c r="B96" s="38"/>
      <c r="C96" s="38"/>
      <c r="D96" s="33"/>
    </row>
    <row r="97" spans="1:4" x14ac:dyDescent="0.25">
      <c r="A97" s="38"/>
      <c r="B97" s="38"/>
      <c r="C97" s="38"/>
      <c r="D97" s="33"/>
    </row>
    <row r="98" spans="1:4" x14ac:dyDescent="0.25">
      <c r="A98" s="38"/>
      <c r="B98" s="38"/>
      <c r="C98" s="38"/>
      <c r="D98" s="33"/>
    </row>
    <row r="99" spans="1:4" x14ac:dyDescent="0.25">
      <c r="A99" s="38"/>
      <c r="B99" s="38"/>
      <c r="C99" s="38"/>
      <c r="D99" s="33"/>
    </row>
    <row r="100" spans="1:4" x14ac:dyDescent="0.25">
      <c r="A100" s="38"/>
      <c r="B100" s="38"/>
      <c r="C100" s="38"/>
      <c r="D100" s="33"/>
    </row>
    <row r="101" spans="1:4" x14ac:dyDescent="0.25">
      <c r="A101" s="38"/>
      <c r="B101" s="38"/>
      <c r="C101" s="38"/>
      <c r="D101" s="33"/>
    </row>
    <row r="102" spans="1:4" x14ac:dyDescent="0.25">
      <c r="A102" s="38"/>
      <c r="B102" s="38"/>
      <c r="C102" s="38"/>
      <c r="D102" s="33"/>
    </row>
    <row r="103" spans="1:4" x14ac:dyDescent="0.25">
      <c r="A103" s="38"/>
      <c r="B103" s="38"/>
      <c r="C103" s="38"/>
      <c r="D103" s="33"/>
    </row>
    <row r="104" spans="1:4" x14ac:dyDescent="0.25">
      <c r="A104" s="38"/>
      <c r="B104" s="38"/>
      <c r="C104" s="38"/>
      <c r="D104" s="33"/>
    </row>
    <row r="105" spans="1:4" x14ac:dyDescent="0.25">
      <c r="A105" s="38"/>
      <c r="B105" s="38"/>
      <c r="C105" s="38"/>
      <c r="D105" s="33"/>
    </row>
    <row r="106" spans="1:4" x14ac:dyDescent="0.25">
      <c r="A106" s="38"/>
      <c r="B106" s="38"/>
      <c r="C106" s="38"/>
      <c r="D106" s="33"/>
    </row>
    <row r="107" spans="1:4" x14ac:dyDescent="0.25">
      <c r="A107" s="38"/>
      <c r="B107" s="38"/>
      <c r="C107" s="38"/>
      <c r="D107" s="33"/>
    </row>
    <row r="108" spans="1:4" x14ac:dyDescent="0.25">
      <c r="A108" s="38"/>
      <c r="B108" s="38"/>
      <c r="C108" s="38"/>
      <c r="D108" s="33"/>
    </row>
    <row r="109" spans="1:4" x14ac:dyDescent="0.25">
      <c r="A109" s="38"/>
      <c r="B109" s="38"/>
      <c r="C109" s="38"/>
      <c r="D109" s="33"/>
    </row>
    <row r="110" spans="1:4" x14ac:dyDescent="0.25">
      <c r="A110" s="38"/>
      <c r="B110" s="38"/>
      <c r="C110" s="38"/>
      <c r="D110" s="33"/>
    </row>
    <row r="111" spans="1:4" x14ac:dyDescent="0.25">
      <c r="A111" s="38"/>
      <c r="B111" s="38"/>
      <c r="C111" s="38"/>
      <c r="D111" s="33"/>
    </row>
    <row r="112" spans="1:4" x14ac:dyDescent="0.25">
      <c r="A112" s="38"/>
      <c r="B112" s="38"/>
      <c r="C112" s="38"/>
      <c r="D112" s="33"/>
    </row>
    <row r="113" spans="1:5" x14ac:dyDescent="0.25">
      <c r="A113" s="38"/>
      <c r="B113" s="38"/>
      <c r="C113" s="38"/>
      <c r="D113" s="33"/>
    </row>
    <row r="114" spans="1:5" x14ac:dyDescent="0.25">
      <c r="A114" s="38"/>
      <c r="B114" s="38"/>
      <c r="C114" s="38"/>
      <c r="D114" s="33"/>
    </row>
    <row r="115" spans="1:5" x14ac:dyDescent="0.25">
      <c r="A115" s="38"/>
      <c r="B115" s="38"/>
      <c r="C115" s="38"/>
      <c r="D115" s="33"/>
    </row>
    <row r="116" spans="1:5" x14ac:dyDescent="0.25">
      <c r="A116" s="38"/>
      <c r="B116" s="38"/>
      <c r="C116" s="38"/>
      <c r="D116" s="33"/>
    </row>
    <row r="117" spans="1:5" x14ac:dyDescent="0.25">
      <c r="A117" s="38"/>
      <c r="B117" s="38"/>
      <c r="C117" s="38"/>
      <c r="D117" s="33"/>
    </row>
    <row r="118" spans="1:5" x14ac:dyDescent="0.25">
      <c r="A118" s="38"/>
      <c r="B118" s="38"/>
      <c r="C118" s="38"/>
      <c r="D118" s="33"/>
    </row>
    <row r="119" spans="1:5" x14ac:dyDescent="0.25">
      <c r="C119" s="7"/>
    </row>
    <row r="120" spans="1:5" x14ac:dyDescent="0.25">
      <c r="A120" s="33" t="s">
        <v>60</v>
      </c>
      <c r="B120" s="39"/>
      <c r="C120" s="33"/>
      <c r="D120" s="33" t="s">
        <v>61</v>
      </c>
    </row>
    <row r="121" spans="1:5" x14ac:dyDescent="0.25">
      <c r="A121" s="33" t="s">
        <v>62</v>
      </c>
      <c r="B121" s="33"/>
      <c r="C121" s="33"/>
      <c r="D121" s="33" t="s">
        <v>63</v>
      </c>
    </row>
    <row r="123" spans="1:5" x14ac:dyDescent="0.25">
      <c r="A123" s="1" t="s">
        <v>64</v>
      </c>
      <c r="B123" s="1" t="s">
        <v>65</v>
      </c>
      <c r="C123" s="1" t="s">
        <v>66</v>
      </c>
      <c r="D123" s="1" t="s">
        <v>67</v>
      </c>
      <c r="E123" s="1" t="s">
        <v>68</v>
      </c>
    </row>
    <row r="124" spans="1:5" x14ac:dyDescent="0.25">
      <c r="A124" s="1">
        <v>1</v>
      </c>
    </row>
    <row r="125" spans="1:5" x14ac:dyDescent="0.25">
      <c r="A125" s="1">
        <v>2</v>
      </c>
    </row>
    <row r="126" spans="1:5" x14ac:dyDescent="0.25">
      <c r="A126" s="1">
        <v>3</v>
      </c>
    </row>
    <row r="127" spans="1:5" x14ac:dyDescent="0.25">
      <c r="B127" s="7" t="s">
        <v>7</v>
      </c>
    </row>
  </sheetData>
  <mergeCells count="5">
    <mergeCell ref="A5:F5"/>
    <mergeCell ref="A6:F6"/>
    <mergeCell ref="A7:B7"/>
    <mergeCell ref="C7:D7"/>
    <mergeCell ref="E7:F7"/>
  </mergeCells>
  <conditionalFormatting sqref="B11">
    <cfRule type="duplicateValues" dxfId="6" priority="1"/>
  </conditionalFormatting>
  <printOptions horizontalCentered="1" verticalCentered="1"/>
  <pageMargins left="0" right="0" top="0" bottom="0" header="0" footer="0"/>
  <pageSetup paperSize="9" scale="9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I127"/>
  <sheetViews>
    <sheetView workbookViewId="0">
      <selection sqref="A1:XFD1048576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9" ht="15.75" thickBot="1" x14ac:dyDescent="0.3">
      <c r="B1" s="19"/>
      <c r="C1" s="19"/>
      <c r="D1" s="19"/>
      <c r="E1" s="19"/>
      <c r="F1" s="19"/>
    </row>
    <row r="2" spans="1:9" ht="15.75" x14ac:dyDescent="0.25">
      <c r="A2" s="20"/>
      <c r="B2" s="21"/>
      <c r="C2" s="22"/>
      <c r="D2" s="23"/>
      <c r="E2" s="22"/>
      <c r="F2" s="24"/>
      <c r="G2" s="25"/>
    </row>
    <row r="3" spans="1:9" ht="16.5" thickBot="1" x14ac:dyDescent="0.3">
      <c r="A3" s="20"/>
      <c r="B3" s="26"/>
      <c r="C3" s="27"/>
      <c r="D3" s="28"/>
      <c r="E3" s="28"/>
      <c r="F3" s="28"/>
    </row>
    <row r="4" spans="1:9" x14ac:dyDescent="0.25">
      <c r="B4" s="29"/>
      <c r="C4" s="29"/>
      <c r="D4" s="29"/>
      <c r="E4" s="29"/>
      <c r="F4" s="44"/>
    </row>
    <row r="5" spans="1:9" ht="15.75" x14ac:dyDescent="0.25">
      <c r="A5" s="61" t="s">
        <v>42</v>
      </c>
      <c r="B5" s="61"/>
      <c r="C5" s="61"/>
      <c r="D5" s="61"/>
      <c r="E5" s="61"/>
      <c r="F5" s="62"/>
    </row>
    <row r="6" spans="1:9" ht="15.75" x14ac:dyDescent="0.25">
      <c r="A6" s="61" t="s">
        <v>183</v>
      </c>
      <c r="B6" s="61"/>
      <c r="C6" s="61"/>
      <c r="D6" s="61"/>
      <c r="E6" s="61"/>
      <c r="F6" s="61"/>
    </row>
    <row r="7" spans="1:9" ht="23.25" x14ac:dyDescent="0.25">
      <c r="A7" s="63" t="s">
        <v>43</v>
      </c>
      <c r="B7" s="63"/>
      <c r="C7" s="64" t="s">
        <v>44</v>
      </c>
      <c r="D7" s="64"/>
      <c r="E7" s="65" t="s">
        <v>45</v>
      </c>
      <c r="F7" s="65"/>
    </row>
    <row r="8" spans="1:9" x14ac:dyDescent="0.25">
      <c r="A8" s="1" t="s">
        <v>46</v>
      </c>
      <c r="B8" s="2"/>
      <c r="C8" s="30"/>
      <c r="E8" s="1" t="s">
        <v>47</v>
      </c>
      <c r="F8" s="31"/>
      <c r="G8" s="32" t="s">
        <v>89</v>
      </c>
      <c r="H8" s="34"/>
    </row>
    <row r="9" spans="1:9" x14ac:dyDescent="0.25">
      <c r="A9" s="1" t="s">
        <v>48</v>
      </c>
      <c r="B9" s="33"/>
      <c r="C9" s="30"/>
      <c r="E9" s="1" t="s">
        <v>49</v>
      </c>
      <c r="G9" s="1" t="s">
        <v>90</v>
      </c>
      <c r="H9" s="34"/>
    </row>
    <row r="10" spans="1:9" x14ac:dyDescent="0.25">
      <c r="A10" s="1" t="s">
        <v>50</v>
      </c>
      <c r="B10" s="2"/>
      <c r="E10" s="1" t="s">
        <v>51</v>
      </c>
      <c r="G10" s="1" t="s">
        <v>91</v>
      </c>
    </row>
    <row r="11" spans="1:9" x14ac:dyDescent="0.25">
      <c r="A11" s="1" t="s">
        <v>52</v>
      </c>
      <c r="B11" s="33"/>
      <c r="I11" s="34"/>
    </row>
    <row r="12" spans="1:9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</row>
    <row r="13" spans="1:9" x14ac:dyDescent="0.25">
      <c r="A13" s="38"/>
      <c r="B13" s="38"/>
      <c r="C13" s="38"/>
      <c r="E13" s="33"/>
      <c r="F13" s="33"/>
      <c r="H13" s="34"/>
    </row>
    <row r="14" spans="1:9" x14ac:dyDescent="0.25">
      <c r="A14" s="38"/>
      <c r="B14" s="38"/>
      <c r="C14" s="38"/>
      <c r="E14" s="33"/>
      <c r="G14" s="34"/>
      <c r="H14" s="34"/>
    </row>
    <row r="15" spans="1:9" x14ac:dyDescent="0.25">
      <c r="A15" s="38"/>
      <c r="B15" s="38"/>
      <c r="C15" s="38"/>
      <c r="E15" s="33"/>
      <c r="H15" s="34"/>
    </row>
    <row r="16" spans="1:9" x14ac:dyDescent="0.25">
      <c r="A16" s="38"/>
      <c r="B16" s="38"/>
      <c r="C16" s="38"/>
      <c r="E16" s="33"/>
    </row>
    <row r="17" spans="1:4" x14ac:dyDescent="0.25">
      <c r="A17" s="38"/>
      <c r="B17" s="38"/>
      <c r="C17" s="38"/>
    </row>
    <row r="18" spans="1:4" x14ac:dyDescent="0.25">
      <c r="A18" s="38"/>
      <c r="B18" s="38"/>
      <c r="C18" s="38"/>
      <c r="D18" s="33"/>
    </row>
    <row r="19" spans="1:4" x14ac:dyDescent="0.25">
      <c r="A19" s="38"/>
      <c r="B19" s="38"/>
      <c r="C19" s="38"/>
      <c r="D19" s="33"/>
    </row>
    <row r="20" spans="1:4" x14ac:dyDescent="0.25">
      <c r="A20" s="38"/>
      <c r="B20" s="38"/>
      <c r="C20" s="38"/>
      <c r="D20" s="33"/>
    </row>
    <row r="21" spans="1:4" x14ac:dyDescent="0.25">
      <c r="A21" s="38"/>
      <c r="B21" s="38"/>
      <c r="C21" s="38"/>
      <c r="D21" s="33"/>
    </row>
    <row r="22" spans="1:4" x14ac:dyDescent="0.25">
      <c r="A22" s="38"/>
      <c r="B22" s="38"/>
      <c r="C22" s="38"/>
      <c r="D22" s="33"/>
    </row>
    <row r="23" spans="1:4" x14ac:dyDescent="0.25">
      <c r="A23" s="38"/>
      <c r="B23" s="38"/>
      <c r="C23" s="38"/>
      <c r="D23" s="33"/>
    </row>
    <row r="24" spans="1:4" x14ac:dyDescent="0.25">
      <c r="A24" s="38"/>
      <c r="B24" s="38"/>
      <c r="C24" s="38"/>
      <c r="D24" s="33"/>
    </row>
    <row r="25" spans="1:4" x14ac:dyDescent="0.25">
      <c r="A25" s="38"/>
      <c r="B25" s="38"/>
      <c r="C25" s="38"/>
      <c r="D25" s="33"/>
    </row>
    <row r="26" spans="1:4" x14ac:dyDescent="0.25">
      <c r="A26" s="38"/>
      <c r="B26" s="38"/>
      <c r="C26" s="38"/>
      <c r="D26" s="33"/>
    </row>
    <row r="27" spans="1:4" x14ac:dyDescent="0.25">
      <c r="A27" s="38"/>
      <c r="B27" s="38"/>
      <c r="C27" s="38"/>
      <c r="D27" s="33"/>
    </row>
    <row r="28" spans="1:4" x14ac:dyDescent="0.25">
      <c r="A28" s="38"/>
      <c r="B28" s="38"/>
      <c r="C28" s="38"/>
      <c r="D28" s="33"/>
    </row>
    <row r="29" spans="1:4" x14ac:dyDescent="0.25">
      <c r="A29" s="38"/>
      <c r="B29" s="38"/>
      <c r="C29" s="38"/>
      <c r="D29" s="33"/>
    </row>
    <row r="30" spans="1:4" x14ac:dyDescent="0.25">
      <c r="A30" s="38"/>
      <c r="B30" s="38"/>
      <c r="C30" s="38"/>
      <c r="D30" s="33"/>
    </row>
    <row r="31" spans="1:4" x14ac:dyDescent="0.25">
      <c r="A31" s="38"/>
      <c r="B31" s="38"/>
      <c r="C31" s="38"/>
      <c r="D31" s="33"/>
    </row>
    <row r="32" spans="1:4" x14ac:dyDescent="0.25">
      <c r="A32" s="38"/>
      <c r="B32" s="38"/>
      <c r="C32" s="38"/>
      <c r="D32" s="33"/>
    </row>
    <row r="33" spans="1:4" x14ac:dyDescent="0.25">
      <c r="A33" s="38"/>
      <c r="B33" s="38"/>
      <c r="C33" s="38"/>
      <c r="D33" s="33"/>
    </row>
    <row r="34" spans="1:4" x14ac:dyDescent="0.25">
      <c r="A34" s="38"/>
      <c r="B34" s="38"/>
      <c r="C34" s="38"/>
      <c r="D34" s="33"/>
    </row>
    <row r="35" spans="1:4" x14ac:dyDescent="0.25">
      <c r="A35" s="38"/>
      <c r="B35" s="38"/>
      <c r="C35" s="38"/>
      <c r="D35" s="33"/>
    </row>
    <row r="36" spans="1:4" x14ac:dyDescent="0.25">
      <c r="A36" s="38"/>
      <c r="B36" s="38"/>
      <c r="C36" s="38"/>
      <c r="D36" s="33"/>
    </row>
    <row r="37" spans="1:4" x14ac:dyDescent="0.25">
      <c r="A37" s="38"/>
      <c r="B37" s="38"/>
      <c r="C37" s="38"/>
      <c r="D37" s="33"/>
    </row>
    <row r="38" spans="1:4" x14ac:dyDescent="0.25">
      <c r="A38" s="38"/>
      <c r="B38" s="38"/>
      <c r="C38" s="38"/>
      <c r="D38" s="33"/>
    </row>
    <row r="39" spans="1:4" x14ac:dyDescent="0.25">
      <c r="A39" s="38"/>
      <c r="B39" s="38"/>
      <c r="C39" s="38"/>
      <c r="D39" s="33"/>
    </row>
    <row r="40" spans="1:4" x14ac:dyDescent="0.25">
      <c r="A40" s="38"/>
      <c r="B40" s="38"/>
      <c r="C40" s="38"/>
      <c r="D40" s="33"/>
    </row>
    <row r="41" spans="1:4" x14ac:dyDescent="0.25">
      <c r="A41" s="38"/>
      <c r="B41" s="38"/>
      <c r="C41" s="38"/>
      <c r="D41" s="33"/>
    </row>
    <row r="42" spans="1:4" x14ac:dyDescent="0.25">
      <c r="A42" s="38"/>
      <c r="B42" s="38"/>
      <c r="C42" s="38"/>
      <c r="D42" s="33"/>
    </row>
    <row r="43" spans="1:4" x14ac:dyDescent="0.25">
      <c r="A43" s="38"/>
      <c r="B43" s="38"/>
      <c r="C43" s="38"/>
      <c r="D43" s="33"/>
    </row>
    <row r="44" spans="1:4" x14ac:dyDescent="0.25">
      <c r="A44" s="38"/>
      <c r="B44" s="38"/>
      <c r="C44" s="38"/>
      <c r="D44" s="33"/>
    </row>
    <row r="45" spans="1:4" x14ac:dyDescent="0.25">
      <c r="A45" s="38"/>
      <c r="B45" s="38"/>
      <c r="C45" s="38"/>
      <c r="D45" s="33"/>
    </row>
    <row r="46" spans="1:4" x14ac:dyDescent="0.25">
      <c r="A46" s="38"/>
      <c r="B46" s="38"/>
      <c r="C46" s="38"/>
      <c r="D46" s="33"/>
    </row>
    <row r="47" spans="1:4" x14ac:dyDescent="0.25">
      <c r="A47" s="38"/>
      <c r="B47" s="38"/>
      <c r="C47" s="38"/>
      <c r="D47" s="33"/>
    </row>
    <row r="48" spans="1:4" x14ac:dyDescent="0.25">
      <c r="A48" s="38"/>
      <c r="B48" s="38"/>
      <c r="C48" s="38"/>
      <c r="D48" s="33"/>
    </row>
    <row r="49" spans="1:4" x14ac:dyDescent="0.25">
      <c r="A49" s="38"/>
      <c r="B49" s="38"/>
      <c r="C49" s="38"/>
      <c r="D49" s="33"/>
    </row>
    <row r="50" spans="1:4" x14ac:dyDescent="0.25">
      <c r="A50" s="38"/>
      <c r="B50" s="38"/>
      <c r="C50" s="38"/>
      <c r="D50" s="33"/>
    </row>
    <row r="51" spans="1:4" x14ac:dyDescent="0.25">
      <c r="A51" s="38"/>
      <c r="B51" s="38"/>
      <c r="C51" s="38"/>
      <c r="D51" s="33"/>
    </row>
    <row r="52" spans="1:4" x14ac:dyDescent="0.25">
      <c r="A52" s="38"/>
      <c r="B52" s="38"/>
      <c r="C52" s="38"/>
      <c r="D52" s="33"/>
    </row>
    <row r="53" spans="1:4" x14ac:dyDescent="0.25">
      <c r="A53" s="38"/>
      <c r="B53" s="38"/>
      <c r="C53" s="38"/>
      <c r="D53" s="33"/>
    </row>
    <row r="54" spans="1:4" x14ac:dyDescent="0.25">
      <c r="A54" s="38"/>
      <c r="B54" s="38"/>
      <c r="C54" s="38"/>
      <c r="D54" s="33"/>
    </row>
    <row r="55" spans="1:4" x14ac:dyDescent="0.25">
      <c r="A55" s="38"/>
      <c r="B55" s="38"/>
      <c r="C55" s="38"/>
      <c r="D55" s="33"/>
    </row>
    <row r="56" spans="1:4" x14ac:dyDescent="0.25">
      <c r="A56" s="38"/>
      <c r="B56" s="38"/>
      <c r="C56" s="38"/>
      <c r="D56" s="33"/>
    </row>
    <row r="57" spans="1:4" x14ac:dyDescent="0.25">
      <c r="A57" s="38"/>
      <c r="B57" s="38"/>
      <c r="C57" s="38"/>
      <c r="D57" s="33"/>
    </row>
    <row r="58" spans="1:4" x14ac:dyDescent="0.25">
      <c r="A58" s="38"/>
      <c r="B58" s="38"/>
      <c r="C58" s="38"/>
      <c r="D58" s="33"/>
    </row>
    <row r="59" spans="1:4" x14ac:dyDescent="0.25">
      <c r="A59" s="38"/>
      <c r="B59" s="38"/>
      <c r="C59" s="38"/>
      <c r="D59" s="33"/>
    </row>
    <row r="60" spans="1:4" x14ac:dyDescent="0.25">
      <c r="A60" s="38"/>
      <c r="B60" s="38"/>
      <c r="C60" s="38"/>
      <c r="D60" s="33"/>
    </row>
    <row r="61" spans="1:4" x14ac:dyDescent="0.25">
      <c r="A61" s="38"/>
      <c r="B61" s="38"/>
      <c r="C61" s="38"/>
      <c r="D61" s="33"/>
    </row>
    <row r="62" spans="1:4" x14ac:dyDescent="0.25">
      <c r="A62" s="38"/>
      <c r="B62" s="38"/>
      <c r="C62" s="38"/>
      <c r="D62" s="33"/>
    </row>
    <row r="63" spans="1:4" x14ac:dyDescent="0.25">
      <c r="A63" s="38"/>
      <c r="B63" s="38"/>
      <c r="C63" s="38"/>
      <c r="D63" s="33"/>
    </row>
    <row r="64" spans="1:4" x14ac:dyDescent="0.25">
      <c r="A64" s="38"/>
      <c r="B64" s="38"/>
      <c r="C64" s="38"/>
      <c r="D64" s="33"/>
    </row>
    <row r="65" spans="1:4" x14ac:dyDescent="0.25">
      <c r="A65" s="38"/>
      <c r="B65" s="38"/>
      <c r="C65" s="38"/>
      <c r="D65" s="33"/>
    </row>
    <row r="66" spans="1:4" x14ac:dyDescent="0.25">
      <c r="A66" s="38"/>
      <c r="B66" s="38"/>
      <c r="C66" s="38"/>
      <c r="D66" s="33"/>
    </row>
    <row r="67" spans="1:4" x14ac:dyDescent="0.25">
      <c r="A67" s="38"/>
      <c r="B67" s="38"/>
      <c r="C67" s="38"/>
      <c r="D67" s="33"/>
    </row>
    <row r="68" spans="1:4" x14ac:dyDescent="0.25">
      <c r="A68" s="38"/>
      <c r="B68" s="38"/>
      <c r="C68" s="38"/>
      <c r="D68" s="33"/>
    </row>
    <row r="69" spans="1:4" x14ac:dyDescent="0.25">
      <c r="A69" s="38"/>
      <c r="B69" s="38"/>
      <c r="C69" s="38"/>
      <c r="D69" s="33"/>
    </row>
    <row r="70" spans="1:4" x14ac:dyDescent="0.25">
      <c r="A70" s="38"/>
      <c r="B70" s="38"/>
      <c r="C70" s="38"/>
      <c r="D70" s="33"/>
    </row>
    <row r="71" spans="1:4" x14ac:dyDescent="0.25">
      <c r="A71" s="38"/>
      <c r="B71" s="38"/>
      <c r="C71" s="38"/>
      <c r="D71" s="33"/>
    </row>
    <row r="72" spans="1:4" x14ac:dyDescent="0.25">
      <c r="A72" s="38"/>
      <c r="B72" s="38"/>
      <c r="C72" s="38"/>
      <c r="D72" s="33"/>
    </row>
    <row r="73" spans="1:4" x14ac:dyDescent="0.25">
      <c r="A73" s="38"/>
      <c r="B73" s="38"/>
      <c r="C73" s="38"/>
      <c r="D73" s="33"/>
    </row>
    <row r="74" spans="1:4" x14ac:dyDescent="0.25">
      <c r="A74" s="38"/>
      <c r="B74" s="38"/>
      <c r="C74" s="38"/>
      <c r="D74" s="33"/>
    </row>
    <row r="75" spans="1:4" x14ac:dyDescent="0.25">
      <c r="A75" s="38"/>
      <c r="B75" s="38"/>
      <c r="C75" s="38"/>
      <c r="D75" s="33"/>
    </row>
    <row r="76" spans="1:4" x14ac:dyDescent="0.25">
      <c r="A76" s="38"/>
      <c r="B76" s="38"/>
      <c r="C76" s="38"/>
      <c r="D76" s="33"/>
    </row>
    <row r="77" spans="1:4" x14ac:dyDescent="0.25">
      <c r="A77" s="38"/>
      <c r="B77" s="38"/>
      <c r="C77" s="38"/>
      <c r="D77" s="33"/>
    </row>
    <row r="78" spans="1:4" x14ac:dyDescent="0.25">
      <c r="A78" s="38"/>
      <c r="B78" s="38"/>
      <c r="C78" s="38"/>
      <c r="D78" s="33"/>
    </row>
    <row r="79" spans="1:4" x14ac:dyDescent="0.25">
      <c r="A79" s="38"/>
      <c r="B79" s="38"/>
      <c r="C79" s="38"/>
      <c r="D79" s="33"/>
    </row>
    <row r="80" spans="1:4" x14ac:dyDescent="0.25">
      <c r="A80" s="38"/>
      <c r="B80" s="38"/>
      <c r="C80" s="38"/>
      <c r="D80" s="33"/>
    </row>
    <row r="81" spans="1:4" x14ac:dyDescent="0.25">
      <c r="A81" s="38"/>
      <c r="B81" s="38"/>
      <c r="C81" s="38"/>
      <c r="D81" s="33"/>
    </row>
    <row r="82" spans="1:4" x14ac:dyDescent="0.25">
      <c r="A82" s="38"/>
      <c r="B82" s="38"/>
      <c r="C82" s="38"/>
      <c r="D82" s="33"/>
    </row>
    <row r="83" spans="1:4" x14ac:dyDescent="0.25">
      <c r="A83" s="38"/>
      <c r="B83" s="38"/>
      <c r="C83" s="38"/>
      <c r="D83" s="33"/>
    </row>
    <row r="84" spans="1:4" x14ac:dyDescent="0.25">
      <c r="A84" s="38"/>
      <c r="B84" s="38"/>
      <c r="C84" s="38"/>
      <c r="D84" s="33"/>
    </row>
    <row r="85" spans="1:4" x14ac:dyDescent="0.25">
      <c r="A85" s="38"/>
      <c r="B85" s="38"/>
      <c r="C85" s="38"/>
      <c r="D85" s="33"/>
    </row>
    <row r="86" spans="1:4" x14ac:dyDescent="0.25">
      <c r="A86" s="38"/>
      <c r="B86" s="38"/>
      <c r="C86" s="38"/>
      <c r="D86" s="33"/>
    </row>
    <row r="87" spans="1:4" x14ac:dyDescent="0.25">
      <c r="A87" s="38"/>
      <c r="B87" s="38"/>
      <c r="C87" s="38"/>
      <c r="D87" s="33"/>
    </row>
    <row r="88" spans="1:4" x14ac:dyDescent="0.25">
      <c r="A88" s="38"/>
      <c r="B88" s="38"/>
      <c r="C88" s="38"/>
      <c r="D88" s="33"/>
    </row>
    <row r="89" spans="1:4" x14ac:dyDescent="0.25">
      <c r="A89" s="38"/>
      <c r="B89" s="38"/>
      <c r="C89" s="38"/>
      <c r="D89" s="33"/>
    </row>
    <row r="90" spans="1:4" x14ac:dyDescent="0.25">
      <c r="A90" s="38"/>
      <c r="B90" s="38"/>
      <c r="C90" s="38"/>
      <c r="D90" s="33"/>
    </row>
    <row r="91" spans="1:4" x14ac:dyDescent="0.25">
      <c r="A91" s="38"/>
      <c r="B91" s="38"/>
      <c r="C91" s="38"/>
      <c r="D91" s="33"/>
    </row>
    <row r="92" spans="1:4" x14ac:dyDescent="0.25">
      <c r="A92" s="38"/>
      <c r="B92" s="38"/>
      <c r="C92" s="38"/>
      <c r="D92" s="33"/>
    </row>
    <row r="93" spans="1:4" x14ac:dyDescent="0.25">
      <c r="A93" s="38"/>
      <c r="B93" s="38"/>
      <c r="C93" s="38"/>
      <c r="D93" s="33"/>
    </row>
    <row r="94" spans="1:4" x14ac:dyDescent="0.25">
      <c r="A94" s="38"/>
      <c r="B94" s="38"/>
      <c r="C94" s="38"/>
      <c r="D94" s="33"/>
    </row>
    <row r="95" spans="1:4" x14ac:dyDescent="0.25">
      <c r="A95" s="38"/>
      <c r="B95" s="38"/>
      <c r="C95" s="38"/>
      <c r="D95" s="33"/>
    </row>
    <row r="96" spans="1:4" x14ac:dyDescent="0.25">
      <c r="A96" s="38"/>
      <c r="B96" s="38"/>
      <c r="C96" s="38"/>
      <c r="D96" s="33"/>
    </row>
    <row r="97" spans="1:4" x14ac:dyDescent="0.25">
      <c r="A97" s="38"/>
      <c r="B97" s="38"/>
      <c r="C97" s="38"/>
      <c r="D97" s="33"/>
    </row>
    <row r="98" spans="1:4" x14ac:dyDescent="0.25">
      <c r="A98" s="38"/>
      <c r="B98" s="38"/>
      <c r="C98" s="38"/>
      <c r="D98" s="33"/>
    </row>
    <row r="99" spans="1:4" x14ac:dyDescent="0.25">
      <c r="A99" s="38"/>
      <c r="B99" s="38"/>
      <c r="C99" s="38"/>
      <c r="D99" s="33"/>
    </row>
    <row r="100" spans="1:4" x14ac:dyDescent="0.25">
      <c r="A100" s="38"/>
      <c r="B100" s="38"/>
      <c r="C100" s="38"/>
      <c r="D100" s="33"/>
    </row>
    <row r="101" spans="1:4" x14ac:dyDescent="0.25">
      <c r="A101" s="38"/>
      <c r="B101" s="38"/>
      <c r="C101" s="38"/>
      <c r="D101" s="33"/>
    </row>
    <row r="102" spans="1:4" x14ac:dyDescent="0.25">
      <c r="A102" s="38"/>
      <c r="B102" s="38"/>
      <c r="C102" s="38"/>
      <c r="D102" s="33"/>
    </row>
    <row r="103" spans="1:4" x14ac:dyDescent="0.25">
      <c r="A103" s="38"/>
      <c r="B103" s="38"/>
      <c r="C103" s="38"/>
      <c r="D103" s="33"/>
    </row>
    <row r="104" spans="1:4" x14ac:dyDescent="0.25">
      <c r="A104" s="38"/>
      <c r="B104" s="38"/>
      <c r="C104" s="38"/>
      <c r="D104" s="33"/>
    </row>
    <row r="105" spans="1:4" x14ac:dyDescent="0.25">
      <c r="A105" s="38"/>
      <c r="B105" s="38"/>
      <c r="C105" s="38"/>
      <c r="D105" s="33"/>
    </row>
    <row r="106" spans="1:4" x14ac:dyDescent="0.25">
      <c r="A106" s="38"/>
      <c r="B106" s="38"/>
      <c r="C106" s="38"/>
      <c r="D106" s="33"/>
    </row>
    <row r="107" spans="1:4" x14ac:dyDescent="0.25">
      <c r="A107" s="38"/>
      <c r="B107" s="38"/>
      <c r="C107" s="38"/>
      <c r="D107" s="33"/>
    </row>
    <row r="108" spans="1:4" x14ac:dyDescent="0.25">
      <c r="A108" s="38"/>
      <c r="B108" s="38"/>
      <c r="C108" s="38"/>
      <c r="D108" s="33"/>
    </row>
    <row r="109" spans="1:4" x14ac:dyDescent="0.25">
      <c r="A109" s="38"/>
      <c r="B109" s="38"/>
      <c r="C109" s="38"/>
      <c r="D109" s="33"/>
    </row>
    <row r="110" spans="1:4" x14ac:dyDescent="0.25">
      <c r="A110" s="38"/>
      <c r="B110" s="38"/>
      <c r="C110" s="38"/>
      <c r="D110" s="33"/>
    </row>
    <row r="111" spans="1:4" x14ac:dyDescent="0.25">
      <c r="A111" s="38"/>
      <c r="B111" s="38"/>
      <c r="C111" s="38"/>
      <c r="D111" s="33"/>
    </row>
    <row r="112" spans="1:4" x14ac:dyDescent="0.25">
      <c r="A112" s="38"/>
      <c r="B112" s="38"/>
      <c r="C112" s="38"/>
      <c r="D112" s="33"/>
    </row>
    <row r="113" spans="1:5" x14ac:dyDescent="0.25">
      <c r="A113" s="38"/>
      <c r="B113" s="38"/>
      <c r="C113" s="38"/>
      <c r="D113" s="33"/>
    </row>
    <row r="114" spans="1:5" x14ac:dyDescent="0.25">
      <c r="A114" s="38"/>
      <c r="B114" s="38"/>
      <c r="C114" s="38"/>
      <c r="D114" s="33"/>
    </row>
    <row r="115" spans="1:5" x14ac:dyDescent="0.25">
      <c r="A115" s="38"/>
      <c r="B115" s="38"/>
      <c r="C115" s="38"/>
      <c r="D115" s="33"/>
    </row>
    <row r="116" spans="1:5" x14ac:dyDescent="0.25">
      <c r="A116" s="38"/>
      <c r="B116" s="38"/>
      <c r="C116" s="38"/>
      <c r="D116" s="33"/>
    </row>
    <row r="117" spans="1:5" x14ac:dyDescent="0.25">
      <c r="A117" s="38"/>
      <c r="B117" s="38"/>
      <c r="C117" s="38"/>
      <c r="D117" s="33"/>
    </row>
    <row r="118" spans="1:5" x14ac:dyDescent="0.25">
      <c r="A118" s="38"/>
      <c r="B118" s="38"/>
      <c r="C118" s="38"/>
      <c r="D118" s="33"/>
    </row>
    <row r="119" spans="1:5" x14ac:dyDescent="0.25">
      <c r="C119" s="7"/>
    </row>
    <row r="120" spans="1:5" x14ac:dyDescent="0.25">
      <c r="A120" s="33" t="s">
        <v>60</v>
      </c>
      <c r="B120" s="39"/>
      <c r="C120" s="33"/>
      <c r="D120" s="33" t="s">
        <v>61</v>
      </c>
    </row>
    <row r="121" spans="1:5" x14ac:dyDescent="0.25">
      <c r="A121" s="33" t="s">
        <v>62</v>
      </c>
      <c r="B121" s="33"/>
      <c r="C121" s="33"/>
      <c r="D121" s="33" t="s">
        <v>63</v>
      </c>
    </row>
    <row r="123" spans="1:5" x14ac:dyDescent="0.25">
      <c r="A123" s="1" t="s">
        <v>64</v>
      </c>
      <c r="B123" s="1" t="s">
        <v>65</v>
      </c>
      <c r="C123" s="1" t="s">
        <v>66</v>
      </c>
      <c r="D123" s="1" t="s">
        <v>67</v>
      </c>
      <c r="E123" s="1" t="s">
        <v>68</v>
      </c>
    </row>
    <row r="124" spans="1:5" x14ac:dyDescent="0.25">
      <c r="A124" s="1">
        <v>1</v>
      </c>
    </row>
    <row r="125" spans="1:5" x14ac:dyDescent="0.25">
      <c r="A125" s="1">
        <v>2</v>
      </c>
    </row>
    <row r="126" spans="1:5" x14ac:dyDescent="0.25">
      <c r="A126" s="1">
        <v>3</v>
      </c>
    </row>
    <row r="127" spans="1:5" x14ac:dyDescent="0.25">
      <c r="B127" s="7" t="s">
        <v>7</v>
      </c>
    </row>
  </sheetData>
  <mergeCells count="5">
    <mergeCell ref="A5:F5"/>
    <mergeCell ref="A6:F6"/>
    <mergeCell ref="A7:B7"/>
    <mergeCell ref="C7:D7"/>
    <mergeCell ref="E7:F7"/>
  </mergeCells>
  <conditionalFormatting sqref="B11">
    <cfRule type="duplicateValues" dxfId="5" priority="1"/>
  </conditionalFormatting>
  <printOptions horizontalCentered="1" verticalCentered="1"/>
  <pageMargins left="0" right="0" top="0" bottom="0" header="0" footer="0"/>
  <pageSetup paperSize="9" scale="9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I127"/>
  <sheetViews>
    <sheetView workbookViewId="0">
      <selection sqref="A1:XFD1048576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9" ht="15.75" thickBot="1" x14ac:dyDescent="0.3">
      <c r="B1" s="19"/>
      <c r="C1" s="19"/>
      <c r="D1" s="19"/>
      <c r="E1" s="19"/>
      <c r="F1" s="19"/>
    </row>
    <row r="2" spans="1:9" ht="15.75" x14ac:dyDescent="0.25">
      <c r="A2" s="20"/>
      <c r="B2" s="21"/>
      <c r="C2" s="22"/>
      <c r="D2" s="23"/>
      <c r="E2" s="22"/>
      <c r="F2" s="24"/>
      <c r="G2" s="25"/>
    </row>
    <row r="3" spans="1:9" ht="16.5" thickBot="1" x14ac:dyDescent="0.3">
      <c r="A3" s="20"/>
      <c r="B3" s="26"/>
      <c r="C3" s="27"/>
      <c r="D3" s="28"/>
      <c r="E3" s="28"/>
      <c r="F3" s="28"/>
    </row>
    <row r="4" spans="1:9" x14ac:dyDescent="0.25">
      <c r="B4" s="29"/>
      <c r="C4" s="29"/>
      <c r="D4" s="29"/>
      <c r="E4" s="29"/>
      <c r="F4" s="44"/>
    </row>
    <row r="5" spans="1:9" ht="15.75" x14ac:dyDescent="0.25">
      <c r="A5" s="61" t="s">
        <v>42</v>
      </c>
      <c r="B5" s="61"/>
      <c r="C5" s="61"/>
      <c r="D5" s="61"/>
      <c r="E5" s="61"/>
      <c r="F5" s="62"/>
    </row>
    <row r="6" spans="1:9" ht="15.75" x14ac:dyDescent="0.25">
      <c r="A6" s="61" t="s">
        <v>183</v>
      </c>
      <c r="B6" s="61"/>
      <c r="C6" s="61"/>
      <c r="D6" s="61"/>
      <c r="E6" s="61"/>
      <c r="F6" s="61"/>
    </row>
    <row r="7" spans="1:9" ht="23.25" x14ac:dyDescent="0.25">
      <c r="A7" s="63" t="s">
        <v>43</v>
      </c>
      <c r="B7" s="63"/>
      <c r="C7" s="64" t="s">
        <v>44</v>
      </c>
      <c r="D7" s="64"/>
      <c r="E7" s="65" t="s">
        <v>45</v>
      </c>
      <c r="F7" s="65"/>
    </row>
    <row r="8" spans="1:9" x14ac:dyDescent="0.25">
      <c r="A8" s="1" t="s">
        <v>46</v>
      </c>
      <c r="B8" s="2"/>
      <c r="C8" s="30"/>
      <c r="E8" s="1" t="s">
        <v>47</v>
      </c>
      <c r="F8" s="31"/>
      <c r="G8" s="32" t="s">
        <v>89</v>
      </c>
      <c r="H8" s="34"/>
    </row>
    <row r="9" spans="1:9" x14ac:dyDescent="0.25">
      <c r="A9" s="1" t="s">
        <v>48</v>
      </c>
      <c r="B9" s="33"/>
      <c r="C9" s="30"/>
      <c r="E9" s="1" t="s">
        <v>49</v>
      </c>
      <c r="G9" s="1" t="s">
        <v>90</v>
      </c>
      <c r="H9" s="34"/>
    </row>
    <row r="10" spans="1:9" x14ac:dyDescent="0.25">
      <c r="A10" s="1" t="s">
        <v>50</v>
      </c>
      <c r="B10" s="2"/>
      <c r="E10" s="1" t="s">
        <v>51</v>
      </c>
      <c r="G10" s="1" t="s">
        <v>91</v>
      </c>
    </row>
    <row r="11" spans="1:9" x14ac:dyDescent="0.25">
      <c r="A11" s="1" t="s">
        <v>52</v>
      </c>
      <c r="B11" s="33"/>
      <c r="I11" s="34"/>
    </row>
    <row r="12" spans="1:9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</row>
    <row r="13" spans="1:9" x14ac:dyDescent="0.25">
      <c r="A13" s="38"/>
      <c r="B13" s="38"/>
      <c r="C13" s="38"/>
      <c r="E13" s="33"/>
      <c r="F13" s="33"/>
      <c r="H13" s="34"/>
    </row>
    <row r="14" spans="1:9" x14ac:dyDescent="0.25">
      <c r="A14" s="38"/>
      <c r="B14" s="38"/>
      <c r="C14" s="38"/>
      <c r="E14" s="33"/>
      <c r="G14" s="34"/>
      <c r="H14" s="34"/>
    </row>
    <row r="15" spans="1:9" x14ac:dyDescent="0.25">
      <c r="A15" s="38"/>
      <c r="B15" s="38"/>
      <c r="C15" s="38"/>
      <c r="E15" s="33"/>
      <c r="H15" s="34"/>
    </row>
    <row r="16" spans="1:9" x14ac:dyDescent="0.25">
      <c r="A16" s="38"/>
      <c r="B16" s="38"/>
      <c r="C16" s="38"/>
      <c r="E16" s="33"/>
    </row>
    <row r="17" spans="1:4" x14ac:dyDescent="0.25">
      <c r="A17" s="38"/>
      <c r="B17" s="38"/>
      <c r="C17" s="38"/>
    </row>
    <row r="18" spans="1:4" x14ac:dyDescent="0.25">
      <c r="A18" s="38"/>
      <c r="B18" s="38"/>
      <c r="C18" s="38"/>
      <c r="D18" s="33"/>
    </row>
    <row r="19" spans="1:4" x14ac:dyDescent="0.25">
      <c r="A19" s="38"/>
      <c r="B19" s="38"/>
      <c r="C19" s="38"/>
      <c r="D19" s="33"/>
    </row>
    <row r="20" spans="1:4" x14ac:dyDescent="0.25">
      <c r="A20" s="38"/>
      <c r="B20" s="38"/>
      <c r="C20" s="38"/>
      <c r="D20" s="33"/>
    </row>
    <row r="21" spans="1:4" x14ac:dyDescent="0.25">
      <c r="A21" s="38"/>
      <c r="B21" s="38"/>
      <c r="C21" s="38"/>
      <c r="D21" s="33"/>
    </row>
    <row r="22" spans="1:4" x14ac:dyDescent="0.25">
      <c r="A22" s="38"/>
      <c r="B22" s="38"/>
      <c r="C22" s="38"/>
      <c r="D22" s="33"/>
    </row>
    <row r="23" spans="1:4" x14ac:dyDescent="0.25">
      <c r="A23" s="38"/>
      <c r="B23" s="38"/>
      <c r="C23" s="38"/>
      <c r="D23" s="33"/>
    </row>
    <row r="24" spans="1:4" x14ac:dyDescent="0.25">
      <c r="A24" s="38"/>
      <c r="B24" s="38"/>
      <c r="C24" s="38"/>
      <c r="D24" s="33"/>
    </row>
    <row r="25" spans="1:4" x14ac:dyDescent="0.25">
      <c r="A25" s="38"/>
      <c r="B25" s="38"/>
      <c r="C25" s="38"/>
      <c r="D25" s="33"/>
    </row>
    <row r="26" spans="1:4" x14ac:dyDescent="0.25">
      <c r="A26" s="38"/>
      <c r="B26" s="38"/>
      <c r="C26" s="38"/>
      <c r="D26" s="33"/>
    </row>
    <row r="27" spans="1:4" x14ac:dyDescent="0.25">
      <c r="A27" s="38"/>
      <c r="B27" s="38"/>
      <c r="C27" s="38"/>
      <c r="D27" s="33"/>
    </row>
    <row r="28" spans="1:4" x14ac:dyDescent="0.25">
      <c r="A28" s="38"/>
      <c r="B28" s="38"/>
      <c r="C28" s="38"/>
      <c r="D28" s="33"/>
    </row>
    <row r="29" spans="1:4" x14ac:dyDescent="0.25">
      <c r="A29" s="38"/>
      <c r="B29" s="38"/>
      <c r="C29" s="38"/>
      <c r="D29" s="33"/>
    </row>
    <row r="30" spans="1:4" x14ac:dyDescent="0.25">
      <c r="A30" s="38"/>
      <c r="B30" s="38"/>
      <c r="C30" s="38"/>
      <c r="D30" s="33"/>
    </row>
    <row r="31" spans="1:4" x14ac:dyDescent="0.25">
      <c r="A31" s="38"/>
      <c r="B31" s="38"/>
      <c r="C31" s="38"/>
      <c r="D31" s="33"/>
    </row>
    <row r="32" spans="1:4" x14ac:dyDescent="0.25">
      <c r="A32" s="38"/>
      <c r="B32" s="38"/>
      <c r="C32" s="38"/>
      <c r="D32" s="33"/>
    </row>
    <row r="33" spans="1:4" x14ac:dyDescent="0.25">
      <c r="A33" s="38"/>
      <c r="B33" s="38"/>
      <c r="C33" s="38"/>
      <c r="D33" s="33"/>
    </row>
    <row r="34" spans="1:4" x14ac:dyDescent="0.25">
      <c r="A34" s="38"/>
      <c r="B34" s="38"/>
      <c r="C34" s="38"/>
      <c r="D34" s="33"/>
    </row>
    <row r="35" spans="1:4" x14ac:dyDescent="0.25">
      <c r="A35" s="38"/>
      <c r="B35" s="38"/>
      <c r="C35" s="38"/>
      <c r="D35" s="33"/>
    </row>
    <row r="36" spans="1:4" x14ac:dyDescent="0.25">
      <c r="A36" s="38"/>
      <c r="B36" s="38"/>
      <c r="C36" s="38"/>
      <c r="D36" s="33"/>
    </row>
    <row r="37" spans="1:4" x14ac:dyDescent="0.25">
      <c r="A37" s="38"/>
      <c r="B37" s="38"/>
      <c r="C37" s="38"/>
      <c r="D37" s="33"/>
    </row>
    <row r="38" spans="1:4" x14ac:dyDescent="0.25">
      <c r="A38" s="38"/>
      <c r="B38" s="38"/>
      <c r="C38" s="38"/>
      <c r="D38" s="33"/>
    </row>
    <row r="39" spans="1:4" x14ac:dyDescent="0.25">
      <c r="A39" s="38"/>
      <c r="B39" s="38"/>
      <c r="C39" s="38"/>
      <c r="D39" s="33"/>
    </row>
    <row r="40" spans="1:4" x14ac:dyDescent="0.25">
      <c r="A40" s="38"/>
      <c r="B40" s="38"/>
      <c r="C40" s="38"/>
      <c r="D40" s="33"/>
    </row>
    <row r="41" spans="1:4" x14ac:dyDescent="0.25">
      <c r="A41" s="38"/>
      <c r="B41" s="38"/>
      <c r="C41" s="38"/>
      <c r="D41" s="33"/>
    </row>
    <row r="42" spans="1:4" x14ac:dyDescent="0.25">
      <c r="A42" s="38"/>
      <c r="B42" s="38"/>
      <c r="C42" s="38"/>
      <c r="D42" s="33"/>
    </row>
    <row r="43" spans="1:4" x14ac:dyDescent="0.25">
      <c r="A43" s="38"/>
      <c r="B43" s="38"/>
      <c r="C43" s="38"/>
      <c r="D43" s="33"/>
    </row>
    <row r="44" spans="1:4" x14ac:dyDescent="0.25">
      <c r="A44" s="38"/>
      <c r="B44" s="38"/>
      <c r="C44" s="38"/>
      <c r="D44" s="33"/>
    </row>
    <row r="45" spans="1:4" x14ac:dyDescent="0.25">
      <c r="A45" s="38"/>
      <c r="B45" s="38"/>
      <c r="C45" s="38"/>
      <c r="D45" s="33"/>
    </row>
    <row r="46" spans="1:4" x14ac:dyDescent="0.25">
      <c r="A46" s="38"/>
      <c r="B46" s="38"/>
      <c r="C46" s="38"/>
      <c r="D46" s="33"/>
    </row>
    <row r="47" spans="1:4" x14ac:dyDescent="0.25">
      <c r="A47" s="38"/>
      <c r="B47" s="38"/>
      <c r="C47" s="38"/>
      <c r="D47" s="33"/>
    </row>
    <row r="48" spans="1:4" x14ac:dyDescent="0.25">
      <c r="A48" s="38"/>
      <c r="B48" s="38"/>
      <c r="C48" s="38"/>
      <c r="D48" s="33"/>
    </row>
    <row r="49" spans="1:4" x14ac:dyDescent="0.25">
      <c r="A49" s="38"/>
      <c r="B49" s="38"/>
      <c r="C49" s="38"/>
      <c r="D49" s="33"/>
    </row>
    <row r="50" spans="1:4" x14ac:dyDescent="0.25">
      <c r="A50" s="38"/>
      <c r="B50" s="38"/>
      <c r="C50" s="38"/>
      <c r="D50" s="33"/>
    </row>
    <row r="51" spans="1:4" x14ac:dyDescent="0.25">
      <c r="A51" s="38"/>
      <c r="B51" s="38"/>
      <c r="C51" s="38"/>
      <c r="D51" s="33"/>
    </row>
    <row r="52" spans="1:4" x14ac:dyDescent="0.25">
      <c r="A52" s="38"/>
      <c r="B52" s="38"/>
      <c r="C52" s="38"/>
      <c r="D52" s="33"/>
    </row>
    <row r="53" spans="1:4" x14ac:dyDescent="0.25">
      <c r="A53" s="38"/>
      <c r="B53" s="38"/>
      <c r="C53" s="38"/>
      <c r="D53" s="33"/>
    </row>
    <row r="54" spans="1:4" x14ac:dyDescent="0.25">
      <c r="A54" s="38"/>
      <c r="B54" s="38"/>
      <c r="C54" s="38"/>
      <c r="D54" s="33"/>
    </row>
    <row r="55" spans="1:4" x14ac:dyDescent="0.25">
      <c r="A55" s="38"/>
      <c r="B55" s="38"/>
      <c r="C55" s="38"/>
      <c r="D55" s="33"/>
    </row>
    <row r="56" spans="1:4" x14ac:dyDescent="0.25">
      <c r="A56" s="38"/>
      <c r="B56" s="38"/>
      <c r="C56" s="38"/>
      <c r="D56" s="33"/>
    </row>
    <row r="57" spans="1:4" x14ac:dyDescent="0.25">
      <c r="A57" s="38"/>
      <c r="B57" s="38"/>
      <c r="C57" s="38"/>
      <c r="D57" s="33"/>
    </row>
    <row r="58" spans="1:4" x14ac:dyDescent="0.25">
      <c r="A58" s="38"/>
      <c r="B58" s="38"/>
      <c r="C58" s="38"/>
      <c r="D58" s="33"/>
    </row>
    <row r="59" spans="1:4" x14ac:dyDescent="0.25">
      <c r="A59" s="38"/>
      <c r="B59" s="38"/>
      <c r="C59" s="38"/>
      <c r="D59" s="33"/>
    </row>
    <row r="60" spans="1:4" x14ac:dyDescent="0.25">
      <c r="A60" s="38"/>
      <c r="B60" s="38"/>
      <c r="C60" s="38"/>
      <c r="D60" s="33"/>
    </row>
    <row r="61" spans="1:4" x14ac:dyDescent="0.25">
      <c r="A61" s="38"/>
      <c r="B61" s="38"/>
      <c r="C61" s="38"/>
      <c r="D61" s="33"/>
    </row>
    <row r="62" spans="1:4" x14ac:dyDescent="0.25">
      <c r="A62" s="38"/>
      <c r="B62" s="38"/>
      <c r="C62" s="38"/>
      <c r="D62" s="33"/>
    </row>
    <row r="63" spans="1:4" x14ac:dyDescent="0.25">
      <c r="A63" s="38"/>
      <c r="B63" s="38"/>
      <c r="C63" s="38"/>
      <c r="D63" s="33"/>
    </row>
    <row r="64" spans="1:4" x14ac:dyDescent="0.25">
      <c r="A64" s="38"/>
      <c r="B64" s="38"/>
      <c r="C64" s="38"/>
      <c r="D64" s="33"/>
    </row>
    <row r="65" spans="1:4" x14ac:dyDescent="0.25">
      <c r="A65" s="38"/>
      <c r="B65" s="38"/>
      <c r="C65" s="38"/>
      <c r="D65" s="33"/>
    </row>
    <row r="66" spans="1:4" x14ac:dyDescent="0.25">
      <c r="A66" s="38"/>
      <c r="B66" s="38"/>
      <c r="C66" s="38"/>
      <c r="D66" s="33"/>
    </row>
    <row r="67" spans="1:4" x14ac:dyDescent="0.25">
      <c r="A67" s="38"/>
      <c r="B67" s="38"/>
      <c r="C67" s="38"/>
      <c r="D67" s="33"/>
    </row>
    <row r="68" spans="1:4" x14ac:dyDescent="0.25">
      <c r="A68" s="38"/>
      <c r="B68" s="38"/>
      <c r="C68" s="38"/>
      <c r="D68" s="33"/>
    </row>
    <row r="69" spans="1:4" x14ac:dyDescent="0.25">
      <c r="A69" s="38"/>
      <c r="B69" s="38"/>
      <c r="C69" s="38"/>
      <c r="D69" s="33"/>
    </row>
    <row r="70" spans="1:4" x14ac:dyDescent="0.25">
      <c r="A70" s="38"/>
      <c r="B70" s="38"/>
      <c r="C70" s="38"/>
      <c r="D70" s="33"/>
    </row>
    <row r="71" spans="1:4" x14ac:dyDescent="0.25">
      <c r="A71" s="38"/>
      <c r="B71" s="38"/>
      <c r="C71" s="38"/>
      <c r="D71" s="33"/>
    </row>
    <row r="72" spans="1:4" x14ac:dyDescent="0.25">
      <c r="A72" s="38"/>
      <c r="B72" s="38"/>
      <c r="C72" s="38"/>
      <c r="D72" s="33"/>
    </row>
    <row r="73" spans="1:4" x14ac:dyDescent="0.25">
      <c r="A73" s="38"/>
      <c r="B73" s="38"/>
      <c r="C73" s="38"/>
      <c r="D73" s="33"/>
    </row>
    <row r="74" spans="1:4" x14ac:dyDescent="0.25">
      <c r="A74" s="38"/>
      <c r="B74" s="38"/>
      <c r="C74" s="38"/>
      <c r="D74" s="33"/>
    </row>
    <row r="75" spans="1:4" x14ac:dyDescent="0.25">
      <c r="A75" s="38"/>
      <c r="B75" s="38"/>
      <c r="C75" s="38"/>
      <c r="D75" s="33"/>
    </row>
    <row r="76" spans="1:4" x14ac:dyDescent="0.25">
      <c r="A76" s="38"/>
      <c r="B76" s="38"/>
      <c r="C76" s="38"/>
      <c r="D76" s="33"/>
    </row>
    <row r="77" spans="1:4" x14ac:dyDescent="0.25">
      <c r="A77" s="38"/>
      <c r="B77" s="38"/>
      <c r="C77" s="38"/>
      <c r="D77" s="33"/>
    </row>
    <row r="78" spans="1:4" x14ac:dyDescent="0.25">
      <c r="A78" s="38"/>
      <c r="B78" s="38"/>
      <c r="C78" s="38"/>
      <c r="D78" s="33"/>
    </row>
    <row r="79" spans="1:4" x14ac:dyDescent="0.25">
      <c r="A79" s="38"/>
      <c r="B79" s="38"/>
      <c r="C79" s="38"/>
      <c r="D79" s="33"/>
    </row>
    <row r="80" spans="1:4" x14ac:dyDescent="0.25">
      <c r="A80" s="38"/>
      <c r="B80" s="38"/>
      <c r="C80" s="38"/>
      <c r="D80" s="33"/>
    </row>
    <row r="81" spans="1:4" x14ac:dyDescent="0.25">
      <c r="A81" s="38"/>
      <c r="B81" s="38"/>
      <c r="C81" s="38"/>
      <c r="D81" s="33"/>
    </row>
    <row r="82" spans="1:4" x14ac:dyDescent="0.25">
      <c r="A82" s="38"/>
      <c r="B82" s="38"/>
      <c r="C82" s="38"/>
      <c r="D82" s="33"/>
    </row>
    <row r="83" spans="1:4" x14ac:dyDescent="0.25">
      <c r="A83" s="38"/>
      <c r="B83" s="38"/>
      <c r="C83" s="38"/>
      <c r="D83" s="33"/>
    </row>
    <row r="84" spans="1:4" x14ac:dyDescent="0.25">
      <c r="A84" s="38"/>
      <c r="B84" s="38"/>
      <c r="C84" s="38"/>
      <c r="D84" s="33"/>
    </row>
    <row r="85" spans="1:4" x14ac:dyDescent="0.25">
      <c r="A85" s="38"/>
      <c r="B85" s="38"/>
      <c r="C85" s="38"/>
      <c r="D85" s="33"/>
    </row>
    <row r="86" spans="1:4" x14ac:dyDescent="0.25">
      <c r="A86" s="38"/>
      <c r="B86" s="38"/>
      <c r="C86" s="38"/>
      <c r="D86" s="33"/>
    </row>
    <row r="87" spans="1:4" x14ac:dyDescent="0.25">
      <c r="A87" s="38"/>
      <c r="B87" s="38"/>
      <c r="C87" s="38"/>
      <c r="D87" s="33"/>
    </row>
    <row r="88" spans="1:4" x14ac:dyDescent="0.25">
      <c r="A88" s="38"/>
      <c r="B88" s="38"/>
      <c r="C88" s="38"/>
      <c r="D88" s="33"/>
    </row>
    <row r="89" spans="1:4" x14ac:dyDescent="0.25">
      <c r="A89" s="38"/>
      <c r="B89" s="38"/>
      <c r="C89" s="38"/>
      <c r="D89" s="33"/>
    </row>
    <row r="90" spans="1:4" x14ac:dyDescent="0.25">
      <c r="A90" s="38"/>
      <c r="B90" s="38"/>
      <c r="C90" s="38"/>
      <c r="D90" s="33"/>
    </row>
    <row r="91" spans="1:4" x14ac:dyDescent="0.25">
      <c r="A91" s="38"/>
      <c r="B91" s="38"/>
      <c r="C91" s="38"/>
      <c r="D91" s="33"/>
    </row>
    <row r="92" spans="1:4" x14ac:dyDescent="0.25">
      <c r="A92" s="38"/>
      <c r="B92" s="38"/>
      <c r="C92" s="38"/>
      <c r="D92" s="33"/>
    </row>
    <row r="93" spans="1:4" x14ac:dyDescent="0.25">
      <c r="A93" s="38"/>
      <c r="B93" s="38"/>
      <c r="C93" s="38"/>
      <c r="D93" s="33"/>
    </row>
    <row r="94" spans="1:4" x14ac:dyDescent="0.25">
      <c r="A94" s="38"/>
      <c r="B94" s="38"/>
      <c r="C94" s="38"/>
      <c r="D94" s="33"/>
    </row>
    <row r="95" spans="1:4" x14ac:dyDescent="0.25">
      <c r="A95" s="38"/>
      <c r="B95" s="38"/>
      <c r="C95" s="38"/>
      <c r="D95" s="33"/>
    </row>
    <row r="96" spans="1:4" x14ac:dyDescent="0.25">
      <c r="A96" s="38"/>
      <c r="B96" s="38"/>
      <c r="C96" s="38"/>
      <c r="D96" s="33"/>
    </row>
    <row r="97" spans="1:4" x14ac:dyDescent="0.25">
      <c r="A97" s="38"/>
      <c r="B97" s="38"/>
      <c r="C97" s="38"/>
      <c r="D97" s="33"/>
    </row>
    <row r="98" spans="1:4" x14ac:dyDescent="0.25">
      <c r="A98" s="38"/>
      <c r="B98" s="38"/>
      <c r="C98" s="38"/>
      <c r="D98" s="33"/>
    </row>
    <row r="99" spans="1:4" x14ac:dyDescent="0.25">
      <c r="A99" s="38"/>
      <c r="B99" s="38"/>
      <c r="C99" s="38"/>
      <c r="D99" s="33"/>
    </row>
    <row r="100" spans="1:4" x14ac:dyDescent="0.25">
      <c r="A100" s="38"/>
      <c r="B100" s="38"/>
      <c r="C100" s="38"/>
      <c r="D100" s="33"/>
    </row>
    <row r="101" spans="1:4" x14ac:dyDescent="0.25">
      <c r="A101" s="38"/>
      <c r="B101" s="38"/>
      <c r="C101" s="38"/>
      <c r="D101" s="33"/>
    </row>
    <row r="102" spans="1:4" x14ac:dyDescent="0.25">
      <c r="A102" s="38"/>
      <c r="B102" s="38"/>
      <c r="C102" s="38"/>
      <c r="D102" s="33"/>
    </row>
    <row r="103" spans="1:4" x14ac:dyDescent="0.25">
      <c r="A103" s="38"/>
      <c r="B103" s="38"/>
      <c r="C103" s="38"/>
      <c r="D103" s="33"/>
    </row>
    <row r="104" spans="1:4" x14ac:dyDescent="0.25">
      <c r="A104" s="38"/>
      <c r="B104" s="38"/>
      <c r="C104" s="38"/>
      <c r="D104" s="33"/>
    </row>
    <row r="105" spans="1:4" x14ac:dyDescent="0.25">
      <c r="A105" s="38"/>
      <c r="B105" s="38"/>
      <c r="C105" s="38"/>
      <c r="D105" s="33"/>
    </row>
    <row r="106" spans="1:4" x14ac:dyDescent="0.25">
      <c r="A106" s="38"/>
      <c r="B106" s="38"/>
      <c r="C106" s="38"/>
      <c r="D106" s="33"/>
    </row>
    <row r="107" spans="1:4" x14ac:dyDescent="0.25">
      <c r="A107" s="38"/>
      <c r="B107" s="38"/>
      <c r="C107" s="38"/>
      <c r="D107" s="33"/>
    </row>
    <row r="108" spans="1:4" x14ac:dyDescent="0.25">
      <c r="A108" s="38"/>
      <c r="B108" s="38"/>
      <c r="C108" s="38"/>
      <c r="D108" s="33"/>
    </row>
    <row r="109" spans="1:4" x14ac:dyDescent="0.25">
      <c r="A109" s="38"/>
      <c r="B109" s="38"/>
      <c r="C109" s="38"/>
      <c r="D109" s="33"/>
    </row>
    <row r="110" spans="1:4" x14ac:dyDescent="0.25">
      <c r="A110" s="38"/>
      <c r="B110" s="38"/>
      <c r="C110" s="38"/>
      <c r="D110" s="33"/>
    </row>
    <row r="111" spans="1:4" x14ac:dyDescent="0.25">
      <c r="A111" s="38"/>
      <c r="B111" s="38"/>
      <c r="C111" s="38"/>
      <c r="D111" s="33"/>
    </row>
    <row r="112" spans="1:4" x14ac:dyDescent="0.25">
      <c r="A112" s="38"/>
      <c r="B112" s="38"/>
      <c r="C112" s="38"/>
      <c r="D112" s="33"/>
    </row>
    <row r="113" spans="1:5" x14ac:dyDescent="0.25">
      <c r="A113" s="38"/>
      <c r="B113" s="38"/>
      <c r="C113" s="38"/>
      <c r="D113" s="33"/>
    </row>
    <row r="114" spans="1:5" x14ac:dyDescent="0.25">
      <c r="A114" s="38"/>
      <c r="B114" s="38"/>
      <c r="C114" s="38"/>
      <c r="D114" s="33"/>
    </row>
    <row r="115" spans="1:5" x14ac:dyDescent="0.25">
      <c r="A115" s="38"/>
      <c r="B115" s="38"/>
      <c r="C115" s="38"/>
      <c r="D115" s="33"/>
    </row>
    <row r="116" spans="1:5" x14ac:dyDescent="0.25">
      <c r="A116" s="38"/>
      <c r="B116" s="38"/>
      <c r="C116" s="38"/>
      <c r="D116" s="33"/>
    </row>
    <row r="117" spans="1:5" x14ac:dyDescent="0.25">
      <c r="A117" s="38"/>
      <c r="B117" s="38"/>
      <c r="C117" s="38"/>
      <c r="D117" s="33"/>
    </row>
    <row r="118" spans="1:5" x14ac:dyDescent="0.25">
      <c r="A118" s="38"/>
      <c r="B118" s="38"/>
      <c r="C118" s="38"/>
      <c r="D118" s="33"/>
    </row>
    <row r="119" spans="1:5" x14ac:dyDescent="0.25">
      <c r="C119" s="7"/>
    </row>
    <row r="120" spans="1:5" x14ac:dyDescent="0.25">
      <c r="A120" s="33" t="s">
        <v>60</v>
      </c>
      <c r="B120" s="39"/>
      <c r="C120" s="33"/>
      <c r="D120" s="33" t="s">
        <v>61</v>
      </c>
    </row>
    <row r="121" spans="1:5" x14ac:dyDescent="0.25">
      <c r="A121" s="33" t="s">
        <v>62</v>
      </c>
      <c r="B121" s="33"/>
      <c r="C121" s="33"/>
      <c r="D121" s="33" t="s">
        <v>63</v>
      </c>
    </row>
    <row r="123" spans="1:5" x14ac:dyDescent="0.25">
      <c r="A123" s="1" t="s">
        <v>64</v>
      </c>
      <c r="B123" s="1" t="s">
        <v>65</v>
      </c>
      <c r="C123" s="1" t="s">
        <v>66</v>
      </c>
      <c r="D123" s="1" t="s">
        <v>67</v>
      </c>
      <c r="E123" s="1" t="s">
        <v>68</v>
      </c>
    </row>
    <row r="124" spans="1:5" x14ac:dyDescent="0.25">
      <c r="A124" s="1">
        <v>1</v>
      </c>
    </row>
    <row r="125" spans="1:5" x14ac:dyDescent="0.25">
      <c r="A125" s="1">
        <v>2</v>
      </c>
    </row>
    <row r="126" spans="1:5" x14ac:dyDescent="0.25">
      <c r="A126" s="1">
        <v>3</v>
      </c>
    </row>
    <row r="127" spans="1:5" x14ac:dyDescent="0.25">
      <c r="B127" s="7" t="s">
        <v>7</v>
      </c>
    </row>
  </sheetData>
  <mergeCells count="5">
    <mergeCell ref="A5:F5"/>
    <mergeCell ref="A6:F6"/>
    <mergeCell ref="A7:B7"/>
    <mergeCell ref="C7:D7"/>
    <mergeCell ref="E7:F7"/>
  </mergeCells>
  <conditionalFormatting sqref="B11">
    <cfRule type="duplicateValues" dxfId="4" priority="1"/>
  </conditionalFormatting>
  <printOptions horizontalCentered="1" verticalCentered="1"/>
  <pageMargins left="0" right="0" top="0" bottom="0" header="0" footer="0"/>
  <pageSetup paperSize="9" scale="9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I127"/>
  <sheetViews>
    <sheetView workbookViewId="0">
      <selection sqref="A1:XFD1048576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9" ht="15.75" thickBot="1" x14ac:dyDescent="0.3">
      <c r="B1" s="19"/>
      <c r="C1" s="19"/>
      <c r="D1" s="19"/>
      <c r="E1" s="19"/>
      <c r="F1" s="19"/>
    </row>
    <row r="2" spans="1:9" ht="15.75" x14ac:dyDescent="0.25">
      <c r="A2" s="20"/>
      <c r="B2" s="21"/>
      <c r="C2" s="22"/>
      <c r="D2" s="23"/>
      <c r="E2" s="22"/>
      <c r="F2" s="24"/>
      <c r="G2" s="25"/>
    </row>
    <row r="3" spans="1:9" ht="16.5" thickBot="1" x14ac:dyDescent="0.3">
      <c r="A3" s="20"/>
      <c r="B3" s="26"/>
      <c r="C3" s="27"/>
      <c r="D3" s="28"/>
      <c r="E3" s="28"/>
      <c r="F3" s="28"/>
    </row>
    <row r="4" spans="1:9" x14ac:dyDescent="0.25">
      <c r="B4" s="29"/>
      <c r="C4" s="29"/>
      <c r="D4" s="29"/>
      <c r="E4" s="29"/>
      <c r="F4" s="44"/>
    </row>
    <row r="5" spans="1:9" ht="15.75" x14ac:dyDescent="0.25">
      <c r="A5" s="61" t="s">
        <v>42</v>
      </c>
      <c r="B5" s="61"/>
      <c r="C5" s="61"/>
      <c r="D5" s="61"/>
      <c r="E5" s="61"/>
      <c r="F5" s="62"/>
    </row>
    <row r="6" spans="1:9" ht="15.75" x14ac:dyDescent="0.25">
      <c r="A6" s="61" t="s">
        <v>183</v>
      </c>
      <c r="B6" s="61"/>
      <c r="C6" s="61"/>
      <c r="D6" s="61"/>
      <c r="E6" s="61"/>
      <c r="F6" s="61"/>
    </row>
    <row r="7" spans="1:9" ht="23.25" x14ac:dyDescent="0.25">
      <c r="A7" s="63" t="s">
        <v>43</v>
      </c>
      <c r="B7" s="63"/>
      <c r="C7" s="64" t="s">
        <v>44</v>
      </c>
      <c r="D7" s="64"/>
      <c r="E7" s="65" t="s">
        <v>45</v>
      </c>
      <c r="F7" s="65"/>
    </row>
    <row r="8" spans="1:9" x14ac:dyDescent="0.25">
      <c r="A8" s="1" t="s">
        <v>46</v>
      </c>
      <c r="B8" s="2"/>
      <c r="C8" s="30"/>
      <c r="E8" s="1" t="s">
        <v>47</v>
      </c>
      <c r="F8" s="31"/>
      <c r="G8" s="32" t="s">
        <v>89</v>
      </c>
      <c r="H8" s="34"/>
    </row>
    <row r="9" spans="1:9" x14ac:dyDescent="0.25">
      <c r="A9" s="1" t="s">
        <v>48</v>
      </c>
      <c r="B9" s="33"/>
      <c r="C9" s="30"/>
      <c r="E9" s="1" t="s">
        <v>49</v>
      </c>
      <c r="G9" s="1" t="s">
        <v>90</v>
      </c>
      <c r="H9" s="34"/>
    </row>
    <row r="10" spans="1:9" x14ac:dyDescent="0.25">
      <c r="A10" s="1" t="s">
        <v>50</v>
      </c>
      <c r="B10" s="2"/>
      <c r="E10" s="1" t="s">
        <v>51</v>
      </c>
      <c r="G10" s="1" t="s">
        <v>91</v>
      </c>
    </row>
    <row r="11" spans="1:9" x14ac:dyDescent="0.25">
      <c r="A11" s="1" t="s">
        <v>52</v>
      </c>
      <c r="B11" s="33"/>
      <c r="I11" s="34"/>
    </row>
    <row r="12" spans="1:9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</row>
    <row r="13" spans="1:9" x14ac:dyDescent="0.25">
      <c r="A13" s="38"/>
      <c r="B13" s="38"/>
      <c r="C13" s="38"/>
      <c r="E13" s="33"/>
      <c r="F13" s="33"/>
      <c r="H13" s="34"/>
    </row>
    <row r="14" spans="1:9" x14ac:dyDescent="0.25">
      <c r="A14" s="38"/>
      <c r="B14" s="38"/>
      <c r="C14" s="38"/>
      <c r="E14" s="33"/>
      <c r="G14" s="34"/>
      <c r="H14" s="34"/>
    </row>
    <row r="15" spans="1:9" x14ac:dyDescent="0.25">
      <c r="A15" s="38"/>
      <c r="B15" s="38"/>
      <c r="C15" s="38"/>
      <c r="E15" s="33"/>
      <c r="H15" s="34"/>
    </row>
    <row r="16" spans="1:9" x14ac:dyDescent="0.25">
      <c r="A16" s="38"/>
      <c r="B16" s="38"/>
      <c r="C16" s="38"/>
      <c r="E16" s="33"/>
    </row>
    <row r="17" spans="1:4" x14ac:dyDescent="0.25">
      <c r="A17" s="38"/>
      <c r="B17" s="38"/>
      <c r="C17" s="38"/>
    </row>
    <row r="18" spans="1:4" x14ac:dyDescent="0.25">
      <c r="A18" s="38"/>
      <c r="B18" s="38"/>
      <c r="C18" s="38"/>
      <c r="D18" s="33"/>
    </row>
    <row r="19" spans="1:4" x14ac:dyDescent="0.25">
      <c r="A19" s="38"/>
      <c r="B19" s="38"/>
      <c r="C19" s="38"/>
      <c r="D19" s="33"/>
    </row>
    <row r="20" spans="1:4" x14ac:dyDescent="0.25">
      <c r="A20" s="38"/>
      <c r="B20" s="38"/>
      <c r="C20" s="38"/>
      <c r="D20" s="33"/>
    </row>
    <row r="21" spans="1:4" x14ac:dyDescent="0.25">
      <c r="A21" s="38"/>
      <c r="B21" s="38"/>
      <c r="C21" s="38"/>
      <c r="D21" s="33"/>
    </row>
    <row r="22" spans="1:4" x14ac:dyDescent="0.25">
      <c r="A22" s="38"/>
      <c r="B22" s="38"/>
      <c r="C22" s="38"/>
      <c r="D22" s="33"/>
    </row>
    <row r="23" spans="1:4" x14ac:dyDescent="0.25">
      <c r="A23" s="38"/>
      <c r="B23" s="38"/>
      <c r="C23" s="38"/>
      <c r="D23" s="33"/>
    </row>
    <row r="24" spans="1:4" x14ac:dyDescent="0.25">
      <c r="A24" s="38"/>
      <c r="B24" s="38"/>
      <c r="C24" s="38"/>
      <c r="D24" s="33"/>
    </row>
    <row r="25" spans="1:4" x14ac:dyDescent="0.25">
      <c r="A25" s="38"/>
      <c r="B25" s="38"/>
      <c r="C25" s="38"/>
      <c r="D25" s="33"/>
    </row>
    <row r="26" spans="1:4" x14ac:dyDescent="0.25">
      <c r="A26" s="38"/>
      <c r="B26" s="38"/>
      <c r="C26" s="38"/>
      <c r="D26" s="33"/>
    </row>
    <row r="27" spans="1:4" x14ac:dyDescent="0.25">
      <c r="A27" s="38"/>
      <c r="B27" s="38"/>
      <c r="C27" s="38"/>
      <c r="D27" s="33"/>
    </row>
    <row r="28" spans="1:4" x14ac:dyDescent="0.25">
      <c r="A28" s="38"/>
      <c r="B28" s="38"/>
      <c r="C28" s="38"/>
      <c r="D28" s="33"/>
    </row>
    <row r="29" spans="1:4" x14ac:dyDescent="0.25">
      <c r="A29" s="38"/>
      <c r="B29" s="38"/>
      <c r="C29" s="38"/>
      <c r="D29" s="33"/>
    </row>
    <row r="30" spans="1:4" x14ac:dyDescent="0.25">
      <c r="A30" s="38"/>
      <c r="B30" s="38"/>
      <c r="C30" s="38"/>
      <c r="D30" s="33"/>
    </row>
    <row r="31" spans="1:4" x14ac:dyDescent="0.25">
      <c r="A31" s="38"/>
      <c r="B31" s="38"/>
      <c r="C31" s="38"/>
      <c r="D31" s="33"/>
    </row>
    <row r="32" spans="1:4" x14ac:dyDescent="0.25">
      <c r="A32" s="38"/>
      <c r="B32" s="38"/>
      <c r="C32" s="38"/>
      <c r="D32" s="33"/>
    </row>
    <row r="33" spans="1:4" x14ac:dyDescent="0.25">
      <c r="A33" s="38"/>
      <c r="B33" s="38"/>
      <c r="C33" s="38"/>
      <c r="D33" s="33"/>
    </row>
    <row r="34" spans="1:4" x14ac:dyDescent="0.25">
      <c r="A34" s="38"/>
      <c r="B34" s="38"/>
      <c r="C34" s="38"/>
      <c r="D34" s="33"/>
    </row>
    <row r="35" spans="1:4" x14ac:dyDescent="0.25">
      <c r="A35" s="38"/>
      <c r="B35" s="38"/>
      <c r="C35" s="38"/>
      <c r="D35" s="33"/>
    </row>
    <row r="36" spans="1:4" x14ac:dyDescent="0.25">
      <c r="A36" s="38"/>
      <c r="B36" s="38"/>
      <c r="C36" s="38"/>
      <c r="D36" s="33"/>
    </row>
    <row r="37" spans="1:4" x14ac:dyDescent="0.25">
      <c r="A37" s="38"/>
      <c r="B37" s="38"/>
      <c r="C37" s="38"/>
      <c r="D37" s="33"/>
    </row>
    <row r="38" spans="1:4" x14ac:dyDescent="0.25">
      <c r="A38" s="38"/>
      <c r="B38" s="38"/>
      <c r="C38" s="38"/>
      <c r="D38" s="33"/>
    </row>
    <row r="39" spans="1:4" x14ac:dyDescent="0.25">
      <c r="A39" s="38"/>
      <c r="B39" s="38"/>
      <c r="C39" s="38"/>
      <c r="D39" s="33"/>
    </row>
    <row r="40" spans="1:4" x14ac:dyDescent="0.25">
      <c r="A40" s="38"/>
      <c r="B40" s="38"/>
      <c r="C40" s="38"/>
      <c r="D40" s="33"/>
    </row>
    <row r="41" spans="1:4" x14ac:dyDescent="0.25">
      <c r="A41" s="38"/>
      <c r="B41" s="38"/>
      <c r="C41" s="38"/>
      <c r="D41" s="33"/>
    </row>
    <row r="42" spans="1:4" x14ac:dyDescent="0.25">
      <c r="A42" s="38"/>
      <c r="B42" s="38"/>
      <c r="C42" s="38"/>
      <c r="D42" s="33"/>
    </row>
    <row r="43" spans="1:4" x14ac:dyDescent="0.25">
      <c r="A43" s="38"/>
      <c r="B43" s="38"/>
      <c r="C43" s="38"/>
      <c r="D43" s="33"/>
    </row>
    <row r="44" spans="1:4" x14ac:dyDescent="0.25">
      <c r="A44" s="38"/>
      <c r="B44" s="38"/>
      <c r="C44" s="38"/>
      <c r="D44" s="33"/>
    </row>
    <row r="45" spans="1:4" x14ac:dyDescent="0.25">
      <c r="A45" s="38"/>
      <c r="B45" s="38"/>
      <c r="C45" s="38"/>
      <c r="D45" s="33"/>
    </row>
    <row r="46" spans="1:4" x14ac:dyDescent="0.25">
      <c r="A46" s="38"/>
      <c r="B46" s="38"/>
      <c r="C46" s="38"/>
      <c r="D46" s="33"/>
    </row>
    <row r="47" spans="1:4" x14ac:dyDescent="0.25">
      <c r="A47" s="38"/>
      <c r="B47" s="38"/>
      <c r="C47" s="38"/>
      <c r="D47" s="33"/>
    </row>
    <row r="48" spans="1:4" x14ac:dyDescent="0.25">
      <c r="A48" s="38"/>
      <c r="B48" s="38"/>
      <c r="C48" s="38"/>
      <c r="D48" s="33"/>
    </row>
    <row r="49" spans="1:4" x14ac:dyDescent="0.25">
      <c r="A49" s="38"/>
      <c r="B49" s="38"/>
      <c r="C49" s="38"/>
      <c r="D49" s="33"/>
    </row>
    <row r="50" spans="1:4" x14ac:dyDescent="0.25">
      <c r="A50" s="38"/>
      <c r="B50" s="38"/>
      <c r="C50" s="38"/>
      <c r="D50" s="33"/>
    </row>
    <row r="51" spans="1:4" x14ac:dyDescent="0.25">
      <c r="A51" s="38"/>
      <c r="B51" s="38"/>
      <c r="C51" s="38"/>
      <c r="D51" s="33"/>
    </row>
    <row r="52" spans="1:4" x14ac:dyDescent="0.25">
      <c r="A52" s="38"/>
      <c r="B52" s="38"/>
      <c r="C52" s="38"/>
      <c r="D52" s="33"/>
    </row>
    <row r="53" spans="1:4" x14ac:dyDescent="0.25">
      <c r="A53" s="38"/>
      <c r="B53" s="38"/>
      <c r="C53" s="38"/>
      <c r="D53" s="33"/>
    </row>
    <row r="54" spans="1:4" x14ac:dyDescent="0.25">
      <c r="A54" s="38"/>
      <c r="B54" s="38"/>
      <c r="C54" s="38"/>
      <c r="D54" s="33"/>
    </row>
    <row r="55" spans="1:4" x14ac:dyDescent="0.25">
      <c r="A55" s="38"/>
      <c r="B55" s="38"/>
      <c r="C55" s="38"/>
      <c r="D55" s="33"/>
    </row>
    <row r="56" spans="1:4" x14ac:dyDescent="0.25">
      <c r="A56" s="38"/>
      <c r="B56" s="38"/>
      <c r="C56" s="38"/>
      <c r="D56" s="33"/>
    </row>
    <row r="57" spans="1:4" x14ac:dyDescent="0.25">
      <c r="A57" s="38"/>
      <c r="B57" s="38"/>
      <c r="C57" s="38"/>
      <c r="D57" s="33"/>
    </row>
    <row r="58" spans="1:4" x14ac:dyDescent="0.25">
      <c r="A58" s="38"/>
      <c r="B58" s="38"/>
      <c r="C58" s="38"/>
      <c r="D58" s="33"/>
    </row>
    <row r="59" spans="1:4" x14ac:dyDescent="0.25">
      <c r="A59" s="38"/>
      <c r="B59" s="38"/>
      <c r="C59" s="38"/>
      <c r="D59" s="33"/>
    </row>
    <row r="60" spans="1:4" x14ac:dyDescent="0.25">
      <c r="A60" s="38"/>
      <c r="B60" s="38"/>
      <c r="C60" s="38"/>
      <c r="D60" s="33"/>
    </row>
    <row r="61" spans="1:4" x14ac:dyDescent="0.25">
      <c r="A61" s="38"/>
      <c r="B61" s="38"/>
      <c r="C61" s="38"/>
      <c r="D61" s="33"/>
    </row>
    <row r="62" spans="1:4" x14ac:dyDescent="0.25">
      <c r="A62" s="38"/>
      <c r="B62" s="38"/>
      <c r="C62" s="38"/>
      <c r="D62" s="33"/>
    </row>
    <row r="63" spans="1:4" x14ac:dyDescent="0.25">
      <c r="A63" s="38"/>
      <c r="B63" s="38"/>
      <c r="C63" s="38"/>
      <c r="D63" s="33"/>
    </row>
    <row r="64" spans="1:4" x14ac:dyDescent="0.25">
      <c r="A64" s="38"/>
      <c r="B64" s="38"/>
      <c r="C64" s="38"/>
      <c r="D64" s="33"/>
    </row>
    <row r="65" spans="1:4" x14ac:dyDescent="0.25">
      <c r="A65" s="38"/>
      <c r="B65" s="38"/>
      <c r="C65" s="38"/>
      <c r="D65" s="33"/>
    </row>
    <row r="66" spans="1:4" x14ac:dyDescent="0.25">
      <c r="A66" s="38"/>
      <c r="B66" s="38"/>
      <c r="C66" s="38"/>
      <c r="D66" s="33"/>
    </row>
    <row r="67" spans="1:4" x14ac:dyDescent="0.25">
      <c r="A67" s="38"/>
      <c r="B67" s="38"/>
      <c r="C67" s="38"/>
      <c r="D67" s="33"/>
    </row>
    <row r="68" spans="1:4" x14ac:dyDescent="0.25">
      <c r="A68" s="38"/>
      <c r="B68" s="38"/>
      <c r="C68" s="38"/>
      <c r="D68" s="33"/>
    </row>
    <row r="69" spans="1:4" x14ac:dyDescent="0.25">
      <c r="A69" s="38"/>
      <c r="B69" s="38"/>
      <c r="C69" s="38"/>
      <c r="D69" s="33"/>
    </row>
    <row r="70" spans="1:4" x14ac:dyDescent="0.25">
      <c r="A70" s="38"/>
      <c r="B70" s="38"/>
      <c r="C70" s="38"/>
      <c r="D70" s="33"/>
    </row>
    <row r="71" spans="1:4" x14ac:dyDescent="0.25">
      <c r="A71" s="38"/>
      <c r="B71" s="38"/>
      <c r="C71" s="38"/>
      <c r="D71" s="33"/>
    </row>
    <row r="72" spans="1:4" x14ac:dyDescent="0.25">
      <c r="A72" s="38"/>
      <c r="B72" s="38"/>
      <c r="C72" s="38"/>
      <c r="D72" s="33"/>
    </row>
    <row r="73" spans="1:4" x14ac:dyDescent="0.25">
      <c r="A73" s="38"/>
      <c r="B73" s="38"/>
      <c r="C73" s="38"/>
      <c r="D73" s="33"/>
    </row>
    <row r="74" spans="1:4" x14ac:dyDescent="0.25">
      <c r="A74" s="38"/>
      <c r="B74" s="38"/>
      <c r="C74" s="38"/>
      <c r="D74" s="33"/>
    </row>
    <row r="75" spans="1:4" x14ac:dyDescent="0.25">
      <c r="A75" s="38"/>
      <c r="B75" s="38"/>
      <c r="C75" s="38"/>
      <c r="D75" s="33"/>
    </row>
    <row r="76" spans="1:4" x14ac:dyDescent="0.25">
      <c r="A76" s="38"/>
      <c r="B76" s="38"/>
      <c r="C76" s="38"/>
      <c r="D76" s="33"/>
    </row>
    <row r="77" spans="1:4" x14ac:dyDescent="0.25">
      <c r="A77" s="38"/>
      <c r="B77" s="38"/>
      <c r="C77" s="38"/>
      <c r="D77" s="33"/>
    </row>
    <row r="78" spans="1:4" x14ac:dyDescent="0.25">
      <c r="A78" s="38"/>
      <c r="B78" s="38"/>
      <c r="C78" s="38"/>
      <c r="D78" s="33"/>
    </row>
    <row r="79" spans="1:4" x14ac:dyDescent="0.25">
      <c r="A79" s="38"/>
      <c r="B79" s="38"/>
      <c r="C79" s="38"/>
      <c r="D79" s="33"/>
    </row>
    <row r="80" spans="1:4" x14ac:dyDescent="0.25">
      <c r="A80" s="38"/>
      <c r="B80" s="38"/>
      <c r="C80" s="38"/>
      <c r="D80" s="33"/>
    </row>
    <row r="81" spans="1:4" x14ac:dyDescent="0.25">
      <c r="A81" s="38"/>
      <c r="B81" s="38"/>
      <c r="C81" s="38"/>
      <c r="D81" s="33"/>
    </row>
    <row r="82" spans="1:4" x14ac:dyDescent="0.25">
      <c r="A82" s="38"/>
      <c r="B82" s="38"/>
      <c r="C82" s="38"/>
      <c r="D82" s="33"/>
    </row>
    <row r="83" spans="1:4" x14ac:dyDescent="0.25">
      <c r="A83" s="38"/>
      <c r="B83" s="38"/>
      <c r="C83" s="38"/>
      <c r="D83" s="33"/>
    </row>
    <row r="84" spans="1:4" x14ac:dyDescent="0.25">
      <c r="A84" s="38"/>
      <c r="B84" s="38"/>
      <c r="C84" s="38"/>
      <c r="D84" s="33"/>
    </row>
    <row r="85" spans="1:4" x14ac:dyDescent="0.25">
      <c r="A85" s="38"/>
      <c r="B85" s="38"/>
      <c r="C85" s="38"/>
      <c r="D85" s="33"/>
    </row>
    <row r="86" spans="1:4" x14ac:dyDescent="0.25">
      <c r="A86" s="38"/>
      <c r="B86" s="38"/>
      <c r="C86" s="38"/>
      <c r="D86" s="33"/>
    </row>
    <row r="87" spans="1:4" x14ac:dyDescent="0.25">
      <c r="A87" s="38"/>
      <c r="B87" s="38"/>
      <c r="C87" s="38"/>
      <c r="D87" s="33"/>
    </row>
    <row r="88" spans="1:4" x14ac:dyDescent="0.25">
      <c r="A88" s="38"/>
      <c r="B88" s="38"/>
      <c r="C88" s="38"/>
      <c r="D88" s="33"/>
    </row>
    <row r="89" spans="1:4" x14ac:dyDescent="0.25">
      <c r="A89" s="38"/>
      <c r="B89" s="38"/>
      <c r="C89" s="38"/>
      <c r="D89" s="33"/>
    </row>
    <row r="90" spans="1:4" x14ac:dyDescent="0.25">
      <c r="A90" s="38"/>
      <c r="B90" s="38"/>
      <c r="C90" s="38"/>
      <c r="D90" s="33"/>
    </row>
    <row r="91" spans="1:4" x14ac:dyDescent="0.25">
      <c r="A91" s="38"/>
      <c r="B91" s="38"/>
      <c r="C91" s="38"/>
      <c r="D91" s="33"/>
    </row>
    <row r="92" spans="1:4" x14ac:dyDescent="0.25">
      <c r="A92" s="38"/>
      <c r="B92" s="38"/>
      <c r="C92" s="38"/>
      <c r="D92" s="33"/>
    </row>
    <row r="93" spans="1:4" x14ac:dyDescent="0.25">
      <c r="A93" s="38"/>
      <c r="B93" s="38"/>
      <c r="C93" s="38"/>
      <c r="D93" s="33"/>
    </row>
    <row r="94" spans="1:4" x14ac:dyDescent="0.25">
      <c r="A94" s="38"/>
      <c r="B94" s="38"/>
      <c r="C94" s="38"/>
      <c r="D94" s="33"/>
    </row>
    <row r="95" spans="1:4" x14ac:dyDescent="0.25">
      <c r="A95" s="38"/>
      <c r="B95" s="38"/>
      <c r="C95" s="38"/>
      <c r="D95" s="33"/>
    </row>
    <row r="96" spans="1:4" x14ac:dyDescent="0.25">
      <c r="A96" s="38"/>
      <c r="B96" s="38"/>
      <c r="C96" s="38"/>
      <c r="D96" s="33"/>
    </row>
    <row r="97" spans="1:4" x14ac:dyDescent="0.25">
      <c r="A97" s="38"/>
      <c r="B97" s="38"/>
      <c r="C97" s="38"/>
      <c r="D97" s="33"/>
    </row>
    <row r="98" spans="1:4" x14ac:dyDescent="0.25">
      <c r="A98" s="38"/>
      <c r="B98" s="38"/>
      <c r="C98" s="38"/>
      <c r="D98" s="33"/>
    </row>
    <row r="99" spans="1:4" x14ac:dyDescent="0.25">
      <c r="A99" s="38"/>
      <c r="B99" s="38"/>
      <c r="C99" s="38"/>
      <c r="D99" s="33"/>
    </row>
    <row r="100" spans="1:4" x14ac:dyDescent="0.25">
      <c r="A100" s="38"/>
      <c r="B100" s="38"/>
      <c r="C100" s="38"/>
      <c r="D100" s="33"/>
    </row>
    <row r="101" spans="1:4" x14ac:dyDescent="0.25">
      <c r="A101" s="38"/>
      <c r="B101" s="38"/>
      <c r="C101" s="38"/>
      <c r="D101" s="33"/>
    </row>
    <row r="102" spans="1:4" x14ac:dyDescent="0.25">
      <c r="A102" s="38"/>
      <c r="B102" s="38"/>
      <c r="C102" s="38"/>
      <c r="D102" s="33"/>
    </row>
    <row r="103" spans="1:4" x14ac:dyDescent="0.25">
      <c r="A103" s="38"/>
      <c r="B103" s="38"/>
      <c r="C103" s="38"/>
      <c r="D103" s="33"/>
    </row>
    <row r="104" spans="1:4" x14ac:dyDescent="0.25">
      <c r="A104" s="38"/>
      <c r="B104" s="38"/>
      <c r="C104" s="38"/>
      <c r="D104" s="33"/>
    </row>
    <row r="105" spans="1:4" x14ac:dyDescent="0.25">
      <c r="A105" s="38"/>
      <c r="B105" s="38"/>
      <c r="C105" s="38"/>
      <c r="D105" s="33"/>
    </row>
    <row r="106" spans="1:4" x14ac:dyDescent="0.25">
      <c r="A106" s="38"/>
      <c r="B106" s="38"/>
      <c r="C106" s="38"/>
      <c r="D106" s="33"/>
    </row>
    <row r="107" spans="1:4" x14ac:dyDescent="0.25">
      <c r="A107" s="38"/>
      <c r="B107" s="38"/>
      <c r="C107" s="38"/>
      <c r="D107" s="33"/>
    </row>
    <row r="108" spans="1:4" x14ac:dyDescent="0.25">
      <c r="A108" s="38"/>
      <c r="B108" s="38"/>
      <c r="C108" s="38"/>
      <c r="D108" s="33"/>
    </row>
    <row r="109" spans="1:4" x14ac:dyDescent="0.25">
      <c r="A109" s="38"/>
      <c r="B109" s="38"/>
      <c r="C109" s="38"/>
      <c r="D109" s="33"/>
    </row>
    <row r="110" spans="1:4" x14ac:dyDescent="0.25">
      <c r="A110" s="38"/>
      <c r="B110" s="38"/>
      <c r="C110" s="38"/>
      <c r="D110" s="33"/>
    </row>
    <row r="111" spans="1:4" x14ac:dyDescent="0.25">
      <c r="A111" s="38"/>
      <c r="B111" s="38"/>
      <c r="C111" s="38"/>
      <c r="D111" s="33"/>
    </row>
    <row r="112" spans="1:4" x14ac:dyDescent="0.25">
      <c r="A112" s="38"/>
      <c r="B112" s="38"/>
      <c r="C112" s="38"/>
      <c r="D112" s="33"/>
    </row>
    <row r="113" spans="1:5" x14ac:dyDescent="0.25">
      <c r="A113" s="38"/>
      <c r="B113" s="38"/>
      <c r="C113" s="38"/>
      <c r="D113" s="33"/>
    </row>
    <row r="114" spans="1:5" x14ac:dyDescent="0.25">
      <c r="A114" s="38"/>
      <c r="B114" s="38"/>
      <c r="C114" s="38"/>
      <c r="D114" s="33"/>
    </row>
    <row r="115" spans="1:5" x14ac:dyDescent="0.25">
      <c r="A115" s="38"/>
      <c r="B115" s="38"/>
      <c r="C115" s="38"/>
      <c r="D115" s="33"/>
    </row>
    <row r="116" spans="1:5" x14ac:dyDescent="0.25">
      <c r="A116" s="38"/>
      <c r="B116" s="38"/>
      <c r="C116" s="38"/>
      <c r="D116" s="33"/>
    </row>
    <row r="117" spans="1:5" x14ac:dyDescent="0.25">
      <c r="A117" s="38"/>
      <c r="B117" s="38"/>
      <c r="C117" s="38"/>
      <c r="D117" s="33"/>
    </row>
    <row r="118" spans="1:5" x14ac:dyDescent="0.25">
      <c r="A118" s="38"/>
      <c r="B118" s="38"/>
      <c r="C118" s="38"/>
      <c r="D118" s="33"/>
    </row>
    <row r="119" spans="1:5" x14ac:dyDescent="0.25">
      <c r="C119" s="7"/>
    </row>
    <row r="120" spans="1:5" x14ac:dyDescent="0.25">
      <c r="A120" s="33" t="s">
        <v>60</v>
      </c>
      <c r="B120" s="39"/>
      <c r="C120" s="33"/>
      <c r="D120" s="33" t="s">
        <v>61</v>
      </c>
    </row>
    <row r="121" spans="1:5" x14ac:dyDescent="0.25">
      <c r="A121" s="33" t="s">
        <v>62</v>
      </c>
      <c r="B121" s="33"/>
      <c r="C121" s="33"/>
      <c r="D121" s="33" t="s">
        <v>63</v>
      </c>
    </row>
    <row r="123" spans="1:5" x14ac:dyDescent="0.25">
      <c r="A123" s="1" t="s">
        <v>64</v>
      </c>
      <c r="B123" s="1" t="s">
        <v>65</v>
      </c>
      <c r="C123" s="1" t="s">
        <v>66</v>
      </c>
      <c r="D123" s="1" t="s">
        <v>67</v>
      </c>
      <c r="E123" s="1" t="s">
        <v>68</v>
      </c>
    </row>
    <row r="124" spans="1:5" x14ac:dyDescent="0.25">
      <c r="A124" s="1">
        <v>1</v>
      </c>
    </row>
    <row r="125" spans="1:5" x14ac:dyDescent="0.25">
      <c r="A125" s="1">
        <v>2</v>
      </c>
    </row>
    <row r="126" spans="1:5" x14ac:dyDescent="0.25">
      <c r="A126" s="1">
        <v>3</v>
      </c>
    </row>
    <row r="127" spans="1:5" x14ac:dyDescent="0.25">
      <c r="B127" s="7" t="s">
        <v>7</v>
      </c>
    </row>
  </sheetData>
  <mergeCells count="5">
    <mergeCell ref="A5:F5"/>
    <mergeCell ref="A6:F6"/>
    <mergeCell ref="A7:B7"/>
    <mergeCell ref="C7:D7"/>
    <mergeCell ref="E7:F7"/>
  </mergeCells>
  <conditionalFormatting sqref="B11">
    <cfRule type="duplicateValues" dxfId="3" priority="1"/>
  </conditionalFormatting>
  <printOptions horizontalCentered="1" verticalCentered="1"/>
  <pageMargins left="0" right="0" top="0" bottom="0" header="0" footer="0"/>
  <pageSetup paperSize="9" scale="9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I127"/>
  <sheetViews>
    <sheetView workbookViewId="0">
      <selection sqref="A1:XFD1048576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9" ht="15.75" thickBot="1" x14ac:dyDescent="0.3">
      <c r="B1" s="19"/>
      <c r="C1" s="19"/>
      <c r="D1" s="19"/>
      <c r="E1" s="19"/>
      <c r="F1" s="19"/>
    </row>
    <row r="2" spans="1:9" ht="15.75" x14ac:dyDescent="0.25">
      <c r="A2" s="20"/>
      <c r="B2" s="21"/>
      <c r="C2" s="22"/>
      <c r="D2" s="23"/>
      <c r="E2" s="22"/>
      <c r="F2" s="24"/>
      <c r="G2" s="25"/>
    </row>
    <row r="3" spans="1:9" ht="16.5" thickBot="1" x14ac:dyDescent="0.3">
      <c r="A3" s="20"/>
      <c r="B3" s="26"/>
      <c r="C3" s="27"/>
      <c r="D3" s="28"/>
      <c r="E3" s="28"/>
      <c r="F3" s="28"/>
    </row>
    <row r="4" spans="1:9" x14ac:dyDescent="0.25">
      <c r="B4" s="29"/>
      <c r="C4" s="29"/>
      <c r="D4" s="29"/>
      <c r="E4" s="29"/>
      <c r="F4" s="44"/>
    </row>
    <row r="5" spans="1:9" ht="15.75" x14ac:dyDescent="0.25">
      <c r="A5" s="61" t="s">
        <v>42</v>
      </c>
      <c r="B5" s="61"/>
      <c r="C5" s="61"/>
      <c r="D5" s="61"/>
      <c r="E5" s="61"/>
      <c r="F5" s="62"/>
    </row>
    <row r="6" spans="1:9" ht="15.75" x14ac:dyDescent="0.25">
      <c r="A6" s="61" t="s">
        <v>183</v>
      </c>
      <c r="B6" s="61"/>
      <c r="C6" s="61"/>
      <c r="D6" s="61"/>
      <c r="E6" s="61"/>
      <c r="F6" s="61"/>
    </row>
    <row r="7" spans="1:9" ht="23.25" x14ac:dyDescent="0.25">
      <c r="A7" s="63" t="s">
        <v>43</v>
      </c>
      <c r="B7" s="63"/>
      <c r="C7" s="64" t="s">
        <v>44</v>
      </c>
      <c r="D7" s="64"/>
      <c r="E7" s="65" t="s">
        <v>45</v>
      </c>
      <c r="F7" s="65"/>
    </row>
    <row r="8" spans="1:9" x14ac:dyDescent="0.25">
      <c r="A8" s="1" t="s">
        <v>46</v>
      </c>
      <c r="B8" s="2"/>
      <c r="C8" s="30"/>
      <c r="E8" s="1" t="s">
        <v>47</v>
      </c>
      <c r="F8" s="31"/>
      <c r="G8" s="32" t="s">
        <v>89</v>
      </c>
      <c r="H8" s="34"/>
    </row>
    <row r="9" spans="1:9" x14ac:dyDescent="0.25">
      <c r="A9" s="1" t="s">
        <v>48</v>
      </c>
      <c r="B9" s="33"/>
      <c r="C9" s="30"/>
      <c r="E9" s="1" t="s">
        <v>49</v>
      </c>
      <c r="G9" s="1" t="s">
        <v>90</v>
      </c>
      <c r="H9" s="34"/>
    </row>
    <row r="10" spans="1:9" x14ac:dyDescent="0.25">
      <c r="A10" s="1" t="s">
        <v>50</v>
      </c>
      <c r="B10" s="2"/>
      <c r="E10" s="1" t="s">
        <v>51</v>
      </c>
      <c r="G10" s="1" t="s">
        <v>91</v>
      </c>
    </row>
    <row r="11" spans="1:9" x14ac:dyDescent="0.25">
      <c r="A11" s="1" t="s">
        <v>52</v>
      </c>
      <c r="B11" s="33"/>
      <c r="I11" s="34"/>
    </row>
    <row r="12" spans="1:9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</row>
    <row r="13" spans="1:9" x14ac:dyDescent="0.25">
      <c r="A13" s="38"/>
      <c r="B13" s="38"/>
      <c r="C13" s="38"/>
      <c r="E13" s="33"/>
      <c r="F13" s="33"/>
      <c r="H13" s="34"/>
    </row>
    <row r="14" spans="1:9" x14ac:dyDescent="0.25">
      <c r="A14" s="38"/>
      <c r="B14" s="38"/>
      <c r="C14" s="38"/>
      <c r="E14" s="33"/>
      <c r="G14" s="34"/>
      <c r="H14" s="34"/>
    </row>
    <row r="15" spans="1:9" x14ac:dyDescent="0.25">
      <c r="A15" s="38"/>
      <c r="B15" s="38"/>
      <c r="C15" s="38"/>
      <c r="E15" s="33"/>
      <c r="H15" s="34"/>
    </row>
    <row r="16" spans="1:9" x14ac:dyDescent="0.25">
      <c r="A16" s="38"/>
      <c r="B16" s="38"/>
      <c r="C16" s="38"/>
      <c r="E16" s="33"/>
    </row>
    <row r="17" spans="1:4" x14ac:dyDescent="0.25">
      <c r="A17" s="38"/>
      <c r="B17" s="38"/>
      <c r="C17" s="38"/>
    </row>
    <row r="18" spans="1:4" x14ac:dyDescent="0.25">
      <c r="A18" s="38"/>
      <c r="B18" s="38"/>
      <c r="C18" s="38"/>
      <c r="D18" s="33"/>
    </row>
    <row r="19" spans="1:4" x14ac:dyDescent="0.25">
      <c r="A19" s="38"/>
      <c r="B19" s="38"/>
      <c r="C19" s="38"/>
      <c r="D19" s="33"/>
    </row>
    <row r="20" spans="1:4" x14ac:dyDescent="0.25">
      <c r="A20" s="38"/>
      <c r="B20" s="38"/>
      <c r="C20" s="38"/>
      <c r="D20" s="33"/>
    </row>
    <row r="21" spans="1:4" x14ac:dyDescent="0.25">
      <c r="A21" s="38"/>
      <c r="B21" s="38"/>
      <c r="C21" s="38"/>
      <c r="D21" s="33"/>
    </row>
    <row r="22" spans="1:4" x14ac:dyDescent="0.25">
      <c r="A22" s="38"/>
      <c r="B22" s="38"/>
      <c r="C22" s="38"/>
      <c r="D22" s="33"/>
    </row>
    <row r="23" spans="1:4" x14ac:dyDescent="0.25">
      <c r="A23" s="38"/>
      <c r="B23" s="38"/>
      <c r="C23" s="38"/>
      <c r="D23" s="33"/>
    </row>
    <row r="24" spans="1:4" x14ac:dyDescent="0.25">
      <c r="A24" s="38"/>
      <c r="B24" s="38"/>
      <c r="C24" s="38"/>
      <c r="D24" s="33"/>
    </row>
    <row r="25" spans="1:4" x14ac:dyDescent="0.25">
      <c r="A25" s="38"/>
      <c r="B25" s="38"/>
      <c r="C25" s="38"/>
      <c r="D25" s="33"/>
    </row>
    <row r="26" spans="1:4" x14ac:dyDescent="0.25">
      <c r="A26" s="38"/>
      <c r="B26" s="38"/>
      <c r="C26" s="38"/>
      <c r="D26" s="33"/>
    </row>
    <row r="27" spans="1:4" x14ac:dyDescent="0.25">
      <c r="A27" s="38"/>
      <c r="B27" s="38"/>
      <c r="C27" s="38"/>
      <c r="D27" s="33"/>
    </row>
    <row r="28" spans="1:4" x14ac:dyDescent="0.25">
      <c r="A28" s="38"/>
      <c r="B28" s="38"/>
      <c r="C28" s="38"/>
      <c r="D28" s="33"/>
    </row>
    <row r="29" spans="1:4" x14ac:dyDescent="0.25">
      <c r="A29" s="38"/>
      <c r="B29" s="38"/>
      <c r="C29" s="38"/>
      <c r="D29" s="33"/>
    </row>
    <row r="30" spans="1:4" x14ac:dyDescent="0.25">
      <c r="A30" s="38"/>
      <c r="B30" s="38"/>
      <c r="C30" s="38"/>
      <c r="D30" s="33"/>
    </row>
    <row r="31" spans="1:4" x14ac:dyDescent="0.25">
      <c r="A31" s="38"/>
      <c r="B31" s="38"/>
      <c r="C31" s="38"/>
      <c r="D31" s="33"/>
    </row>
    <row r="32" spans="1:4" x14ac:dyDescent="0.25">
      <c r="A32" s="38"/>
      <c r="B32" s="38"/>
      <c r="C32" s="38"/>
      <c r="D32" s="33"/>
    </row>
    <row r="33" spans="1:4" x14ac:dyDescent="0.25">
      <c r="A33" s="38"/>
      <c r="B33" s="38"/>
      <c r="C33" s="38"/>
      <c r="D33" s="33"/>
    </row>
    <row r="34" spans="1:4" x14ac:dyDescent="0.25">
      <c r="A34" s="38"/>
      <c r="B34" s="38"/>
      <c r="C34" s="38"/>
      <c r="D34" s="33"/>
    </row>
    <row r="35" spans="1:4" x14ac:dyDescent="0.25">
      <c r="A35" s="38"/>
      <c r="B35" s="38"/>
      <c r="C35" s="38"/>
      <c r="D35" s="33"/>
    </row>
    <row r="36" spans="1:4" x14ac:dyDescent="0.25">
      <c r="A36" s="38"/>
      <c r="B36" s="38"/>
      <c r="C36" s="38"/>
      <c r="D36" s="33"/>
    </row>
    <row r="37" spans="1:4" x14ac:dyDescent="0.25">
      <c r="A37" s="38"/>
      <c r="B37" s="38"/>
      <c r="C37" s="38"/>
      <c r="D37" s="33"/>
    </row>
    <row r="38" spans="1:4" x14ac:dyDescent="0.25">
      <c r="A38" s="38"/>
      <c r="B38" s="38"/>
      <c r="C38" s="38"/>
      <c r="D38" s="33"/>
    </row>
    <row r="39" spans="1:4" x14ac:dyDescent="0.25">
      <c r="A39" s="38"/>
      <c r="B39" s="38"/>
      <c r="C39" s="38"/>
      <c r="D39" s="33"/>
    </row>
    <row r="40" spans="1:4" x14ac:dyDescent="0.25">
      <c r="A40" s="38"/>
      <c r="B40" s="38"/>
      <c r="C40" s="38"/>
      <c r="D40" s="33"/>
    </row>
    <row r="41" spans="1:4" x14ac:dyDescent="0.25">
      <c r="A41" s="38"/>
      <c r="B41" s="38"/>
      <c r="C41" s="38"/>
      <c r="D41" s="33"/>
    </row>
    <row r="42" spans="1:4" x14ac:dyDescent="0.25">
      <c r="A42" s="38"/>
      <c r="B42" s="38"/>
      <c r="C42" s="38"/>
      <c r="D42" s="33"/>
    </row>
    <row r="43" spans="1:4" x14ac:dyDescent="0.25">
      <c r="A43" s="38"/>
      <c r="B43" s="38"/>
      <c r="C43" s="38"/>
      <c r="D43" s="33"/>
    </row>
    <row r="44" spans="1:4" x14ac:dyDescent="0.25">
      <c r="A44" s="38"/>
      <c r="B44" s="38"/>
      <c r="C44" s="38"/>
      <c r="D44" s="33"/>
    </row>
    <row r="45" spans="1:4" x14ac:dyDescent="0.25">
      <c r="A45" s="38"/>
      <c r="B45" s="38"/>
      <c r="C45" s="38"/>
      <c r="D45" s="33"/>
    </row>
    <row r="46" spans="1:4" x14ac:dyDescent="0.25">
      <c r="A46" s="38"/>
      <c r="B46" s="38"/>
      <c r="C46" s="38"/>
      <c r="D46" s="33"/>
    </row>
    <row r="47" spans="1:4" x14ac:dyDescent="0.25">
      <c r="A47" s="38"/>
      <c r="B47" s="38"/>
      <c r="C47" s="38"/>
      <c r="D47" s="33"/>
    </row>
    <row r="48" spans="1:4" x14ac:dyDescent="0.25">
      <c r="A48" s="38"/>
      <c r="B48" s="38"/>
      <c r="C48" s="38"/>
      <c r="D48" s="33"/>
    </row>
    <row r="49" spans="1:4" x14ac:dyDescent="0.25">
      <c r="A49" s="38"/>
      <c r="B49" s="38"/>
      <c r="C49" s="38"/>
      <c r="D49" s="33"/>
    </row>
    <row r="50" spans="1:4" x14ac:dyDescent="0.25">
      <c r="A50" s="38"/>
      <c r="B50" s="38"/>
      <c r="C50" s="38"/>
      <c r="D50" s="33"/>
    </row>
    <row r="51" spans="1:4" x14ac:dyDescent="0.25">
      <c r="A51" s="38"/>
      <c r="B51" s="38"/>
      <c r="C51" s="38"/>
      <c r="D51" s="33"/>
    </row>
    <row r="52" spans="1:4" x14ac:dyDescent="0.25">
      <c r="A52" s="38"/>
      <c r="B52" s="38"/>
      <c r="C52" s="38"/>
      <c r="D52" s="33"/>
    </row>
    <row r="53" spans="1:4" x14ac:dyDescent="0.25">
      <c r="A53" s="38"/>
      <c r="B53" s="38"/>
      <c r="C53" s="38"/>
      <c r="D53" s="33"/>
    </row>
    <row r="54" spans="1:4" x14ac:dyDescent="0.25">
      <c r="A54" s="38"/>
      <c r="B54" s="38"/>
      <c r="C54" s="38"/>
      <c r="D54" s="33"/>
    </row>
    <row r="55" spans="1:4" x14ac:dyDescent="0.25">
      <c r="A55" s="38"/>
      <c r="B55" s="38"/>
      <c r="C55" s="38"/>
      <c r="D55" s="33"/>
    </row>
    <row r="56" spans="1:4" x14ac:dyDescent="0.25">
      <c r="A56" s="38"/>
      <c r="B56" s="38"/>
      <c r="C56" s="38"/>
      <c r="D56" s="33"/>
    </row>
    <row r="57" spans="1:4" x14ac:dyDescent="0.25">
      <c r="A57" s="38"/>
      <c r="B57" s="38"/>
      <c r="C57" s="38"/>
      <c r="D57" s="33"/>
    </row>
    <row r="58" spans="1:4" x14ac:dyDescent="0.25">
      <c r="A58" s="38"/>
      <c r="B58" s="38"/>
      <c r="C58" s="38"/>
      <c r="D58" s="33"/>
    </row>
    <row r="59" spans="1:4" x14ac:dyDescent="0.25">
      <c r="A59" s="38"/>
      <c r="B59" s="38"/>
      <c r="C59" s="38"/>
      <c r="D59" s="33"/>
    </row>
    <row r="60" spans="1:4" x14ac:dyDescent="0.25">
      <c r="A60" s="38"/>
      <c r="B60" s="38"/>
      <c r="C60" s="38"/>
      <c r="D60" s="33"/>
    </row>
    <row r="61" spans="1:4" x14ac:dyDescent="0.25">
      <c r="A61" s="38"/>
      <c r="B61" s="38"/>
      <c r="C61" s="38"/>
      <c r="D61" s="33"/>
    </row>
    <row r="62" spans="1:4" x14ac:dyDescent="0.25">
      <c r="A62" s="38"/>
      <c r="B62" s="38"/>
      <c r="C62" s="38"/>
      <c r="D62" s="33"/>
    </row>
    <row r="63" spans="1:4" x14ac:dyDescent="0.25">
      <c r="A63" s="38"/>
      <c r="B63" s="38"/>
      <c r="C63" s="38"/>
      <c r="D63" s="33"/>
    </row>
    <row r="64" spans="1:4" x14ac:dyDescent="0.25">
      <c r="A64" s="38"/>
      <c r="B64" s="38"/>
      <c r="C64" s="38"/>
      <c r="D64" s="33"/>
    </row>
    <row r="65" spans="1:4" x14ac:dyDescent="0.25">
      <c r="A65" s="38"/>
      <c r="B65" s="38"/>
      <c r="C65" s="38"/>
      <c r="D65" s="33"/>
    </row>
    <row r="66" spans="1:4" x14ac:dyDescent="0.25">
      <c r="A66" s="38"/>
      <c r="B66" s="38"/>
      <c r="C66" s="38"/>
      <c r="D66" s="33"/>
    </row>
    <row r="67" spans="1:4" x14ac:dyDescent="0.25">
      <c r="A67" s="38"/>
      <c r="B67" s="38"/>
      <c r="C67" s="38"/>
      <c r="D67" s="33"/>
    </row>
    <row r="68" spans="1:4" x14ac:dyDescent="0.25">
      <c r="A68" s="38"/>
      <c r="B68" s="38"/>
      <c r="C68" s="38"/>
      <c r="D68" s="33"/>
    </row>
    <row r="69" spans="1:4" x14ac:dyDescent="0.25">
      <c r="A69" s="38"/>
      <c r="B69" s="38"/>
      <c r="C69" s="38"/>
      <c r="D69" s="33"/>
    </row>
    <row r="70" spans="1:4" x14ac:dyDescent="0.25">
      <c r="A70" s="38"/>
      <c r="B70" s="38"/>
      <c r="C70" s="38"/>
      <c r="D70" s="33"/>
    </row>
    <row r="71" spans="1:4" x14ac:dyDescent="0.25">
      <c r="A71" s="38"/>
      <c r="B71" s="38"/>
      <c r="C71" s="38"/>
      <c r="D71" s="33"/>
    </row>
    <row r="72" spans="1:4" x14ac:dyDescent="0.25">
      <c r="A72" s="38"/>
      <c r="B72" s="38"/>
      <c r="C72" s="38"/>
      <c r="D72" s="33"/>
    </row>
    <row r="73" spans="1:4" x14ac:dyDescent="0.25">
      <c r="A73" s="38"/>
      <c r="B73" s="38"/>
      <c r="C73" s="38"/>
      <c r="D73" s="33"/>
    </row>
    <row r="74" spans="1:4" x14ac:dyDescent="0.25">
      <c r="A74" s="38"/>
      <c r="B74" s="38"/>
      <c r="C74" s="38"/>
      <c r="D74" s="33"/>
    </row>
    <row r="75" spans="1:4" x14ac:dyDescent="0.25">
      <c r="A75" s="38"/>
      <c r="B75" s="38"/>
      <c r="C75" s="38"/>
      <c r="D75" s="33"/>
    </row>
    <row r="76" spans="1:4" x14ac:dyDescent="0.25">
      <c r="A76" s="38"/>
      <c r="B76" s="38"/>
      <c r="C76" s="38"/>
      <c r="D76" s="33"/>
    </row>
    <row r="77" spans="1:4" x14ac:dyDescent="0.25">
      <c r="A77" s="38"/>
      <c r="B77" s="38"/>
      <c r="C77" s="38"/>
      <c r="D77" s="33"/>
    </row>
    <row r="78" spans="1:4" x14ac:dyDescent="0.25">
      <c r="A78" s="38"/>
      <c r="B78" s="38"/>
      <c r="C78" s="38"/>
      <c r="D78" s="33"/>
    </row>
    <row r="79" spans="1:4" x14ac:dyDescent="0.25">
      <c r="A79" s="38"/>
      <c r="B79" s="38"/>
      <c r="C79" s="38"/>
      <c r="D79" s="33"/>
    </row>
    <row r="80" spans="1:4" x14ac:dyDescent="0.25">
      <c r="A80" s="38"/>
      <c r="B80" s="38"/>
      <c r="C80" s="38"/>
      <c r="D80" s="33"/>
    </row>
    <row r="81" spans="1:4" x14ac:dyDescent="0.25">
      <c r="A81" s="38"/>
      <c r="B81" s="38"/>
      <c r="C81" s="38"/>
      <c r="D81" s="33"/>
    </row>
    <row r="82" spans="1:4" x14ac:dyDescent="0.25">
      <c r="A82" s="38"/>
      <c r="B82" s="38"/>
      <c r="C82" s="38"/>
      <c r="D82" s="33"/>
    </row>
    <row r="83" spans="1:4" x14ac:dyDescent="0.25">
      <c r="A83" s="38"/>
      <c r="B83" s="38"/>
      <c r="C83" s="38"/>
      <c r="D83" s="33"/>
    </row>
    <row r="84" spans="1:4" x14ac:dyDescent="0.25">
      <c r="A84" s="38"/>
      <c r="B84" s="38"/>
      <c r="C84" s="38"/>
      <c r="D84" s="33"/>
    </row>
    <row r="85" spans="1:4" x14ac:dyDescent="0.25">
      <c r="A85" s="38"/>
      <c r="B85" s="38"/>
      <c r="C85" s="38"/>
      <c r="D85" s="33"/>
    </row>
    <row r="86" spans="1:4" x14ac:dyDescent="0.25">
      <c r="A86" s="38"/>
      <c r="B86" s="38"/>
      <c r="C86" s="38"/>
      <c r="D86" s="33"/>
    </row>
    <row r="87" spans="1:4" x14ac:dyDescent="0.25">
      <c r="A87" s="38"/>
      <c r="B87" s="38"/>
      <c r="C87" s="38"/>
      <c r="D87" s="33"/>
    </row>
    <row r="88" spans="1:4" x14ac:dyDescent="0.25">
      <c r="A88" s="38"/>
      <c r="B88" s="38"/>
      <c r="C88" s="38"/>
      <c r="D88" s="33"/>
    </row>
    <row r="89" spans="1:4" x14ac:dyDescent="0.25">
      <c r="A89" s="38"/>
      <c r="B89" s="38"/>
      <c r="C89" s="38"/>
      <c r="D89" s="33"/>
    </row>
    <row r="90" spans="1:4" x14ac:dyDescent="0.25">
      <c r="A90" s="38"/>
      <c r="B90" s="38"/>
      <c r="C90" s="38"/>
      <c r="D90" s="33"/>
    </row>
    <row r="91" spans="1:4" x14ac:dyDescent="0.25">
      <c r="A91" s="38"/>
      <c r="B91" s="38"/>
      <c r="C91" s="38"/>
      <c r="D91" s="33"/>
    </row>
    <row r="92" spans="1:4" x14ac:dyDescent="0.25">
      <c r="A92" s="38"/>
      <c r="B92" s="38"/>
      <c r="C92" s="38"/>
      <c r="D92" s="33"/>
    </row>
    <row r="93" spans="1:4" x14ac:dyDescent="0.25">
      <c r="A93" s="38"/>
      <c r="B93" s="38"/>
      <c r="C93" s="38"/>
      <c r="D93" s="33"/>
    </row>
    <row r="94" spans="1:4" x14ac:dyDescent="0.25">
      <c r="A94" s="38"/>
      <c r="B94" s="38"/>
      <c r="C94" s="38"/>
      <c r="D94" s="33"/>
    </row>
    <row r="95" spans="1:4" x14ac:dyDescent="0.25">
      <c r="A95" s="38"/>
      <c r="B95" s="38"/>
      <c r="C95" s="38"/>
      <c r="D95" s="33"/>
    </row>
    <row r="96" spans="1:4" x14ac:dyDescent="0.25">
      <c r="A96" s="38"/>
      <c r="B96" s="38"/>
      <c r="C96" s="38"/>
      <c r="D96" s="33"/>
    </row>
    <row r="97" spans="1:4" x14ac:dyDescent="0.25">
      <c r="A97" s="38"/>
      <c r="B97" s="38"/>
      <c r="C97" s="38"/>
      <c r="D97" s="33"/>
    </row>
    <row r="98" spans="1:4" x14ac:dyDescent="0.25">
      <c r="A98" s="38"/>
      <c r="B98" s="38"/>
      <c r="C98" s="38"/>
      <c r="D98" s="33"/>
    </row>
    <row r="99" spans="1:4" x14ac:dyDescent="0.25">
      <c r="A99" s="38"/>
      <c r="B99" s="38"/>
      <c r="C99" s="38"/>
      <c r="D99" s="33"/>
    </row>
    <row r="100" spans="1:4" x14ac:dyDescent="0.25">
      <c r="A100" s="38"/>
      <c r="B100" s="38"/>
      <c r="C100" s="38"/>
      <c r="D100" s="33"/>
    </row>
    <row r="101" spans="1:4" x14ac:dyDescent="0.25">
      <c r="A101" s="38"/>
      <c r="B101" s="38"/>
      <c r="C101" s="38"/>
      <c r="D101" s="33"/>
    </row>
    <row r="102" spans="1:4" x14ac:dyDescent="0.25">
      <c r="A102" s="38"/>
      <c r="B102" s="38"/>
      <c r="C102" s="38"/>
      <c r="D102" s="33"/>
    </row>
    <row r="103" spans="1:4" x14ac:dyDescent="0.25">
      <c r="A103" s="38"/>
      <c r="B103" s="38"/>
      <c r="C103" s="38"/>
      <c r="D103" s="33"/>
    </row>
    <row r="104" spans="1:4" x14ac:dyDescent="0.25">
      <c r="A104" s="38"/>
      <c r="B104" s="38"/>
      <c r="C104" s="38"/>
      <c r="D104" s="33"/>
    </row>
    <row r="105" spans="1:4" x14ac:dyDescent="0.25">
      <c r="A105" s="38"/>
      <c r="B105" s="38"/>
      <c r="C105" s="38"/>
      <c r="D105" s="33"/>
    </row>
    <row r="106" spans="1:4" x14ac:dyDescent="0.25">
      <c r="A106" s="38"/>
      <c r="B106" s="38"/>
      <c r="C106" s="38"/>
      <c r="D106" s="33"/>
    </row>
    <row r="107" spans="1:4" x14ac:dyDescent="0.25">
      <c r="A107" s="38"/>
      <c r="B107" s="38"/>
      <c r="C107" s="38"/>
      <c r="D107" s="33"/>
    </row>
    <row r="108" spans="1:4" x14ac:dyDescent="0.25">
      <c r="A108" s="38"/>
      <c r="B108" s="38"/>
      <c r="C108" s="38"/>
      <c r="D108" s="33"/>
    </row>
    <row r="109" spans="1:4" x14ac:dyDescent="0.25">
      <c r="A109" s="38"/>
      <c r="B109" s="38"/>
      <c r="C109" s="38"/>
      <c r="D109" s="33"/>
    </row>
    <row r="110" spans="1:4" x14ac:dyDescent="0.25">
      <c r="A110" s="38"/>
      <c r="B110" s="38"/>
      <c r="C110" s="38"/>
      <c r="D110" s="33"/>
    </row>
    <row r="111" spans="1:4" x14ac:dyDescent="0.25">
      <c r="A111" s="38"/>
      <c r="B111" s="38"/>
      <c r="C111" s="38"/>
      <c r="D111" s="33"/>
    </row>
    <row r="112" spans="1:4" x14ac:dyDescent="0.25">
      <c r="A112" s="38"/>
      <c r="B112" s="38"/>
      <c r="C112" s="38"/>
      <c r="D112" s="33"/>
    </row>
    <row r="113" spans="1:5" x14ac:dyDescent="0.25">
      <c r="A113" s="38"/>
      <c r="B113" s="38"/>
      <c r="C113" s="38"/>
      <c r="D113" s="33"/>
    </row>
    <row r="114" spans="1:5" x14ac:dyDescent="0.25">
      <c r="A114" s="38"/>
      <c r="B114" s="38"/>
      <c r="C114" s="38"/>
      <c r="D114" s="33"/>
    </row>
    <row r="115" spans="1:5" x14ac:dyDescent="0.25">
      <c r="A115" s="38"/>
      <c r="B115" s="38"/>
      <c r="C115" s="38"/>
      <c r="D115" s="33"/>
    </row>
    <row r="116" spans="1:5" x14ac:dyDescent="0.25">
      <c r="A116" s="38"/>
      <c r="B116" s="38"/>
      <c r="C116" s="38"/>
      <c r="D116" s="33"/>
    </row>
    <row r="117" spans="1:5" x14ac:dyDescent="0.25">
      <c r="A117" s="38"/>
      <c r="B117" s="38"/>
      <c r="C117" s="38"/>
      <c r="D117" s="33"/>
    </row>
    <row r="118" spans="1:5" x14ac:dyDescent="0.25">
      <c r="A118" s="38"/>
      <c r="B118" s="38"/>
      <c r="C118" s="38"/>
      <c r="D118" s="33"/>
    </row>
    <row r="119" spans="1:5" x14ac:dyDescent="0.25">
      <c r="C119" s="7"/>
    </row>
    <row r="120" spans="1:5" x14ac:dyDescent="0.25">
      <c r="A120" s="33" t="s">
        <v>60</v>
      </c>
      <c r="B120" s="39"/>
      <c r="C120" s="33"/>
      <c r="D120" s="33" t="s">
        <v>61</v>
      </c>
    </row>
    <row r="121" spans="1:5" x14ac:dyDescent="0.25">
      <c r="A121" s="33" t="s">
        <v>62</v>
      </c>
      <c r="B121" s="33"/>
      <c r="C121" s="33"/>
      <c r="D121" s="33" t="s">
        <v>63</v>
      </c>
    </row>
    <row r="123" spans="1:5" x14ac:dyDescent="0.25">
      <c r="A123" s="1" t="s">
        <v>64</v>
      </c>
      <c r="B123" s="1" t="s">
        <v>65</v>
      </c>
      <c r="C123" s="1" t="s">
        <v>66</v>
      </c>
      <c r="D123" s="1" t="s">
        <v>67</v>
      </c>
      <c r="E123" s="1" t="s">
        <v>68</v>
      </c>
    </row>
    <row r="124" spans="1:5" x14ac:dyDescent="0.25">
      <c r="A124" s="1">
        <v>1</v>
      </c>
    </row>
    <row r="125" spans="1:5" x14ac:dyDescent="0.25">
      <c r="A125" s="1">
        <v>2</v>
      </c>
    </row>
    <row r="126" spans="1:5" x14ac:dyDescent="0.25">
      <c r="A126" s="1">
        <v>3</v>
      </c>
    </row>
    <row r="127" spans="1:5" x14ac:dyDescent="0.25">
      <c r="B127" s="7" t="s">
        <v>7</v>
      </c>
    </row>
  </sheetData>
  <mergeCells count="5">
    <mergeCell ref="A5:F5"/>
    <mergeCell ref="A6:F6"/>
    <mergeCell ref="A7:B7"/>
    <mergeCell ref="C7:D7"/>
    <mergeCell ref="E7:F7"/>
  </mergeCells>
  <conditionalFormatting sqref="B11">
    <cfRule type="duplicateValues" dxfId="2" priority="1"/>
  </conditionalFormatting>
  <printOptions horizontalCentered="1" verticalCentered="1"/>
  <pageMargins left="0" right="0" top="0" bottom="0" header="0" footer="0"/>
  <pageSetup paperSize="9" scale="9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I127"/>
  <sheetViews>
    <sheetView workbookViewId="0">
      <selection sqref="A1:XFD1048576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9" ht="15.75" thickBot="1" x14ac:dyDescent="0.3">
      <c r="B1" s="19"/>
      <c r="C1" s="19"/>
      <c r="D1" s="19"/>
      <c r="E1" s="19"/>
      <c r="F1" s="19"/>
    </row>
    <row r="2" spans="1:9" ht="15.75" x14ac:dyDescent="0.25">
      <c r="A2" s="20"/>
      <c r="B2" s="21"/>
      <c r="C2" s="22"/>
      <c r="D2" s="23"/>
      <c r="E2" s="22"/>
      <c r="F2" s="24"/>
      <c r="G2" s="25"/>
    </row>
    <row r="3" spans="1:9" ht="16.5" thickBot="1" x14ac:dyDescent="0.3">
      <c r="A3" s="20"/>
      <c r="B3" s="26"/>
      <c r="C3" s="27"/>
      <c r="D3" s="28"/>
      <c r="E3" s="28"/>
      <c r="F3" s="28"/>
    </row>
    <row r="4" spans="1:9" x14ac:dyDescent="0.25">
      <c r="B4" s="29"/>
      <c r="C4" s="29"/>
      <c r="D4" s="29"/>
      <c r="E4" s="29"/>
      <c r="F4" s="44"/>
    </row>
    <row r="5" spans="1:9" ht="15.75" x14ac:dyDescent="0.25">
      <c r="A5" s="61" t="s">
        <v>42</v>
      </c>
      <c r="B5" s="61"/>
      <c r="C5" s="61"/>
      <c r="D5" s="61"/>
      <c r="E5" s="61"/>
      <c r="F5" s="62"/>
    </row>
    <row r="6" spans="1:9" ht="15.75" x14ac:dyDescent="0.25">
      <c r="A6" s="61" t="s">
        <v>183</v>
      </c>
      <c r="B6" s="61"/>
      <c r="C6" s="61"/>
      <c r="D6" s="61"/>
      <c r="E6" s="61"/>
      <c r="F6" s="61"/>
    </row>
    <row r="7" spans="1:9" ht="23.25" x14ac:dyDescent="0.25">
      <c r="A7" s="63" t="s">
        <v>43</v>
      </c>
      <c r="B7" s="63"/>
      <c r="C7" s="64" t="s">
        <v>44</v>
      </c>
      <c r="D7" s="64"/>
      <c r="E7" s="65" t="s">
        <v>45</v>
      </c>
      <c r="F7" s="65"/>
    </row>
    <row r="8" spans="1:9" x14ac:dyDescent="0.25">
      <c r="A8" s="1" t="s">
        <v>46</v>
      </c>
      <c r="B8" s="2"/>
      <c r="C8" s="30"/>
      <c r="E8" s="1" t="s">
        <v>47</v>
      </c>
      <c r="F8" s="31"/>
      <c r="G8" s="32" t="s">
        <v>89</v>
      </c>
      <c r="H8" s="34"/>
    </row>
    <row r="9" spans="1:9" x14ac:dyDescent="0.25">
      <c r="A9" s="1" t="s">
        <v>48</v>
      </c>
      <c r="B9" s="33"/>
      <c r="C9" s="30"/>
      <c r="E9" s="1" t="s">
        <v>49</v>
      </c>
      <c r="G9" s="1" t="s">
        <v>90</v>
      </c>
      <c r="H9" s="34"/>
    </row>
    <row r="10" spans="1:9" x14ac:dyDescent="0.25">
      <c r="A10" s="1" t="s">
        <v>50</v>
      </c>
      <c r="B10" s="2"/>
      <c r="E10" s="1" t="s">
        <v>51</v>
      </c>
      <c r="G10" s="1" t="s">
        <v>91</v>
      </c>
    </row>
    <row r="11" spans="1:9" x14ac:dyDescent="0.25">
      <c r="A11" s="1" t="s">
        <v>52</v>
      </c>
      <c r="B11" s="33"/>
      <c r="I11" s="34"/>
    </row>
    <row r="12" spans="1:9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</row>
    <row r="13" spans="1:9" x14ac:dyDescent="0.25">
      <c r="A13" s="38"/>
      <c r="B13" s="38"/>
      <c r="C13" s="38"/>
      <c r="E13" s="33"/>
      <c r="F13" s="33"/>
      <c r="H13" s="34"/>
    </row>
    <row r="14" spans="1:9" x14ac:dyDescent="0.25">
      <c r="A14" s="38"/>
      <c r="B14" s="38"/>
      <c r="C14" s="38"/>
      <c r="E14" s="33"/>
      <c r="G14" s="34"/>
      <c r="H14" s="34"/>
    </row>
    <row r="15" spans="1:9" x14ac:dyDescent="0.25">
      <c r="A15" s="38"/>
      <c r="B15" s="38"/>
      <c r="C15" s="38"/>
      <c r="E15" s="33"/>
      <c r="H15" s="34"/>
    </row>
    <row r="16" spans="1:9" x14ac:dyDescent="0.25">
      <c r="A16" s="38"/>
      <c r="B16" s="38"/>
      <c r="C16" s="38"/>
      <c r="E16" s="33"/>
    </row>
    <row r="17" spans="1:4" x14ac:dyDescent="0.25">
      <c r="A17" s="38"/>
      <c r="B17" s="38"/>
      <c r="C17" s="38"/>
    </row>
    <row r="18" spans="1:4" x14ac:dyDescent="0.25">
      <c r="A18" s="38"/>
      <c r="B18" s="38"/>
      <c r="C18" s="38"/>
      <c r="D18" s="33"/>
    </row>
    <row r="19" spans="1:4" x14ac:dyDescent="0.25">
      <c r="A19" s="38"/>
      <c r="B19" s="38"/>
      <c r="C19" s="38"/>
      <c r="D19" s="33"/>
    </row>
    <row r="20" spans="1:4" x14ac:dyDescent="0.25">
      <c r="A20" s="38"/>
      <c r="B20" s="38"/>
      <c r="C20" s="38"/>
      <c r="D20" s="33"/>
    </row>
    <row r="21" spans="1:4" x14ac:dyDescent="0.25">
      <c r="A21" s="38"/>
      <c r="B21" s="38"/>
      <c r="C21" s="38"/>
      <c r="D21" s="33"/>
    </row>
    <row r="22" spans="1:4" x14ac:dyDescent="0.25">
      <c r="A22" s="38"/>
      <c r="B22" s="38"/>
      <c r="C22" s="38"/>
      <c r="D22" s="33"/>
    </row>
    <row r="23" spans="1:4" x14ac:dyDescent="0.25">
      <c r="A23" s="38"/>
      <c r="B23" s="38"/>
      <c r="C23" s="38"/>
      <c r="D23" s="33"/>
    </row>
    <row r="24" spans="1:4" x14ac:dyDescent="0.25">
      <c r="A24" s="38"/>
      <c r="B24" s="38"/>
      <c r="C24" s="38"/>
      <c r="D24" s="33"/>
    </row>
    <row r="25" spans="1:4" x14ac:dyDescent="0.25">
      <c r="A25" s="38"/>
      <c r="B25" s="38"/>
      <c r="C25" s="38"/>
      <c r="D25" s="33"/>
    </row>
    <row r="26" spans="1:4" x14ac:dyDescent="0.25">
      <c r="A26" s="38"/>
      <c r="B26" s="38"/>
      <c r="C26" s="38"/>
      <c r="D26" s="33"/>
    </row>
    <row r="27" spans="1:4" x14ac:dyDescent="0.25">
      <c r="A27" s="38"/>
      <c r="B27" s="38"/>
      <c r="C27" s="38"/>
      <c r="D27" s="33"/>
    </row>
    <row r="28" spans="1:4" x14ac:dyDescent="0.25">
      <c r="A28" s="38"/>
      <c r="B28" s="38"/>
      <c r="C28" s="38"/>
      <c r="D28" s="33"/>
    </row>
    <row r="29" spans="1:4" x14ac:dyDescent="0.25">
      <c r="A29" s="38"/>
      <c r="B29" s="38"/>
      <c r="C29" s="38"/>
      <c r="D29" s="33"/>
    </row>
    <row r="30" spans="1:4" x14ac:dyDescent="0.25">
      <c r="A30" s="38"/>
      <c r="B30" s="38"/>
      <c r="C30" s="38"/>
      <c r="D30" s="33"/>
    </row>
    <row r="31" spans="1:4" x14ac:dyDescent="0.25">
      <c r="A31" s="38"/>
      <c r="B31" s="38"/>
      <c r="C31" s="38"/>
      <c r="D31" s="33"/>
    </row>
    <row r="32" spans="1:4" x14ac:dyDescent="0.25">
      <c r="A32" s="38"/>
      <c r="B32" s="38"/>
      <c r="C32" s="38"/>
      <c r="D32" s="33"/>
    </row>
    <row r="33" spans="1:4" x14ac:dyDescent="0.25">
      <c r="A33" s="38"/>
      <c r="B33" s="38"/>
      <c r="C33" s="38"/>
      <c r="D33" s="33"/>
    </row>
    <row r="34" spans="1:4" x14ac:dyDescent="0.25">
      <c r="A34" s="38"/>
      <c r="B34" s="38"/>
      <c r="C34" s="38"/>
      <c r="D34" s="33"/>
    </row>
    <row r="35" spans="1:4" x14ac:dyDescent="0.25">
      <c r="A35" s="38"/>
      <c r="B35" s="38"/>
      <c r="C35" s="38"/>
      <c r="D35" s="33"/>
    </row>
    <row r="36" spans="1:4" x14ac:dyDescent="0.25">
      <c r="A36" s="38"/>
      <c r="B36" s="38"/>
      <c r="C36" s="38"/>
      <c r="D36" s="33"/>
    </row>
    <row r="37" spans="1:4" x14ac:dyDescent="0.25">
      <c r="A37" s="38"/>
      <c r="B37" s="38"/>
      <c r="C37" s="38"/>
      <c r="D37" s="33"/>
    </row>
    <row r="38" spans="1:4" x14ac:dyDescent="0.25">
      <c r="A38" s="38"/>
      <c r="B38" s="38"/>
      <c r="C38" s="38"/>
      <c r="D38" s="33"/>
    </row>
    <row r="39" spans="1:4" x14ac:dyDescent="0.25">
      <c r="A39" s="38"/>
      <c r="B39" s="38"/>
      <c r="C39" s="38"/>
      <c r="D39" s="33"/>
    </row>
    <row r="40" spans="1:4" x14ac:dyDescent="0.25">
      <c r="A40" s="38"/>
      <c r="B40" s="38"/>
      <c r="C40" s="38"/>
      <c r="D40" s="33"/>
    </row>
    <row r="41" spans="1:4" x14ac:dyDescent="0.25">
      <c r="A41" s="38"/>
      <c r="B41" s="38"/>
      <c r="C41" s="38"/>
      <c r="D41" s="33"/>
    </row>
    <row r="42" spans="1:4" x14ac:dyDescent="0.25">
      <c r="A42" s="38"/>
      <c r="B42" s="38"/>
      <c r="C42" s="38"/>
      <c r="D42" s="33"/>
    </row>
    <row r="43" spans="1:4" x14ac:dyDescent="0.25">
      <c r="A43" s="38"/>
      <c r="B43" s="38"/>
      <c r="C43" s="38"/>
      <c r="D43" s="33"/>
    </row>
    <row r="44" spans="1:4" x14ac:dyDescent="0.25">
      <c r="A44" s="38"/>
      <c r="B44" s="38"/>
      <c r="C44" s="38"/>
      <c r="D44" s="33"/>
    </row>
    <row r="45" spans="1:4" x14ac:dyDescent="0.25">
      <c r="A45" s="38"/>
      <c r="B45" s="38"/>
      <c r="C45" s="38"/>
      <c r="D45" s="33"/>
    </row>
    <row r="46" spans="1:4" x14ac:dyDescent="0.25">
      <c r="A46" s="38"/>
      <c r="B46" s="38"/>
      <c r="C46" s="38"/>
      <c r="D46" s="33"/>
    </row>
    <row r="47" spans="1:4" x14ac:dyDescent="0.25">
      <c r="A47" s="38"/>
      <c r="B47" s="38"/>
      <c r="C47" s="38"/>
      <c r="D47" s="33"/>
    </row>
    <row r="48" spans="1:4" x14ac:dyDescent="0.25">
      <c r="A48" s="38"/>
      <c r="B48" s="38"/>
      <c r="C48" s="38"/>
      <c r="D48" s="33"/>
    </row>
    <row r="49" spans="1:4" x14ac:dyDescent="0.25">
      <c r="A49" s="38"/>
      <c r="B49" s="38"/>
      <c r="C49" s="38"/>
      <c r="D49" s="33"/>
    </row>
    <row r="50" spans="1:4" x14ac:dyDescent="0.25">
      <c r="A50" s="38"/>
      <c r="B50" s="38"/>
      <c r="C50" s="38"/>
      <c r="D50" s="33"/>
    </row>
    <row r="51" spans="1:4" x14ac:dyDescent="0.25">
      <c r="A51" s="38"/>
      <c r="B51" s="38"/>
      <c r="C51" s="38"/>
      <c r="D51" s="33"/>
    </row>
    <row r="52" spans="1:4" x14ac:dyDescent="0.25">
      <c r="A52" s="38"/>
      <c r="B52" s="38"/>
      <c r="C52" s="38"/>
      <c r="D52" s="33"/>
    </row>
    <row r="53" spans="1:4" x14ac:dyDescent="0.25">
      <c r="A53" s="38"/>
      <c r="B53" s="38"/>
      <c r="C53" s="38"/>
      <c r="D53" s="33"/>
    </row>
    <row r="54" spans="1:4" x14ac:dyDescent="0.25">
      <c r="A54" s="38"/>
      <c r="B54" s="38"/>
      <c r="C54" s="38"/>
      <c r="D54" s="33"/>
    </row>
    <row r="55" spans="1:4" x14ac:dyDescent="0.25">
      <c r="A55" s="38"/>
      <c r="B55" s="38"/>
      <c r="C55" s="38"/>
      <c r="D55" s="33"/>
    </row>
    <row r="56" spans="1:4" x14ac:dyDescent="0.25">
      <c r="A56" s="38"/>
      <c r="B56" s="38"/>
      <c r="C56" s="38"/>
      <c r="D56" s="33"/>
    </row>
    <row r="57" spans="1:4" x14ac:dyDescent="0.25">
      <c r="A57" s="38"/>
      <c r="B57" s="38"/>
      <c r="C57" s="38"/>
      <c r="D57" s="33"/>
    </row>
    <row r="58" spans="1:4" x14ac:dyDescent="0.25">
      <c r="A58" s="38"/>
      <c r="B58" s="38"/>
      <c r="C58" s="38"/>
      <c r="D58" s="33"/>
    </row>
    <row r="59" spans="1:4" x14ac:dyDescent="0.25">
      <c r="A59" s="38"/>
      <c r="B59" s="38"/>
      <c r="C59" s="38"/>
      <c r="D59" s="33"/>
    </row>
    <row r="60" spans="1:4" x14ac:dyDescent="0.25">
      <c r="A60" s="38"/>
      <c r="B60" s="38"/>
      <c r="C60" s="38"/>
      <c r="D60" s="33"/>
    </row>
    <row r="61" spans="1:4" x14ac:dyDescent="0.25">
      <c r="A61" s="38"/>
      <c r="B61" s="38"/>
      <c r="C61" s="38"/>
      <c r="D61" s="33"/>
    </row>
    <row r="62" spans="1:4" x14ac:dyDescent="0.25">
      <c r="A62" s="38"/>
      <c r="B62" s="38"/>
      <c r="C62" s="38"/>
      <c r="D62" s="33"/>
    </row>
    <row r="63" spans="1:4" x14ac:dyDescent="0.25">
      <c r="A63" s="38"/>
      <c r="B63" s="38"/>
      <c r="C63" s="38"/>
      <c r="D63" s="33"/>
    </row>
    <row r="64" spans="1:4" x14ac:dyDescent="0.25">
      <c r="A64" s="38"/>
      <c r="B64" s="38"/>
      <c r="C64" s="38"/>
      <c r="D64" s="33"/>
    </row>
    <row r="65" spans="1:4" x14ac:dyDescent="0.25">
      <c r="A65" s="38"/>
      <c r="B65" s="38"/>
      <c r="C65" s="38"/>
      <c r="D65" s="33"/>
    </row>
    <row r="66" spans="1:4" x14ac:dyDescent="0.25">
      <c r="A66" s="38"/>
      <c r="B66" s="38"/>
      <c r="C66" s="38"/>
      <c r="D66" s="33"/>
    </row>
    <row r="67" spans="1:4" x14ac:dyDescent="0.25">
      <c r="A67" s="38"/>
      <c r="B67" s="38"/>
      <c r="C67" s="38"/>
      <c r="D67" s="33"/>
    </row>
    <row r="68" spans="1:4" x14ac:dyDescent="0.25">
      <c r="A68" s="38"/>
      <c r="B68" s="38"/>
      <c r="C68" s="38"/>
      <c r="D68" s="33"/>
    </row>
    <row r="69" spans="1:4" x14ac:dyDescent="0.25">
      <c r="A69" s="38"/>
      <c r="B69" s="38"/>
      <c r="C69" s="38"/>
      <c r="D69" s="33"/>
    </row>
    <row r="70" spans="1:4" x14ac:dyDescent="0.25">
      <c r="A70" s="38"/>
      <c r="B70" s="38"/>
      <c r="C70" s="38"/>
      <c r="D70" s="33"/>
    </row>
    <row r="71" spans="1:4" x14ac:dyDescent="0.25">
      <c r="A71" s="38"/>
      <c r="B71" s="38"/>
      <c r="C71" s="38"/>
      <c r="D71" s="33"/>
    </row>
    <row r="72" spans="1:4" x14ac:dyDescent="0.25">
      <c r="A72" s="38"/>
      <c r="B72" s="38"/>
      <c r="C72" s="38"/>
      <c r="D72" s="33"/>
    </row>
    <row r="73" spans="1:4" x14ac:dyDescent="0.25">
      <c r="A73" s="38"/>
      <c r="B73" s="38"/>
      <c r="C73" s="38"/>
      <c r="D73" s="33"/>
    </row>
    <row r="74" spans="1:4" x14ac:dyDescent="0.25">
      <c r="A74" s="38"/>
      <c r="B74" s="38"/>
      <c r="C74" s="38"/>
      <c r="D74" s="33"/>
    </row>
    <row r="75" spans="1:4" x14ac:dyDescent="0.25">
      <c r="A75" s="38"/>
      <c r="B75" s="38"/>
      <c r="C75" s="38"/>
      <c r="D75" s="33"/>
    </row>
    <row r="76" spans="1:4" x14ac:dyDescent="0.25">
      <c r="A76" s="38"/>
      <c r="B76" s="38"/>
      <c r="C76" s="38"/>
      <c r="D76" s="33"/>
    </row>
    <row r="77" spans="1:4" x14ac:dyDescent="0.25">
      <c r="A77" s="38"/>
      <c r="B77" s="38"/>
      <c r="C77" s="38"/>
      <c r="D77" s="33"/>
    </row>
    <row r="78" spans="1:4" x14ac:dyDescent="0.25">
      <c r="A78" s="38"/>
      <c r="B78" s="38"/>
      <c r="C78" s="38"/>
      <c r="D78" s="33"/>
    </row>
    <row r="79" spans="1:4" x14ac:dyDescent="0.25">
      <c r="A79" s="38"/>
      <c r="B79" s="38"/>
      <c r="C79" s="38"/>
      <c r="D79" s="33"/>
    </row>
    <row r="80" spans="1:4" x14ac:dyDescent="0.25">
      <c r="A80" s="38"/>
      <c r="B80" s="38"/>
      <c r="C80" s="38"/>
      <c r="D80" s="33"/>
    </row>
    <row r="81" spans="1:4" x14ac:dyDescent="0.25">
      <c r="A81" s="38"/>
      <c r="B81" s="38"/>
      <c r="C81" s="38"/>
      <c r="D81" s="33"/>
    </row>
    <row r="82" spans="1:4" x14ac:dyDescent="0.25">
      <c r="A82" s="38"/>
      <c r="B82" s="38"/>
      <c r="C82" s="38"/>
      <c r="D82" s="33"/>
    </row>
    <row r="83" spans="1:4" x14ac:dyDescent="0.25">
      <c r="A83" s="38"/>
      <c r="B83" s="38"/>
      <c r="C83" s="38"/>
      <c r="D83" s="33"/>
    </row>
    <row r="84" spans="1:4" x14ac:dyDescent="0.25">
      <c r="A84" s="38"/>
      <c r="B84" s="38"/>
      <c r="C84" s="38"/>
      <c r="D84" s="33"/>
    </row>
    <row r="85" spans="1:4" x14ac:dyDescent="0.25">
      <c r="A85" s="38"/>
      <c r="B85" s="38"/>
      <c r="C85" s="38"/>
      <c r="D85" s="33"/>
    </row>
    <row r="86" spans="1:4" x14ac:dyDescent="0.25">
      <c r="A86" s="38"/>
      <c r="B86" s="38"/>
      <c r="C86" s="38"/>
      <c r="D86" s="33"/>
    </row>
    <row r="87" spans="1:4" x14ac:dyDescent="0.25">
      <c r="A87" s="38"/>
      <c r="B87" s="38"/>
      <c r="C87" s="38"/>
      <c r="D87" s="33"/>
    </row>
    <row r="88" spans="1:4" x14ac:dyDescent="0.25">
      <c r="A88" s="38"/>
      <c r="B88" s="38"/>
      <c r="C88" s="38"/>
      <c r="D88" s="33"/>
    </row>
    <row r="89" spans="1:4" x14ac:dyDescent="0.25">
      <c r="A89" s="38"/>
      <c r="B89" s="38"/>
      <c r="C89" s="38"/>
      <c r="D89" s="33"/>
    </row>
    <row r="90" spans="1:4" x14ac:dyDescent="0.25">
      <c r="A90" s="38"/>
      <c r="B90" s="38"/>
      <c r="C90" s="38"/>
      <c r="D90" s="33"/>
    </row>
    <row r="91" spans="1:4" x14ac:dyDescent="0.25">
      <c r="A91" s="38"/>
      <c r="B91" s="38"/>
      <c r="C91" s="38"/>
      <c r="D91" s="33"/>
    </row>
    <row r="92" spans="1:4" x14ac:dyDescent="0.25">
      <c r="A92" s="38"/>
      <c r="B92" s="38"/>
      <c r="C92" s="38"/>
      <c r="D92" s="33"/>
    </row>
    <row r="93" spans="1:4" x14ac:dyDescent="0.25">
      <c r="A93" s="38"/>
      <c r="B93" s="38"/>
      <c r="C93" s="38"/>
      <c r="D93" s="33"/>
    </row>
    <row r="94" spans="1:4" x14ac:dyDescent="0.25">
      <c r="A94" s="38"/>
      <c r="B94" s="38"/>
      <c r="C94" s="38"/>
      <c r="D94" s="33"/>
    </row>
    <row r="95" spans="1:4" x14ac:dyDescent="0.25">
      <c r="A95" s="38"/>
      <c r="B95" s="38"/>
      <c r="C95" s="38"/>
      <c r="D95" s="33"/>
    </row>
    <row r="96" spans="1:4" x14ac:dyDescent="0.25">
      <c r="A96" s="38"/>
      <c r="B96" s="38"/>
      <c r="C96" s="38"/>
      <c r="D96" s="33"/>
    </row>
    <row r="97" spans="1:4" x14ac:dyDescent="0.25">
      <c r="A97" s="38"/>
      <c r="B97" s="38"/>
      <c r="C97" s="38"/>
      <c r="D97" s="33"/>
    </row>
    <row r="98" spans="1:4" x14ac:dyDescent="0.25">
      <c r="A98" s="38"/>
      <c r="B98" s="38"/>
      <c r="C98" s="38"/>
      <c r="D98" s="33"/>
    </row>
    <row r="99" spans="1:4" x14ac:dyDescent="0.25">
      <c r="A99" s="38"/>
      <c r="B99" s="38"/>
      <c r="C99" s="38"/>
      <c r="D99" s="33"/>
    </row>
    <row r="100" spans="1:4" x14ac:dyDescent="0.25">
      <c r="A100" s="38"/>
      <c r="B100" s="38"/>
      <c r="C100" s="38"/>
      <c r="D100" s="33"/>
    </row>
    <row r="101" spans="1:4" x14ac:dyDescent="0.25">
      <c r="A101" s="38"/>
      <c r="B101" s="38"/>
      <c r="C101" s="38"/>
      <c r="D101" s="33"/>
    </row>
    <row r="102" spans="1:4" x14ac:dyDescent="0.25">
      <c r="A102" s="38"/>
      <c r="B102" s="38"/>
      <c r="C102" s="38"/>
      <c r="D102" s="33"/>
    </row>
    <row r="103" spans="1:4" x14ac:dyDescent="0.25">
      <c r="A103" s="38"/>
      <c r="B103" s="38"/>
      <c r="C103" s="38"/>
      <c r="D103" s="33"/>
    </row>
    <row r="104" spans="1:4" x14ac:dyDescent="0.25">
      <c r="A104" s="38"/>
      <c r="B104" s="38"/>
      <c r="C104" s="38"/>
      <c r="D104" s="33"/>
    </row>
    <row r="105" spans="1:4" x14ac:dyDescent="0.25">
      <c r="A105" s="38"/>
      <c r="B105" s="38"/>
      <c r="C105" s="38"/>
      <c r="D105" s="33"/>
    </row>
    <row r="106" spans="1:4" x14ac:dyDescent="0.25">
      <c r="A106" s="38"/>
      <c r="B106" s="38"/>
      <c r="C106" s="38"/>
      <c r="D106" s="33"/>
    </row>
    <row r="107" spans="1:4" x14ac:dyDescent="0.25">
      <c r="A107" s="38"/>
      <c r="B107" s="38"/>
      <c r="C107" s="38"/>
      <c r="D107" s="33"/>
    </row>
    <row r="108" spans="1:4" x14ac:dyDescent="0.25">
      <c r="A108" s="38"/>
      <c r="B108" s="38"/>
      <c r="C108" s="38"/>
      <c r="D108" s="33"/>
    </row>
    <row r="109" spans="1:4" x14ac:dyDescent="0.25">
      <c r="A109" s="38"/>
      <c r="B109" s="38"/>
      <c r="C109" s="38"/>
      <c r="D109" s="33"/>
    </row>
    <row r="110" spans="1:4" x14ac:dyDescent="0.25">
      <c r="A110" s="38"/>
      <c r="B110" s="38"/>
      <c r="C110" s="38"/>
      <c r="D110" s="33"/>
    </row>
    <row r="111" spans="1:4" x14ac:dyDescent="0.25">
      <c r="A111" s="38"/>
      <c r="B111" s="38"/>
      <c r="C111" s="38"/>
      <c r="D111" s="33"/>
    </row>
    <row r="112" spans="1:4" x14ac:dyDescent="0.25">
      <c r="A112" s="38"/>
      <c r="B112" s="38"/>
      <c r="C112" s="38"/>
      <c r="D112" s="33"/>
    </row>
    <row r="113" spans="1:5" x14ac:dyDescent="0.25">
      <c r="A113" s="38"/>
      <c r="B113" s="38"/>
      <c r="C113" s="38"/>
      <c r="D113" s="33"/>
    </row>
    <row r="114" spans="1:5" x14ac:dyDescent="0.25">
      <c r="A114" s="38"/>
      <c r="B114" s="38"/>
      <c r="C114" s="38"/>
      <c r="D114" s="33"/>
    </row>
    <row r="115" spans="1:5" x14ac:dyDescent="0.25">
      <c r="A115" s="38"/>
      <c r="B115" s="38"/>
      <c r="C115" s="38"/>
      <c r="D115" s="33"/>
    </row>
    <row r="116" spans="1:5" x14ac:dyDescent="0.25">
      <c r="A116" s="38"/>
      <c r="B116" s="38"/>
      <c r="C116" s="38"/>
      <c r="D116" s="33"/>
    </row>
    <row r="117" spans="1:5" x14ac:dyDescent="0.25">
      <c r="A117" s="38"/>
      <c r="B117" s="38"/>
      <c r="C117" s="38"/>
      <c r="D117" s="33"/>
    </row>
    <row r="118" spans="1:5" x14ac:dyDescent="0.25">
      <c r="A118" s="38"/>
      <c r="B118" s="38"/>
      <c r="C118" s="38"/>
      <c r="D118" s="33"/>
    </row>
    <row r="119" spans="1:5" x14ac:dyDescent="0.25">
      <c r="C119" s="7"/>
    </row>
    <row r="120" spans="1:5" x14ac:dyDescent="0.25">
      <c r="A120" s="33" t="s">
        <v>60</v>
      </c>
      <c r="B120" s="39"/>
      <c r="C120" s="33"/>
      <c r="D120" s="33" t="s">
        <v>61</v>
      </c>
    </row>
    <row r="121" spans="1:5" x14ac:dyDescent="0.25">
      <c r="A121" s="33" t="s">
        <v>62</v>
      </c>
      <c r="B121" s="33"/>
      <c r="C121" s="33"/>
      <c r="D121" s="33" t="s">
        <v>63</v>
      </c>
    </row>
    <row r="123" spans="1:5" x14ac:dyDescent="0.25">
      <c r="A123" s="1" t="s">
        <v>64</v>
      </c>
      <c r="B123" s="1" t="s">
        <v>65</v>
      </c>
      <c r="C123" s="1" t="s">
        <v>66</v>
      </c>
      <c r="D123" s="1" t="s">
        <v>67</v>
      </c>
      <c r="E123" s="1" t="s">
        <v>68</v>
      </c>
    </row>
    <row r="124" spans="1:5" x14ac:dyDescent="0.25">
      <c r="A124" s="1">
        <v>1</v>
      </c>
    </row>
    <row r="125" spans="1:5" x14ac:dyDescent="0.25">
      <c r="A125" s="1">
        <v>2</v>
      </c>
    </row>
    <row r="126" spans="1:5" x14ac:dyDescent="0.25">
      <c r="A126" s="1">
        <v>3</v>
      </c>
    </row>
    <row r="127" spans="1:5" x14ac:dyDescent="0.25">
      <c r="B127" s="7" t="s">
        <v>7</v>
      </c>
    </row>
  </sheetData>
  <mergeCells count="5">
    <mergeCell ref="A5:F5"/>
    <mergeCell ref="A6:F6"/>
    <mergeCell ref="A7:B7"/>
    <mergeCell ref="C7:D7"/>
    <mergeCell ref="E7:F7"/>
  </mergeCells>
  <conditionalFormatting sqref="B11">
    <cfRule type="duplicateValues" dxfId="1" priority="1"/>
  </conditionalFormatting>
  <printOptions horizontalCentered="1" verticalCentered="1"/>
  <pageMargins left="0" right="0" top="0" bottom="0" header="0" footer="0"/>
  <pageSetup paperSize="9" scale="9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I127"/>
  <sheetViews>
    <sheetView workbookViewId="0">
      <selection activeCell="E18" sqref="E18"/>
    </sheetView>
  </sheetViews>
  <sheetFormatPr defaultRowHeight="15" x14ac:dyDescent="0.25"/>
  <cols>
    <col min="1" max="1" width="9.28515625" style="1" customWidth="1"/>
    <col min="2" max="2" width="47.5703125" style="1" bestFit="1" customWidth="1"/>
    <col min="3" max="3" width="10.42578125" style="1" customWidth="1"/>
    <col min="4" max="4" width="6.5703125" style="1" customWidth="1"/>
    <col min="5" max="5" width="8.85546875" style="1" customWidth="1"/>
    <col min="6" max="6" width="9.140625" style="1" customWidth="1"/>
    <col min="7" max="7" width="8.140625" style="1" customWidth="1"/>
    <col min="8" max="8" width="9.28515625" style="1" customWidth="1"/>
    <col min="9" max="9" width="13.42578125" style="1" bestFit="1" customWidth="1"/>
    <col min="10" max="10" width="14.7109375" style="1" customWidth="1"/>
    <col min="11" max="16384" width="9.140625" style="1"/>
  </cols>
  <sheetData>
    <row r="1" spans="1:9" ht="15.75" thickBot="1" x14ac:dyDescent="0.3">
      <c r="B1" s="19"/>
      <c r="C1" s="19"/>
      <c r="D1" s="19"/>
      <c r="E1" s="19"/>
      <c r="F1" s="19"/>
    </row>
    <row r="2" spans="1:9" ht="15.75" x14ac:dyDescent="0.25">
      <c r="A2" s="20"/>
      <c r="B2" s="21"/>
      <c r="C2" s="22"/>
      <c r="D2" s="23"/>
      <c r="E2" s="22"/>
      <c r="F2" s="24"/>
      <c r="G2" s="25"/>
    </row>
    <row r="3" spans="1:9" ht="16.5" thickBot="1" x14ac:dyDescent="0.3">
      <c r="A3" s="20"/>
      <c r="B3" s="26"/>
      <c r="C3" s="27"/>
      <c r="D3" s="28"/>
      <c r="E3" s="28"/>
      <c r="F3" s="28"/>
    </row>
    <row r="4" spans="1:9" x14ac:dyDescent="0.25">
      <c r="B4" s="29"/>
      <c r="C4" s="29"/>
      <c r="D4" s="29"/>
      <c r="E4" s="29"/>
      <c r="F4" s="44"/>
    </row>
    <row r="5" spans="1:9" ht="15.75" x14ac:dyDescent="0.25">
      <c r="A5" s="61" t="s">
        <v>42</v>
      </c>
      <c r="B5" s="61"/>
      <c r="C5" s="61"/>
      <c r="D5" s="61"/>
      <c r="E5" s="61"/>
      <c r="F5" s="62"/>
    </row>
    <row r="6" spans="1:9" ht="15.75" x14ac:dyDescent="0.25">
      <c r="A6" s="61" t="s">
        <v>183</v>
      </c>
      <c r="B6" s="61"/>
      <c r="C6" s="61"/>
      <c r="D6" s="61"/>
      <c r="E6" s="61"/>
      <c r="F6" s="61"/>
    </row>
    <row r="7" spans="1:9" ht="23.25" x14ac:dyDescent="0.25">
      <c r="A7" s="63" t="s">
        <v>43</v>
      </c>
      <c r="B7" s="63"/>
      <c r="C7" s="64" t="s">
        <v>44</v>
      </c>
      <c r="D7" s="64"/>
      <c r="E7" s="65" t="s">
        <v>45</v>
      </c>
      <c r="F7" s="65"/>
    </row>
    <row r="8" spans="1:9" x14ac:dyDescent="0.25">
      <c r="A8" s="1" t="s">
        <v>46</v>
      </c>
      <c r="B8" s="2"/>
      <c r="C8" s="30"/>
      <c r="E8" s="1" t="s">
        <v>47</v>
      </c>
      <c r="F8" s="31"/>
      <c r="G8" s="32" t="s">
        <v>89</v>
      </c>
      <c r="H8" s="34"/>
    </row>
    <row r="9" spans="1:9" x14ac:dyDescent="0.25">
      <c r="A9" s="1" t="s">
        <v>48</v>
      </c>
      <c r="B9" s="33"/>
      <c r="C9" s="30"/>
      <c r="E9" s="1" t="s">
        <v>49</v>
      </c>
      <c r="G9" s="1" t="s">
        <v>90</v>
      </c>
      <c r="H9" s="34"/>
    </row>
    <row r="10" spans="1:9" x14ac:dyDescent="0.25">
      <c r="A10" s="1" t="s">
        <v>50</v>
      </c>
      <c r="B10" s="2"/>
      <c r="E10" s="1" t="s">
        <v>51</v>
      </c>
      <c r="G10" s="1" t="s">
        <v>91</v>
      </c>
    </row>
    <row r="11" spans="1:9" x14ac:dyDescent="0.25">
      <c r="A11" s="1" t="s">
        <v>52</v>
      </c>
      <c r="B11" s="33"/>
      <c r="I11" s="34"/>
    </row>
    <row r="12" spans="1:9" s="36" customFormat="1" x14ac:dyDescent="0.25">
      <c r="A12" s="35" t="s">
        <v>53</v>
      </c>
      <c r="B12" s="36" t="s">
        <v>54</v>
      </c>
      <c r="C12" s="17" t="s">
        <v>55</v>
      </c>
      <c r="D12" s="36" t="s">
        <v>94</v>
      </c>
      <c r="E12" s="36" t="s">
        <v>56</v>
      </c>
      <c r="F12" s="33" t="s">
        <v>57</v>
      </c>
      <c r="G12" s="36" t="s">
        <v>58</v>
      </c>
      <c r="H12" s="37" t="s">
        <v>59</v>
      </c>
    </row>
    <row r="13" spans="1:9" x14ac:dyDescent="0.25">
      <c r="A13" s="38"/>
      <c r="B13" s="38"/>
      <c r="C13" s="38"/>
      <c r="E13" s="33"/>
      <c r="F13" s="33"/>
      <c r="H13" s="34"/>
    </row>
    <row r="14" spans="1:9" x14ac:dyDescent="0.25">
      <c r="A14" s="38"/>
      <c r="B14" s="38"/>
      <c r="C14" s="38"/>
      <c r="E14" s="33"/>
      <c r="G14" s="34"/>
      <c r="H14" s="34"/>
    </row>
    <row r="15" spans="1:9" x14ac:dyDescent="0.25">
      <c r="A15" s="38"/>
      <c r="B15" s="38"/>
      <c r="C15" s="38"/>
      <c r="E15" s="33"/>
      <c r="H15" s="34"/>
    </row>
    <row r="16" spans="1:9" x14ac:dyDescent="0.25">
      <c r="A16" s="38"/>
      <c r="B16" s="38"/>
      <c r="C16" s="38"/>
      <c r="E16" s="33"/>
    </row>
    <row r="17" spans="1:4" x14ac:dyDescent="0.25">
      <c r="A17" s="38"/>
      <c r="B17" s="38"/>
      <c r="C17" s="38"/>
    </row>
    <row r="18" spans="1:4" x14ac:dyDescent="0.25">
      <c r="A18" s="38"/>
      <c r="B18" s="38"/>
      <c r="C18" s="38"/>
      <c r="D18" s="33"/>
    </row>
    <row r="19" spans="1:4" x14ac:dyDescent="0.25">
      <c r="A19" s="38"/>
      <c r="B19" s="38"/>
      <c r="C19" s="38"/>
      <c r="D19" s="33"/>
    </row>
    <row r="20" spans="1:4" x14ac:dyDescent="0.25">
      <c r="A20" s="38"/>
      <c r="B20" s="38"/>
      <c r="C20" s="38"/>
      <c r="D20" s="33"/>
    </row>
    <row r="21" spans="1:4" x14ac:dyDescent="0.25">
      <c r="A21" s="38"/>
      <c r="B21" s="38"/>
      <c r="C21" s="38"/>
      <c r="D21" s="33"/>
    </row>
    <row r="22" spans="1:4" x14ac:dyDescent="0.25">
      <c r="A22" s="38"/>
      <c r="B22" s="38"/>
      <c r="C22" s="38"/>
      <c r="D22" s="33"/>
    </row>
    <row r="23" spans="1:4" x14ac:dyDescent="0.25">
      <c r="A23" s="38"/>
      <c r="B23" s="38"/>
      <c r="C23" s="38"/>
      <c r="D23" s="33"/>
    </row>
    <row r="24" spans="1:4" x14ac:dyDescent="0.25">
      <c r="A24" s="38"/>
      <c r="B24" s="38"/>
      <c r="C24" s="38"/>
      <c r="D24" s="33"/>
    </row>
    <row r="25" spans="1:4" x14ac:dyDescent="0.25">
      <c r="A25" s="38"/>
      <c r="B25" s="38"/>
      <c r="C25" s="38"/>
      <c r="D25" s="33"/>
    </row>
    <row r="26" spans="1:4" x14ac:dyDescent="0.25">
      <c r="A26" s="38"/>
      <c r="B26" s="38"/>
      <c r="C26" s="38"/>
      <c r="D26" s="33"/>
    </row>
    <row r="27" spans="1:4" x14ac:dyDescent="0.25">
      <c r="A27" s="38"/>
      <c r="B27" s="38"/>
      <c r="C27" s="38"/>
      <c r="D27" s="33"/>
    </row>
    <row r="28" spans="1:4" x14ac:dyDescent="0.25">
      <c r="A28" s="38"/>
      <c r="B28" s="38"/>
      <c r="C28" s="38"/>
      <c r="D28" s="33"/>
    </row>
    <row r="29" spans="1:4" x14ac:dyDescent="0.25">
      <c r="A29" s="38"/>
      <c r="B29" s="38"/>
      <c r="C29" s="38"/>
      <c r="D29" s="33"/>
    </row>
    <row r="30" spans="1:4" x14ac:dyDescent="0.25">
      <c r="A30" s="38"/>
      <c r="B30" s="38"/>
      <c r="C30" s="38"/>
      <c r="D30" s="33"/>
    </row>
    <row r="31" spans="1:4" x14ac:dyDescent="0.25">
      <c r="A31" s="38"/>
      <c r="B31" s="38"/>
      <c r="C31" s="38"/>
      <c r="D31" s="33"/>
    </row>
    <row r="32" spans="1:4" x14ac:dyDescent="0.25">
      <c r="A32" s="38"/>
      <c r="B32" s="38"/>
      <c r="C32" s="38"/>
      <c r="D32" s="33"/>
    </row>
    <row r="33" spans="1:4" x14ac:dyDescent="0.25">
      <c r="A33" s="38"/>
      <c r="B33" s="38"/>
      <c r="C33" s="38"/>
      <c r="D33" s="33"/>
    </row>
    <row r="34" spans="1:4" x14ac:dyDescent="0.25">
      <c r="A34" s="38"/>
      <c r="B34" s="38"/>
      <c r="C34" s="38"/>
      <c r="D34" s="33"/>
    </row>
    <row r="35" spans="1:4" x14ac:dyDescent="0.25">
      <c r="A35" s="38"/>
      <c r="B35" s="38"/>
      <c r="C35" s="38"/>
      <c r="D35" s="33"/>
    </row>
    <row r="36" spans="1:4" x14ac:dyDescent="0.25">
      <c r="A36" s="38"/>
      <c r="B36" s="38"/>
      <c r="C36" s="38"/>
      <c r="D36" s="33"/>
    </row>
    <row r="37" spans="1:4" x14ac:dyDescent="0.25">
      <c r="A37" s="38"/>
      <c r="B37" s="38"/>
      <c r="C37" s="38"/>
      <c r="D37" s="33"/>
    </row>
    <row r="38" spans="1:4" x14ac:dyDescent="0.25">
      <c r="A38" s="38"/>
      <c r="B38" s="38"/>
      <c r="C38" s="38"/>
      <c r="D38" s="33"/>
    </row>
    <row r="39" spans="1:4" x14ac:dyDescent="0.25">
      <c r="A39" s="38"/>
      <c r="B39" s="38"/>
      <c r="C39" s="38"/>
      <c r="D39" s="33"/>
    </row>
    <row r="40" spans="1:4" x14ac:dyDescent="0.25">
      <c r="A40" s="38"/>
      <c r="B40" s="38"/>
      <c r="C40" s="38"/>
      <c r="D40" s="33"/>
    </row>
    <row r="41" spans="1:4" x14ac:dyDescent="0.25">
      <c r="A41" s="38"/>
      <c r="B41" s="38"/>
      <c r="C41" s="38"/>
      <c r="D41" s="33"/>
    </row>
    <row r="42" spans="1:4" x14ac:dyDescent="0.25">
      <c r="A42" s="38"/>
      <c r="B42" s="38"/>
      <c r="C42" s="38"/>
      <c r="D42" s="33"/>
    </row>
    <row r="43" spans="1:4" x14ac:dyDescent="0.25">
      <c r="A43" s="38"/>
      <c r="B43" s="38"/>
      <c r="C43" s="38"/>
      <c r="D43" s="33"/>
    </row>
    <row r="44" spans="1:4" x14ac:dyDescent="0.25">
      <c r="A44" s="38"/>
      <c r="B44" s="38"/>
      <c r="C44" s="38"/>
      <c r="D44" s="33"/>
    </row>
    <row r="45" spans="1:4" x14ac:dyDescent="0.25">
      <c r="A45" s="38"/>
      <c r="B45" s="38"/>
      <c r="C45" s="38"/>
      <c r="D45" s="33"/>
    </row>
    <row r="46" spans="1:4" x14ac:dyDescent="0.25">
      <c r="A46" s="38"/>
      <c r="B46" s="38"/>
      <c r="C46" s="38"/>
      <c r="D46" s="33"/>
    </row>
    <row r="47" spans="1:4" x14ac:dyDescent="0.25">
      <c r="A47" s="38"/>
      <c r="B47" s="38"/>
      <c r="C47" s="38"/>
      <c r="D47" s="33"/>
    </row>
    <row r="48" spans="1:4" x14ac:dyDescent="0.25">
      <c r="A48" s="38"/>
      <c r="B48" s="38"/>
      <c r="C48" s="38"/>
      <c r="D48" s="33"/>
    </row>
    <row r="49" spans="1:4" x14ac:dyDescent="0.25">
      <c r="A49" s="38"/>
      <c r="B49" s="38"/>
      <c r="C49" s="38"/>
      <c r="D49" s="33"/>
    </row>
    <row r="50" spans="1:4" x14ac:dyDescent="0.25">
      <c r="A50" s="38"/>
      <c r="B50" s="38"/>
      <c r="C50" s="38"/>
      <c r="D50" s="33"/>
    </row>
    <row r="51" spans="1:4" x14ac:dyDescent="0.25">
      <c r="A51" s="38"/>
      <c r="B51" s="38"/>
      <c r="C51" s="38"/>
      <c r="D51" s="33"/>
    </row>
    <row r="52" spans="1:4" x14ac:dyDescent="0.25">
      <c r="A52" s="38"/>
      <c r="B52" s="38"/>
      <c r="C52" s="38"/>
      <c r="D52" s="33"/>
    </row>
    <row r="53" spans="1:4" x14ac:dyDescent="0.25">
      <c r="A53" s="38"/>
      <c r="B53" s="38"/>
      <c r="C53" s="38"/>
      <c r="D53" s="33"/>
    </row>
    <row r="54" spans="1:4" x14ac:dyDescent="0.25">
      <c r="A54" s="38"/>
      <c r="B54" s="38"/>
      <c r="C54" s="38"/>
      <c r="D54" s="33"/>
    </row>
    <row r="55" spans="1:4" x14ac:dyDescent="0.25">
      <c r="A55" s="38"/>
      <c r="B55" s="38"/>
      <c r="C55" s="38"/>
      <c r="D55" s="33"/>
    </row>
    <row r="56" spans="1:4" x14ac:dyDescent="0.25">
      <c r="A56" s="38"/>
      <c r="B56" s="38"/>
      <c r="C56" s="38"/>
      <c r="D56" s="33"/>
    </row>
    <row r="57" spans="1:4" x14ac:dyDescent="0.25">
      <c r="A57" s="38"/>
      <c r="B57" s="38"/>
      <c r="C57" s="38"/>
      <c r="D57" s="33"/>
    </row>
    <row r="58" spans="1:4" x14ac:dyDescent="0.25">
      <c r="A58" s="38"/>
      <c r="B58" s="38"/>
      <c r="C58" s="38"/>
      <c r="D58" s="33"/>
    </row>
    <row r="59" spans="1:4" x14ac:dyDescent="0.25">
      <c r="A59" s="38"/>
      <c r="B59" s="38"/>
      <c r="C59" s="38"/>
      <c r="D59" s="33"/>
    </row>
    <row r="60" spans="1:4" x14ac:dyDescent="0.25">
      <c r="A60" s="38"/>
      <c r="B60" s="38"/>
      <c r="C60" s="38"/>
      <c r="D60" s="33"/>
    </row>
    <row r="61" spans="1:4" x14ac:dyDescent="0.25">
      <c r="A61" s="38"/>
      <c r="B61" s="38"/>
      <c r="C61" s="38"/>
      <c r="D61" s="33"/>
    </row>
    <row r="62" spans="1:4" x14ac:dyDescent="0.25">
      <c r="A62" s="38"/>
      <c r="B62" s="38"/>
      <c r="C62" s="38"/>
      <c r="D62" s="33"/>
    </row>
    <row r="63" spans="1:4" x14ac:dyDescent="0.25">
      <c r="A63" s="38"/>
      <c r="B63" s="38"/>
      <c r="C63" s="38"/>
      <c r="D63" s="33"/>
    </row>
    <row r="64" spans="1:4" x14ac:dyDescent="0.25">
      <c r="A64" s="38"/>
      <c r="B64" s="38"/>
      <c r="C64" s="38"/>
      <c r="D64" s="33"/>
    </row>
    <row r="65" spans="1:4" x14ac:dyDescent="0.25">
      <c r="A65" s="38"/>
      <c r="B65" s="38"/>
      <c r="C65" s="38"/>
      <c r="D65" s="33"/>
    </row>
    <row r="66" spans="1:4" x14ac:dyDescent="0.25">
      <c r="A66" s="38"/>
      <c r="B66" s="38"/>
      <c r="C66" s="38"/>
      <c r="D66" s="33"/>
    </row>
    <row r="67" spans="1:4" x14ac:dyDescent="0.25">
      <c r="A67" s="38"/>
      <c r="B67" s="38"/>
      <c r="C67" s="38"/>
      <c r="D67" s="33"/>
    </row>
    <row r="68" spans="1:4" x14ac:dyDescent="0.25">
      <c r="A68" s="38"/>
      <c r="B68" s="38"/>
      <c r="C68" s="38"/>
      <c r="D68" s="33"/>
    </row>
    <row r="69" spans="1:4" x14ac:dyDescent="0.25">
      <c r="A69" s="38"/>
      <c r="B69" s="38"/>
      <c r="C69" s="38"/>
      <c r="D69" s="33"/>
    </row>
    <row r="70" spans="1:4" x14ac:dyDescent="0.25">
      <c r="A70" s="38"/>
      <c r="B70" s="38"/>
      <c r="C70" s="38"/>
      <c r="D70" s="33"/>
    </row>
    <row r="71" spans="1:4" x14ac:dyDescent="0.25">
      <c r="A71" s="38"/>
      <c r="B71" s="38"/>
      <c r="C71" s="38"/>
      <c r="D71" s="33"/>
    </row>
    <row r="72" spans="1:4" x14ac:dyDescent="0.25">
      <c r="A72" s="38"/>
      <c r="B72" s="38"/>
      <c r="C72" s="38"/>
      <c r="D72" s="33"/>
    </row>
    <row r="73" spans="1:4" x14ac:dyDescent="0.25">
      <c r="A73" s="38"/>
      <c r="B73" s="38"/>
      <c r="C73" s="38"/>
      <c r="D73" s="33"/>
    </row>
    <row r="74" spans="1:4" x14ac:dyDescent="0.25">
      <c r="A74" s="38"/>
      <c r="B74" s="38"/>
      <c r="C74" s="38"/>
      <c r="D74" s="33"/>
    </row>
    <row r="75" spans="1:4" x14ac:dyDescent="0.25">
      <c r="A75" s="38"/>
      <c r="B75" s="38"/>
      <c r="C75" s="38"/>
      <c r="D75" s="33"/>
    </row>
    <row r="76" spans="1:4" x14ac:dyDescent="0.25">
      <c r="A76" s="38"/>
      <c r="B76" s="38"/>
      <c r="C76" s="38"/>
      <c r="D76" s="33"/>
    </row>
    <row r="77" spans="1:4" x14ac:dyDescent="0.25">
      <c r="A77" s="38"/>
      <c r="B77" s="38"/>
      <c r="C77" s="38"/>
      <c r="D77" s="33"/>
    </row>
    <row r="78" spans="1:4" x14ac:dyDescent="0.25">
      <c r="A78" s="38"/>
      <c r="B78" s="38"/>
      <c r="C78" s="38"/>
      <c r="D78" s="33"/>
    </row>
    <row r="79" spans="1:4" x14ac:dyDescent="0.25">
      <c r="A79" s="38"/>
      <c r="B79" s="38"/>
      <c r="C79" s="38"/>
      <c r="D79" s="33"/>
    </row>
    <row r="80" spans="1:4" x14ac:dyDescent="0.25">
      <c r="A80" s="38"/>
      <c r="B80" s="38"/>
      <c r="C80" s="38"/>
      <c r="D80" s="33"/>
    </row>
    <row r="81" spans="1:4" x14ac:dyDescent="0.25">
      <c r="A81" s="38"/>
      <c r="B81" s="38"/>
      <c r="C81" s="38"/>
      <c r="D81" s="33"/>
    </row>
    <row r="82" spans="1:4" x14ac:dyDescent="0.25">
      <c r="A82" s="38"/>
      <c r="B82" s="38"/>
      <c r="C82" s="38"/>
      <c r="D82" s="33"/>
    </row>
    <row r="83" spans="1:4" x14ac:dyDescent="0.25">
      <c r="A83" s="38"/>
      <c r="B83" s="38"/>
      <c r="C83" s="38"/>
      <c r="D83" s="33"/>
    </row>
    <row r="84" spans="1:4" x14ac:dyDescent="0.25">
      <c r="A84" s="38"/>
      <c r="B84" s="38"/>
      <c r="C84" s="38"/>
      <c r="D84" s="33"/>
    </row>
    <row r="85" spans="1:4" x14ac:dyDescent="0.25">
      <c r="A85" s="38"/>
      <c r="B85" s="38"/>
      <c r="C85" s="38"/>
      <c r="D85" s="33"/>
    </row>
    <row r="86" spans="1:4" x14ac:dyDescent="0.25">
      <c r="A86" s="38"/>
      <c r="B86" s="38"/>
      <c r="C86" s="38"/>
      <c r="D86" s="33"/>
    </row>
    <row r="87" spans="1:4" x14ac:dyDescent="0.25">
      <c r="A87" s="38"/>
      <c r="B87" s="38"/>
      <c r="C87" s="38"/>
      <c r="D87" s="33"/>
    </row>
    <row r="88" spans="1:4" x14ac:dyDescent="0.25">
      <c r="A88" s="38"/>
      <c r="B88" s="38"/>
      <c r="C88" s="38"/>
      <c r="D88" s="33"/>
    </row>
    <row r="89" spans="1:4" x14ac:dyDescent="0.25">
      <c r="A89" s="38"/>
      <c r="B89" s="38"/>
      <c r="C89" s="38"/>
      <c r="D89" s="33"/>
    </row>
    <row r="90" spans="1:4" x14ac:dyDescent="0.25">
      <c r="A90" s="38"/>
      <c r="B90" s="38"/>
      <c r="C90" s="38"/>
      <c r="D90" s="33"/>
    </row>
    <row r="91" spans="1:4" x14ac:dyDescent="0.25">
      <c r="A91" s="38"/>
      <c r="B91" s="38"/>
      <c r="C91" s="38"/>
      <c r="D91" s="33"/>
    </row>
    <row r="92" spans="1:4" x14ac:dyDescent="0.25">
      <c r="A92" s="38"/>
      <c r="B92" s="38"/>
      <c r="C92" s="38"/>
      <c r="D92" s="33"/>
    </row>
    <row r="93" spans="1:4" x14ac:dyDescent="0.25">
      <c r="A93" s="38"/>
      <c r="B93" s="38"/>
      <c r="C93" s="38"/>
      <c r="D93" s="33"/>
    </row>
    <row r="94" spans="1:4" x14ac:dyDescent="0.25">
      <c r="A94" s="38"/>
      <c r="B94" s="38"/>
      <c r="C94" s="38"/>
      <c r="D94" s="33"/>
    </row>
    <row r="95" spans="1:4" x14ac:dyDescent="0.25">
      <c r="A95" s="38"/>
      <c r="B95" s="38"/>
      <c r="C95" s="38"/>
      <c r="D95" s="33"/>
    </row>
    <row r="96" spans="1:4" x14ac:dyDescent="0.25">
      <c r="A96" s="38"/>
      <c r="B96" s="38"/>
      <c r="C96" s="38"/>
      <c r="D96" s="33"/>
    </row>
    <row r="97" spans="1:4" x14ac:dyDescent="0.25">
      <c r="A97" s="38"/>
      <c r="B97" s="38"/>
      <c r="C97" s="38"/>
      <c r="D97" s="33"/>
    </row>
    <row r="98" spans="1:4" x14ac:dyDescent="0.25">
      <c r="A98" s="38"/>
      <c r="B98" s="38"/>
      <c r="C98" s="38"/>
      <c r="D98" s="33"/>
    </row>
    <row r="99" spans="1:4" x14ac:dyDescent="0.25">
      <c r="A99" s="38"/>
      <c r="B99" s="38"/>
      <c r="C99" s="38"/>
      <c r="D99" s="33"/>
    </row>
    <row r="100" spans="1:4" x14ac:dyDescent="0.25">
      <c r="A100" s="38"/>
      <c r="B100" s="38"/>
      <c r="C100" s="38"/>
      <c r="D100" s="33"/>
    </row>
    <row r="101" spans="1:4" x14ac:dyDescent="0.25">
      <c r="A101" s="38"/>
      <c r="B101" s="38"/>
      <c r="C101" s="38"/>
      <c r="D101" s="33"/>
    </row>
    <row r="102" spans="1:4" x14ac:dyDescent="0.25">
      <c r="A102" s="38"/>
      <c r="B102" s="38"/>
      <c r="C102" s="38"/>
      <c r="D102" s="33"/>
    </row>
    <row r="103" spans="1:4" x14ac:dyDescent="0.25">
      <c r="A103" s="38"/>
      <c r="B103" s="38"/>
      <c r="C103" s="38"/>
      <c r="D103" s="33"/>
    </row>
    <row r="104" spans="1:4" x14ac:dyDescent="0.25">
      <c r="A104" s="38"/>
      <c r="B104" s="38"/>
      <c r="C104" s="38"/>
      <c r="D104" s="33"/>
    </row>
    <row r="105" spans="1:4" x14ac:dyDescent="0.25">
      <c r="A105" s="38"/>
      <c r="B105" s="38"/>
      <c r="C105" s="38"/>
      <c r="D105" s="33"/>
    </row>
    <row r="106" spans="1:4" x14ac:dyDescent="0.25">
      <c r="A106" s="38"/>
      <c r="B106" s="38"/>
      <c r="C106" s="38"/>
      <c r="D106" s="33"/>
    </row>
    <row r="107" spans="1:4" x14ac:dyDescent="0.25">
      <c r="A107" s="38"/>
      <c r="B107" s="38"/>
      <c r="C107" s="38"/>
      <c r="D107" s="33"/>
    </row>
    <row r="108" spans="1:4" x14ac:dyDescent="0.25">
      <c r="A108" s="38"/>
      <c r="B108" s="38"/>
      <c r="C108" s="38"/>
      <c r="D108" s="33"/>
    </row>
    <row r="109" spans="1:4" x14ac:dyDescent="0.25">
      <c r="A109" s="38"/>
      <c r="B109" s="38"/>
      <c r="C109" s="38"/>
      <c r="D109" s="33"/>
    </row>
    <row r="110" spans="1:4" x14ac:dyDescent="0.25">
      <c r="A110" s="38"/>
      <c r="B110" s="38"/>
      <c r="C110" s="38"/>
      <c r="D110" s="33"/>
    </row>
    <row r="111" spans="1:4" x14ac:dyDescent="0.25">
      <c r="A111" s="38"/>
      <c r="B111" s="38"/>
      <c r="C111" s="38"/>
      <c r="D111" s="33"/>
    </row>
    <row r="112" spans="1:4" x14ac:dyDescent="0.25">
      <c r="A112" s="38"/>
      <c r="B112" s="38"/>
      <c r="C112" s="38"/>
      <c r="D112" s="33"/>
    </row>
    <row r="113" spans="1:5" x14ac:dyDescent="0.25">
      <c r="A113" s="38"/>
      <c r="B113" s="38"/>
      <c r="C113" s="38"/>
      <c r="D113" s="33"/>
    </row>
    <row r="114" spans="1:5" x14ac:dyDescent="0.25">
      <c r="A114" s="38"/>
      <c r="B114" s="38"/>
      <c r="C114" s="38"/>
      <c r="D114" s="33"/>
    </row>
    <row r="115" spans="1:5" x14ac:dyDescent="0.25">
      <c r="A115" s="38"/>
      <c r="B115" s="38"/>
      <c r="C115" s="38"/>
      <c r="D115" s="33"/>
    </row>
    <row r="116" spans="1:5" x14ac:dyDescent="0.25">
      <c r="A116" s="38"/>
      <c r="B116" s="38"/>
      <c r="C116" s="38"/>
      <c r="D116" s="33"/>
    </row>
    <row r="117" spans="1:5" x14ac:dyDescent="0.25">
      <c r="A117" s="38"/>
      <c r="B117" s="38"/>
      <c r="C117" s="38"/>
      <c r="D117" s="33"/>
    </row>
    <row r="118" spans="1:5" x14ac:dyDescent="0.25">
      <c r="A118" s="38"/>
      <c r="B118" s="38"/>
      <c r="C118" s="38"/>
      <c r="D118" s="33"/>
    </row>
    <row r="119" spans="1:5" x14ac:dyDescent="0.25">
      <c r="C119" s="7"/>
    </row>
    <row r="120" spans="1:5" x14ac:dyDescent="0.25">
      <c r="A120" s="33" t="s">
        <v>60</v>
      </c>
      <c r="B120" s="39"/>
      <c r="C120" s="33"/>
      <c r="D120" s="33" t="s">
        <v>61</v>
      </c>
    </row>
    <row r="121" spans="1:5" x14ac:dyDescent="0.25">
      <c r="A121" s="33" t="s">
        <v>62</v>
      </c>
      <c r="B121" s="33"/>
      <c r="C121" s="33"/>
      <c r="D121" s="33" t="s">
        <v>63</v>
      </c>
    </row>
    <row r="123" spans="1:5" x14ac:dyDescent="0.25">
      <c r="A123" s="1" t="s">
        <v>64</v>
      </c>
      <c r="B123" s="1" t="s">
        <v>65</v>
      </c>
      <c r="C123" s="1" t="s">
        <v>66</v>
      </c>
      <c r="D123" s="1" t="s">
        <v>67</v>
      </c>
      <c r="E123" s="1" t="s">
        <v>68</v>
      </c>
    </row>
    <row r="124" spans="1:5" x14ac:dyDescent="0.25">
      <c r="A124" s="1">
        <v>1</v>
      </c>
    </row>
    <row r="125" spans="1:5" x14ac:dyDescent="0.25">
      <c r="A125" s="1">
        <v>2</v>
      </c>
    </row>
    <row r="126" spans="1:5" x14ac:dyDescent="0.25">
      <c r="A126" s="1">
        <v>3</v>
      </c>
    </row>
    <row r="127" spans="1:5" x14ac:dyDescent="0.25">
      <c r="B127" s="7" t="s">
        <v>7</v>
      </c>
    </row>
  </sheetData>
  <mergeCells count="5">
    <mergeCell ref="A5:F5"/>
    <mergeCell ref="A6:F6"/>
    <mergeCell ref="A7:B7"/>
    <mergeCell ref="C7:D7"/>
    <mergeCell ref="E7:F7"/>
  </mergeCells>
  <conditionalFormatting sqref="B11">
    <cfRule type="duplicateValues" dxfId="0" priority="1"/>
  </conditionalFormatting>
  <printOptions horizontalCentered="1" verticalCentered="1"/>
  <pageMargins left="0" right="0" top="0" bottom="0" header="0" footer="0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MIS</vt:lpstr>
      <vt:lpstr>APO</vt:lpstr>
      <vt:lpstr>PUSH</vt:lpstr>
      <vt:lpstr>Indent</vt:lpstr>
      <vt:lpstr>C042-1</vt:lpstr>
      <vt:lpstr>PONDY-1</vt:lpstr>
      <vt:lpstr>Indore-1</vt:lpstr>
      <vt:lpstr>C042-2</vt:lpstr>
      <vt:lpstr>C042-3</vt:lpstr>
      <vt:lpstr>C042-4</vt:lpstr>
      <vt:lpstr>AHMD-1</vt:lpstr>
      <vt:lpstr>AHMD-2</vt:lpstr>
      <vt:lpstr>Tepla-1</vt:lpstr>
      <vt:lpstr>PUNE-1</vt:lpstr>
      <vt:lpstr>PUNE-2</vt:lpstr>
      <vt:lpstr>PUNE-3</vt:lpstr>
      <vt:lpstr>PUNE-4</vt:lpstr>
      <vt:lpstr>PONDY-2</vt:lpstr>
      <vt:lpstr>KOLKATTA-1</vt:lpstr>
      <vt:lpstr>NAGPUR-1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 BATA</dc:creator>
  <cp:lastModifiedBy>RWH-PURNA</cp:lastModifiedBy>
  <cp:lastPrinted>2026-10-30T14:51:48Z</cp:lastPrinted>
  <dcterms:created xsi:type="dcterms:W3CDTF">2016-01-06T12:24:21Z</dcterms:created>
  <dcterms:modified xsi:type="dcterms:W3CDTF">2026-10-30T18:31:13Z</dcterms:modified>
</cp:coreProperties>
</file>